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morbuildingstormsolutions-my.sharepoint.com/personal/dana_armorbldgsolutions_com/Documents/Calculators/"/>
    </mc:Choice>
  </mc:AlternateContent>
  <xr:revisionPtr revIDLastSave="0" documentId="8_{226B10B9-0105-4F8C-B18B-D29E758BDF13}" xr6:coauthVersionLast="47" xr6:coauthVersionMax="47" xr10:uidLastSave="{00000000-0000-0000-0000-000000000000}"/>
  <bookViews>
    <workbookView xWindow="-120" yWindow="-120" windowWidth="29040" windowHeight="15720" firstSheet="11" activeTab="11" xr2:uid="{60BF987F-6FB9-43E6-9F5A-9E2EF7DAD14F}"/>
  </bookViews>
  <sheets>
    <sheet name="Bah and Colon Info" sheetId="30" r:id="rId1"/>
    <sheet name="Screen" sheetId="11" r:id="rId2"/>
    <sheet name="W-D FABRIC" sheetId="1" r:id="rId3"/>
    <sheet name="Muhler" sheetId="32" r:id="rId4"/>
    <sheet name="Galv and Alum Panels" sheetId="5" r:id="rId5"/>
    <sheet name="OSB" sheetId="3" state="hidden" r:id="rId6"/>
    <sheet name="OREILLY" sheetId="21" state="hidden" r:id="rId7"/>
    <sheet name="EMS DECO" sheetId="19" r:id="rId8"/>
    <sheet name="EMS B&amp;B (R)" sheetId="22" r:id="rId9"/>
    <sheet name="COMPOSITES" sheetId="20" r:id="rId10"/>
    <sheet name="FORTIFIED (R)" sheetId="29" r:id="rId11"/>
    <sheet name="Parts" sheetId="12" r:id="rId12"/>
    <sheet name="PAINT LABOR COSTS" sheetId="18" r:id="rId13"/>
    <sheet name="ScreenTight" sheetId="26" r:id="rId14"/>
    <sheet name="TC Colonial (R)" sheetId="25" r:id="rId15"/>
    <sheet name="TC EA COL (R)" sheetId="17" r:id="rId16"/>
    <sheet name="Fortified (Cost)" sheetId="15" r:id="rId17"/>
    <sheet name="4 Deco" sheetId="16" r:id="rId18"/>
    <sheet name="Comp Hardware" sheetId="13" r:id="rId19"/>
  </sheets>
  <definedNames>
    <definedName name="MyList1">#REF!</definedName>
    <definedName name="MyList2">#REF!</definedName>
    <definedName name="MyList3">#REF!</definedName>
    <definedName name="MyList4">#REF!</definedName>
    <definedName name="MyList5">#REF!</definedName>
    <definedName name="_xlnm.Print_Area" localSheetId="0">'Bah and Colon Info'!$C$1:$G$61</definedName>
    <definedName name="_xlnm.Print_Area" localSheetId="18">Table1[]</definedName>
    <definedName name="_xlnm.Print_Area" localSheetId="9">COMPOSITES!$A$1:$Z$16</definedName>
    <definedName name="_xlnm.Print_Area" localSheetId="8">'EMS B&amp;B (R)'!$A$1:$T$24</definedName>
    <definedName name="_xlnm.Print_Area" localSheetId="7">'EMS DECO'!$A$1:$M$24</definedName>
    <definedName name="_xlnm.Print_Area" localSheetId="16">'Fortified (Cost)'!$A$1:$L$13</definedName>
    <definedName name="_xlnm.Print_Area" localSheetId="10">'FORTIFIED (R)'!$A$1:$M$30</definedName>
    <definedName name="_xlnm.Print_Area" localSheetId="4">'Galv and Alum Panels'!$A$6:$O$27</definedName>
    <definedName name="_xlnm.Print_Area" localSheetId="3">Muhler!$A$8:$O$28</definedName>
    <definedName name="_xlnm.Print_Area" localSheetId="6">OREILLY!$A$1:$N$32</definedName>
    <definedName name="_xlnm.Print_Area" localSheetId="12">'PAINT LABOR COSTS'!$B$27:$C$47</definedName>
    <definedName name="_xlnm.Print_Area" localSheetId="11">Parts!$A$113:$M$120</definedName>
    <definedName name="_xlnm.Print_Area" localSheetId="1">Screen!$A$1:$N$31</definedName>
    <definedName name="_xlnm.Print_Area" localSheetId="15">'TC EA COL (R)'!$A$1:$O$15</definedName>
    <definedName name="_xlnm.Print_Area" localSheetId="2">'W-D FABRIC'!$A$9:$P$51</definedName>
    <definedName name="_xlnm.Print_Titles" localSheetId="18">'Comp Hardware'!$2:$2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37" i="26" l="1"/>
  <c r="AO36" i="26"/>
  <c r="AO38" i="26" s="1"/>
  <c r="AO33" i="26"/>
  <c r="AO32" i="26"/>
  <c r="AO34" i="26" s="1"/>
  <c r="AP18" i="26"/>
  <c r="AO16" i="26"/>
  <c r="AP16" i="26" s="1"/>
  <c r="AO15" i="26"/>
  <c r="AP15" i="26" s="1"/>
  <c r="AO14" i="26"/>
  <c r="AP14" i="26" s="1"/>
  <c r="AO13" i="26"/>
  <c r="AP13" i="26" s="1"/>
  <c r="AO12" i="26"/>
  <c r="AP12" i="26" s="1"/>
  <c r="AO11" i="26"/>
  <c r="AP11" i="26" s="1"/>
  <c r="AM37" i="26"/>
  <c r="AM36" i="26"/>
  <c r="AM38" i="26" s="1"/>
  <c r="AM33" i="26"/>
  <c r="AM32" i="26"/>
  <c r="AM34" i="26" s="1"/>
  <c r="AN18" i="26"/>
  <c r="AM16" i="26"/>
  <c r="AN16" i="26" s="1"/>
  <c r="AM15" i="26"/>
  <c r="AN15" i="26" s="1"/>
  <c r="AM14" i="26"/>
  <c r="AN14" i="26" s="1"/>
  <c r="AM13" i="26"/>
  <c r="AN13" i="26" s="1"/>
  <c r="AM12" i="26"/>
  <c r="AN12" i="26" s="1"/>
  <c r="AM11" i="26"/>
  <c r="AN11" i="26" s="1"/>
  <c r="D16" i="26"/>
  <c r="D15" i="26"/>
  <c r="D14" i="26"/>
  <c r="D13" i="26"/>
  <c r="D12" i="26"/>
  <c r="D11" i="26"/>
  <c r="H71" i="12"/>
  <c r="G49" i="12"/>
  <c r="F72" i="12"/>
  <c r="D38" i="11"/>
  <c r="I88" i="29"/>
  <c r="I89" i="29"/>
  <c r="I90" i="29"/>
  <c r="I91" i="29"/>
  <c r="I92" i="29"/>
  <c r="I93" i="29"/>
  <c r="I94" i="29"/>
  <c r="I95" i="29"/>
  <c r="I96" i="29"/>
  <c r="I97" i="29"/>
  <c r="I98" i="29"/>
  <c r="I74" i="29"/>
  <c r="I75" i="29"/>
  <c r="I76" i="29"/>
  <c r="I77" i="29"/>
  <c r="I78" i="29"/>
  <c r="I79" i="29"/>
  <c r="I80" i="29"/>
  <c r="I81" i="29"/>
  <c r="I82" i="29"/>
  <c r="I83" i="29"/>
  <c r="I84" i="29"/>
  <c r="I85" i="29"/>
  <c r="I86" i="29"/>
  <c r="I87" i="29"/>
  <c r="I66" i="29"/>
  <c r="I67" i="29"/>
  <c r="I68" i="29"/>
  <c r="I69" i="29"/>
  <c r="I70" i="29"/>
  <c r="I71" i="29"/>
  <c r="I72" i="29"/>
  <c r="I73" i="29"/>
  <c r="I65" i="29"/>
  <c r="I62" i="29"/>
  <c r="AK12" i="26"/>
  <c r="AK11" i="26"/>
  <c r="AH27" i="26"/>
  <c r="AH12" i="26"/>
  <c r="AI18" i="26"/>
  <c r="AH16" i="26"/>
  <c r="AH15" i="26"/>
  <c r="AH14" i="26"/>
  <c r="AH13" i="26"/>
  <c r="AE27" i="26"/>
  <c r="AF18" i="26" s="1"/>
  <c r="AE14" i="26"/>
  <c r="AE13" i="26"/>
  <c r="AE12" i="26"/>
  <c r="AP17" i="26" l="1" a="1"/>
  <c r="AP17" i="26" s="1"/>
  <c r="AP19" i="26" s="1"/>
  <c r="AP30" i="26" s="1"/>
  <c r="AN17" i="26" a="1"/>
  <c r="AN17" i="26" s="1"/>
  <c r="AN19" i="26" s="1"/>
  <c r="AN30" i="26" s="1"/>
  <c r="AK13" i="26"/>
  <c r="AK14" i="26"/>
  <c r="AK15" i="26"/>
  <c r="AK16" i="26"/>
  <c r="AL18" i="26"/>
  <c r="AE11" i="26"/>
  <c r="AE15" i="26"/>
  <c r="AH11" i="26"/>
  <c r="AE16" i="26"/>
  <c r="T94" i="11" l="1"/>
  <c r="S94" i="11"/>
  <c r="R94" i="11"/>
  <c r="Q94" i="11"/>
  <c r="P94" i="11"/>
  <c r="N94" i="11"/>
  <c r="O94" i="11"/>
  <c r="M59" i="12"/>
  <c r="H59" i="12"/>
  <c r="I59" i="12" s="1"/>
  <c r="F59" i="12"/>
  <c r="M58" i="12"/>
  <c r="P58" i="12"/>
  <c r="Q58" i="12"/>
  <c r="R58" i="12" s="1"/>
  <c r="T58" i="12"/>
  <c r="U58" i="12"/>
  <c r="V58" i="12"/>
  <c r="X58" i="12" s="1"/>
  <c r="H58" i="12"/>
  <c r="I58" i="12"/>
  <c r="F58" i="12"/>
  <c r="M57" i="12"/>
  <c r="P57" i="12"/>
  <c r="Q57" i="12" s="1"/>
  <c r="R57" i="12" s="1"/>
  <c r="T57" i="12"/>
  <c r="U57" i="12" s="1"/>
  <c r="I57" i="12"/>
  <c r="H57" i="12"/>
  <c r="F57" i="12"/>
  <c r="M60" i="12"/>
  <c r="I60" i="12"/>
  <c r="H60" i="12"/>
  <c r="F60" i="12"/>
  <c r="M61" i="12"/>
  <c r="I61" i="12"/>
  <c r="H61" i="12"/>
  <c r="F61" i="12"/>
  <c r="M62" i="12"/>
  <c r="I62" i="12"/>
  <c r="H62" i="12"/>
  <c r="F62" i="12"/>
  <c r="M63" i="12"/>
  <c r="I63" i="12"/>
  <c r="F63" i="12"/>
  <c r="H63" i="12"/>
  <c r="M64" i="12"/>
  <c r="I64" i="12"/>
  <c r="H64" i="12"/>
  <c r="F64" i="12"/>
  <c r="F66" i="12"/>
  <c r="F65" i="12"/>
  <c r="I65" i="12"/>
  <c r="H65" i="12"/>
  <c r="M65" i="12" s="1"/>
  <c r="H66" i="12"/>
  <c r="I66" i="12"/>
  <c r="M66" i="12"/>
  <c r="F155" i="12"/>
  <c r="F55" i="12"/>
  <c r="F56" i="12"/>
  <c r="AP58" i="12" l="1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V57" i="12"/>
  <c r="AK57" i="12" l="1"/>
  <c r="AL57" i="12"/>
  <c r="AO57" i="12"/>
  <c r="AP57" i="12"/>
  <c r="X57" i="12"/>
  <c r="Y57" i="12"/>
  <c r="AA57" i="12"/>
  <c r="AB57" i="12"/>
  <c r="AD57" i="12"/>
  <c r="AF57" i="12"/>
  <c r="AH57" i="12"/>
  <c r="AJ57" i="12"/>
  <c r="AM57" i="12"/>
  <c r="AN57" i="12"/>
  <c r="Z57" i="12"/>
  <c r="AC57" i="12"/>
  <c r="AI57" i="12"/>
  <c r="AE57" i="12"/>
  <c r="AG57" i="12"/>
  <c r="O5" i="11"/>
  <c r="J148" i="12" l="1"/>
  <c r="J147" i="12"/>
  <c r="J146" i="12"/>
  <c r="J145" i="12"/>
  <c r="J141" i="12"/>
  <c r="J140" i="12"/>
  <c r="J139" i="12"/>
  <c r="J134" i="12"/>
  <c r="J133" i="12"/>
  <c r="J132" i="12"/>
  <c r="J131" i="12"/>
  <c r="J130" i="12"/>
  <c r="M130" i="12" s="1"/>
  <c r="J129" i="12"/>
  <c r="J128" i="12"/>
  <c r="J127" i="12"/>
  <c r="J126" i="12"/>
  <c r="J125" i="12"/>
  <c r="J123" i="12"/>
  <c r="M123" i="12"/>
  <c r="M131" i="12"/>
  <c r="I131" i="12"/>
  <c r="I148" i="12" l="1"/>
  <c r="M148" i="12"/>
  <c r="T148" i="12" s="1"/>
  <c r="P148" i="12"/>
  <c r="Q148" i="12" s="1"/>
  <c r="H124" i="12"/>
  <c r="J124" i="12" s="1"/>
  <c r="H89" i="12"/>
  <c r="H87" i="12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C6" i="20"/>
  <c r="D6" i="20" s="1"/>
  <c r="B19" i="5"/>
  <c r="C19" i="5" s="1"/>
  <c r="B19" i="1"/>
  <c r="C19" i="1" s="1"/>
  <c r="B20" i="32"/>
  <c r="C20" i="32" s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M114" i="5" l="1"/>
  <c r="U148" i="12"/>
  <c r="V148" i="12" s="1"/>
  <c r="R148" i="12"/>
  <c r="I41" i="12"/>
  <c r="M41" i="12"/>
  <c r="AC148" i="12" l="1"/>
  <c r="AO148" i="12"/>
  <c r="AD148" i="12"/>
  <c r="AP148" i="12"/>
  <c r="AE148" i="12"/>
  <c r="AF148" i="12"/>
  <c r="AG148" i="12"/>
  <c r="AH148" i="12"/>
  <c r="AI148" i="12"/>
  <c r="X148" i="12"/>
  <c r="AJ148" i="12"/>
  <c r="Y148" i="12"/>
  <c r="AK148" i="12"/>
  <c r="Z148" i="12"/>
  <c r="AL148" i="12"/>
  <c r="AA148" i="12"/>
  <c r="AM148" i="12"/>
  <c r="AB148" i="12"/>
  <c r="AN148" i="12"/>
  <c r="R119" i="32"/>
  <c r="U118" i="1"/>
  <c r="T114" i="5"/>
  <c r="B74" i="32"/>
  <c r="B75" i="32"/>
  <c r="B76" i="32"/>
  <c r="B77" i="32"/>
  <c r="B78" i="32"/>
  <c r="B79" i="32"/>
  <c r="B80" i="32"/>
  <c r="B81" i="32"/>
  <c r="B82" i="32"/>
  <c r="B83" i="32"/>
  <c r="B84" i="32"/>
  <c r="B85" i="32"/>
  <c r="B86" i="32"/>
  <c r="B87" i="32"/>
  <c r="B88" i="32"/>
  <c r="B89" i="32"/>
  <c r="B90" i="32"/>
  <c r="B91" i="32"/>
  <c r="B92" i="32"/>
  <c r="B93" i="32"/>
  <c r="B94" i="32"/>
  <c r="B95" i="32"/>
  <c r="B96" i="32"/>
  <c r="B97" i="32"/>
  <c r="B98" i="32"/>
  <c r="B99" i="32"/>
  <c r="B100" i="32"/>
  <c r="B101" i="32"/>
  <c r="B102" i="32"/>
  <c r="B103" i="32"/>
  <c r="B104" i="32"/>
  <c r="B105" i="32"/>
  <c r="B106" i="32"/>
  <c r="C74" i="32"/>
  <c r="C75" i="32"/>
  <c r="C76" i="32"/>
  <c r="C77" i="32"/>
  <c r="C78" i="32"/>
  <c r="C79" i="32"/>
  <c r="C80" i="32"/>
  <c r="C81" i="32"/>
  <c r="C82" i="32"/>
  <c r="C83" i="32"/>
  <c r="C84" i="32"/>
  <c r="C85" i="32"/>
  <c r="C86" i="32"/>
  <c r="C87" i="32"/>
  <c r="C88" i="32"/>
  <c r="C89" i="32"/>
  <c r="C90" i="32"/>
  <c r="C91" i="32"/>
  <c r="C92" i="32"/>
  <c r="C93" i="32"/>
  <c r="C94" i="32"/>
  <c r="C95" i="32"/>
  <c r="C96" i="32"/>
  <c r="C97" i="32"/>
  <c r="C98" i="32"/>
  <c r="C99" i="32"/>
  <c r="C100" i="32"/>
  <c r="C101" i="32"/>
  <c r="C102" i="32"/>
  <c r="C103" i="32"/>
  <c r="C104" i="32"/>
  <c r="C105" i="32"/>
  <c r="C106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H22" i="32"/>
  <c r="I74" i="32"/>
  <c r="Q74" i="32" s="1"/>
  <c r="I75" i="32"/>
  <c r="Q75" i="32" s="1"/>
  <c r="I76" i="32"/>
  <c r="Q76" i="32" s="1"/>
  <c r="I77" i="32"/>
  <c r="Q77" i="32" s="1"/>
  <c r="I78" i="32"/>
  <c r="Q78" i="32" s="1"/>
  <c r="I79" i="32"/>
  <c r="Q79" i="32" s="1"/>
  <c r="I80" i="32"/>
  <c r="Q80" i="32" s="1"/>
  <c r="I81" i="32"/>
  <c r="Q81" i="32" s="1"/>
  <c r="I82" i="32"/>
  <c r="Q82" i="32" s="1"/>
  <c r="I83" i="32"/>
  <c r="Q83" i="32" s="1"/>
  <c r="I84" i="32"/>
  <c r="Q84" i="32" s="1"/>
  <c r="I85" i="32"/>
  <c r="Q85" i="32" s="1"/>
  <c r="I86" i="32"/>
  <c r="Q86" i="32" s="1"/>
  <c r="I87" i="32"/>
  <c r="Q87" i="32" s="1"/>
  <c r="I88" i="32"/>
  <c r="Q88" i="32" s="1"/>
  <c r="I89" i="32"/>
  <c r="Q89" i="32" s="1"/>
  <c r="I90" i="32"/>
  <c r="Q90" i="32" s="1"/>
  <c r="I91" i="32"/>
  <c r="Q91" i="32" s="1"/>
  <c r="I92" i="32"/>
  <c r="Q92" i="32" s="1"/>
  <c r="I93" i="32"/>
  <c r="Q93" i="32" s="1"/>
  <c r="I94" i="32"/>
  <c r="Q94" i="32" s="1"/>
  <c r="I95" i="32"/>
  <c r="Q95" i="32" s="1"/>
  <c r="I96" i="32"/>
  <c r="Q96" i="32" s="1"/>
  <c r="I97" i="32"/>
  <c r="Q97" i="32" s="1"/>
  <c r="I98" i="32"/>
  <c r="Q98" i="32" s="1"/>
  <c r="I99" i="32"/>
  <c r="Q99" i="32" s="1"/>
  <c r="I100" i="32"/>
  <c r="Q100" i="32" s="1"/>
  <c r="I101" i="32"/>
  <c r="Q101" i="32" s="1"/>
  <c r="I102" i="32"/>
  <c r="Q102" i="32" s="1"/>
  <c r="I103" i="32"/>
  <c r="Q103" i="32" s="1"/>
  <c r="I104" i="32"/>
  <c r="Q104" i="32" s="1"/>
  <c r="I105" i="32"/>
  <c r="Q105" i="32" s="1"/>
  <c r="I106" i="32"/>
  <c r="Q106" i="32" s="1"/>
  <c r="H23" i="32"/>
  <c r="I23" i="32" s="1"/>
  <c r="Q23" i="32" s="1"/>
  <c r="H24" i="32"/>
  <c r="H25" i="32"/>
  <c r="I25" i="32" s="1"/>
  <c r="Q25" i="32" s="1"/>
  <c r="H26" i="32"/>
  <c r="I26" i="32" s="1"/>
  <c r="Q26" i="32" s="1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P74" i="32" s="1"/>
  <c r="H75" i="32"/>
  <c r="P75" i="32" s="1"/>
  <c r="H76" i="32"/>
  <c r="P76" i="32" s="1"/>
  <c r="H77" i="32"/>
  <c r="P77" i="32" s="1"/>
  <c r="H78" i="32"/>
  <c r="P78" i="32" s="1"/>
  <c r="H79" i="32"/>
  <c r="P79" i="32" s="1"/>
  <c r="H80" i="32"/>
  <c r="P80" i="32" s="1"/>
  <c r="H81" i="32"/>
  <c r="P81" i="32" s="1"/>
  <c r="H82" i="32"/>
  <c r="P82" i="32" s="1"/>
  <c r="H83" i="32"/>
  <c r="P83" i="32" s="1"/>
  <c r="H84" i="32"/>
  <c r="P84" i="32" s="1"/>
  <c r="H85" i="32"/>
  <c r="P85" i="32" s="1"/>
  <c r="H86" i="32"/>
  <c r="P86" i="32" s="1"/>
  <c r="H87" i="32"/>
  <c r="P87" i="32" s="1"/>
  <c r="H88" i="32"/>
  <c r="P88" i="32" s="1"/>
  <c r="H89" i="32"/>
  <c r="P89" i="32" s="1"/>
  <c r="H90" i="32"/>
  <c r="P90" i="32" s="1"/>
  <c r="H91" i="32"/>
  <c r="P91" i="32" s="1"/>
  <c r="H92" i="32"/>
  <c r="P92" i="32" s="1"/>
  <c r="H93" i="32"/>
  <c r="P93" i="32" s="1"/>
  <c r="H94" i="32"/>
  <c r="P94" i="32" s="1"/>
  <c r="H95" i="32"/>
  <c r="P95" i="32" s="1"/>
  <c r="H96" i="32"/>
  <c r="P96" i="32" s="1"/>
  <c r="H97" i="32"/>
  <c r="P97" i="32" s="1"/>
  <c r="H98" i="32"/>
  <c r="P98" i="32" s="1"/>
  <c r="H99" i="32"/>
  <c r="P99" i="32" s="1"/>
  <c r="H100" i="32"/>
  <c r="P100" i="32" s="1"/>
  <c r="H101" i="32"/>
  <c r="P101" i="32" s="1"/>
  <c r="H102" i="32"/>
  <c r="P102" i="32" s="1"/>
  <c r="H103" i="32"/>
  <c r="P103" i="32" s="1"/>
  <c r="H104" i="32"/>
  <c r="P104" i="32" s="1"/>
  <c r="H105" i="32"/>
  <c r="P105" i="32" s="1"/>
  <c r="H106" i="32"/>
  <c r="P106" i="32" s="1"/>
  <c r="P73" i="32" l="1"/>
  <c r="I73" i="32"/>
  <c r="Q73" i="32" s="1"/>
  <c r="P72" i="32"/>
  <c r="I72" i="32"/>
  <c r="Q72" i="32" s="1"/>
  <c r="P71" i="32"/>
  <c r="I71" i="32"/>
  <c r="Q71" i="32" s="1"/>
  <c r="P70" i="32"/>
  <c r="I70" i="32"/>
  <c r="Q70" i="32" s="1"/>
  <c r="P69" i="32"/>
  <c r="I69" i="32"/>
  <c r="Q69" i="32" s="1"/>
  <c r="P68" i="32"/>
  <c r="I68" i="32"/>
  <c r="Q68" i="32" s="1"/>
  <c r="P67" i="32"/>
  <c r="I67" i="32"/>
  <c r="Q67" i="32" s="1"/>
  <c r="P66" i="32"/>
  <c r="I66" i="32"/>
  <c r="Q66" i="32" s="1"/>
  <c r="P65" i="32"/>
  <c r="I65" i="32"/>
  <c r="Q65" i="32" s="1"/>
  <c r="P64" i="32"/>
  <c r="I64" i="32"/>
  <c r="Q64" i="32" s="1"/>
  <c r="P63" i="32"/>
  <c r="I63" i="32"/>
  <c r="Q63" i="32" s="1"/>
  <c r="P62" i="32"/>
  <c r="I62" i="32"/>
  <c r="Q62" i="32" s="1"/>
  <c r="P61" i="32"/>
  <c r="I61" i="32"/>
  <c r="Q61" i="32" s="1"/>
  <c r="P60" i="32"/>
  <c r="I60" i="32"/>
  <c r="Q60" i="32" s="1"/>
  <c r="P59" i="32"/>
  <c r="I59" i="32"/>
  <c r="Q59" i="32" s="1"/>
  <c r="P58" i="32"/>
  <c r="I58" i="32"/>
  <c r="Q58" i="32" s="1"/>
  <c r="P57" i="32"/>
  <c r="I57" i="32"/>
  <c r="Q57" i="32" s="1"/>
  <c r="P55" i="32"/>
  <c r="I55" i="32"/>
  <c r="Q55" i="32" s="1"/>
  <c r="P54" i="32"/>
  <c r="I54" i="32"/>
  <c r="Q54" i="32" s="1"/>
  <c r="P53" i="32"/>
  <c r="I53" i="32"/>
  <c r="Q53" i="32" s="1"/>
  <c r="P52" i="32"/>
  <c r="I52" i="32"/>
  <c r="Q52" i="32" s="1"/>
  <c r="P51" i="32"/>
  <c r="I51" i="32"/>
  <c r="Q51" i="32" s="1"/>
  <c r="P50" i="32"/>
  <c r="I50" i="32"/>
  <c r="Q50" i="32" s="1"/>
  <c r="P49" i="32"/>
  <c r="I49" i="32"/>
  <c r="Q49" i="32" s="1"/>
  <c r="P48" i="32"/>
  <c r="I48" i="32"/>
  <c r="Q48" i="32" s="1"/>
  <c r="P47" i="32"/>
  <c r="I47" i="32"/>
  <c r="Q47" i="32" s="1"/>
  <c r="P46" i="32"/>
  <c r="I46" i="32"/>
  <c r="Q46" i="32" s="1"/>
  <c r="P56" i="32"/>
  <c r="I56" i="32"/>
  <c r="Q56" i="32" s="1"/>
  <c r="I36" i="32"/>
  <c r="Q36" i="32" s="1"/>
  <c r="I45" i="32"/>
  <c r="Q45" i="32" s="1"/>
  <c r="I44" i="32"/>
  <c r="Q44" i="32" s="1"/>
  <c r="I43" i="32"/>
  <c r="Q43" i="32" s="1"/>
  <c r="I42" i="32"/>
  <c r="Q42" i="32" s="1"/>
  <c r="I41" i="32"/>
  <c r="Q41" i="32" s="1"/>
  <c r="I40" i="32"/>
  <c r="Q40" i="32" s="1"/>
  <c r="I39" i="32"/>
  <c r="Q39" i="32" s="1"/>
  <c r="I38" i="32"/>
  <c r="Q38" i="32" s="1"/>
  <c r="I37" i="32"/>
  <c r="Q37" i="32" s="1"/>
  <c r="I35" i="32"/>
  <c r="Q35" i="32" s="1"/>
  <c r="I34" i="32"/>
  <c r="Q34" i="32" s="1"/>
  <c r="I33" i="32"/>
  <c r="Q33" i="32" s="1"/>
  <c r="I32" i="32"/>
  <c r="Q32" i="32" s="1"/>
  <c r="I31" i="32"/>
  <c r="Q31" i="32" s="1"/>
  <c r="I30" i="32"/>
  <c r="Q30" i="32" s="1"/>
  <c r="I29" i="32"/>
  <c r="Q29" i="32" s="1"/>
  <c r="I28" i="32"/>
  <c r="Q28" i="32" s="1"/>
  <c r="I27" i="32"/>
  <c r="Q27" i="32" s="1"/>
  <c r="I24" i="32"/>
  <c r="Q24" i="32" s="1"/>
  <c r="P32" i="32" l="1"/>
  <c r="P45" i="32"/>
  <c r="P35" i="32"/>
  <c r="P40" i="32"/>
  <c r="P43" i="32"/>
  <c r="P33" i="32"/>
  <c r="P36" i="32"/>
  <c r="P41" i="32"/>
  <c r="P44" i="32"/>
  <c r="P37" i="32"/>
  <c r="P31" i="32"/>
  <c r="P34" i="32"/>
  <c r="P38" i="32"/>
  <c r="P39" i="32"/>
  <c r="P42" i="32"/>
  <c r="P29" i="32"/>
  <c r="J106" i="32" l="1"/>
  <c r="D106" i="32" s="1"/>
  <c r="J105" i="32"/>
  <c r="D105" i="32" s="1"/>
  <c r="J104" i="32"/>
  <c r="D104" i="32" s="1"/>
  <c r="J103" i="32"/>
  <c r="D103" i="32" s="1"/>
  <c r="J102" i="32"/>
  <c r="D102" i="32" s="1"/>
  <c r="J101" i="32"/>
  <c r="D101" i="32" s="1"/>
  <c r="J100" i="32"/>
  <c r="D100" i="32" s="1"/>
  <c r="J99" i="32"/>
  <c r="D99" i="32" s="1"/>
  <c r="J98" i="32"/>
  <c r="D98" i="32" s="1"/>
  <c r="J97" i="32"/>
  <c r="D97" i="32" s="1"/>
  <c r="J96" i="32"/>
  <c r="D96" i="32" s="1"/>
  <c r="J95" i="32"/>
  <c r="D95" i="32" s="1"/>
  <c r="J94" i="32"/>
  <c r="D94" i="32" s="1"/>
  <c r="J93" i="32"/>
  <c r="D93" i="32" s="1"/>
  <c r="J92" i="32"/>
  <c r="D92" i="32" s="1"/>
  <c r="J91" i="32"/>
  <c r="D91" i="32" s="1"/>
  <c r="J90" i="32"/>
  <c r="D90" i="32" s="1"/>
  <c r="J89" i="32"/>
  <c r="D89" i="32" s="1"/>
  <c r="J88" i="32"/>
  <c r="D88" i="32" s="1"/>
  <c r="J87" i="32"/>
  <c r="D87" i="32" s="1"/>
  <c r="J86" i="32"/>
  <c r="D86" i="32" s="1"/>
  <c r="J85" i="32"/>
  <c r="D85" i="32" s="1"/>
  <c r="J84" i="32"/>
  <c r="D84" i="32" s="1"/>
  <c r="J83" i="32"/>
  <c r="D83" i="32" s="1"/>
  <c r="J82" i="32"/>
  <c r="D82" i="32" s="1"/>
  <c r="J81" i="32"/>
  <c r="D81" i="32" s="1"/>
  <c r="J80" i="32"/>
  <c r="D80" i="32" s="1"/>
  <c r="J79" i="32"/>
  <c r="D79" i="32" s="1"/>
  <c r="J78" i="32"/>
  <c r="D78" i="32" s="1"/>
  <c r="J77" i="32"/>
  <c r="D77" i="32" s="1"/>
  <c r="J76" i="32"/>
  <c r="D76" i="32" s="1"/>
  <c r="J75" i="32"/>
  <c r="D75" i="32" s="1"/>
  <c r="J74" i="32"/>
  <c r="D74" i="32" s="1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M20" i="32"/>
  <c r="N48" i="32" l="1"/>
  <c r="T76" i="32"/>
  <c r="R76" i="32"/>
  <c r="S76" i="32"/>
  <c r="O80" i="32"/>
  <c r="S80" i="32"/>
  <c r="R80" i="32"/>
  <c r="T80" i="32"/>
  <c r="R86" i="32"/>
  <c r="T86" i="32"/>
  <c r="S86" i="32"/>
  <c r="S90" i="32"/>
  <c r="T90" i="32"/>
  <c r="R90" i="32"/>
  <c r="T91" i="32"/>
  <c r="S91" i="32"/>
  <c r="R91" i="32"/>
  <c r="R95" i="32"/>
  <c r="T95" i="32"/>
  <c r="S95" i="32"/>
  <c r="T99" i="32"/>
  <c r="S99" i="32"/>
  <c r="R99" i="32"/>
  <c r="R103" i="32"/>
  <c r="T103" i="32"/>
  <c r="S103" i="32"/>
  <c r="S24" i="32"/>
  <c r="R24" i="32"/>
  <c r="T24" i="32"/>
  <c r="O26" i="32"/>
  <c r="S26" i="32"/>
  <c r="T26" i="32"/>
  <c r="R26" i="32"/>
  <c r="T28" i="32"/>
  <c r="R28" i="32"/>
  <c r="S28" i="32"/>
  <c r="R30" i="32"/>
  <c r="T30" i="32"/>
  <c r="S30" i="32"/>
  <c r="L32" i="32"/>
  <c r="S32" i="32"/>
  <c r="R32" i="32"/>
  <c r="T32" i="32"/>
  <c r="O34" i="32"/>
  <c r="S34" i="32"/>
  <c r="T34" i="32"/>
  <c r="R34" i="32"/>
  <c r="L36" i="32"/>
  <c r="T36" i="32"/>
  <c r="R36" i="32"/>
  <c r="S36" i="32"/>
  <c r="R38" i="32"/>
  <c r="T38" i="32"/>
  <c r="S38" i="32"/>
  <c r="L40" i="32"/>
  <c r="S40" i="32"/>
  <c r="R40" i="32"/>
  <c r="T40" i="32"/>
  <c r="O42" i="32"/>
  <c r="S42" i="32"/>
  <c r="T42" i="32"/>
  <c r="R42" i="32"/>
  <c r="L44" i="32"/>
  <c r="T44" i="32"/>
  <c r="S44" i="32"/>
  <c r="R44" i="32"/>
  <c r="M46" i="32"/>
  <c r="R46" i="32"/>
  <c r="T46" i="32"/>
  <c r="S46" i="32"/>
  <c r="O48" i="32"/>
  <c r="S48" i="32"/>
  <c r="R48" i="32"/>
  <c r="T48" i="32"/>
  <c r="R93" i="32"/>
  <c r="T93" i="32"/>
  <c r="S93" i="32"/>
  <c r="S97" i="32"/>
  <c r="R97" i="32"/>
  <c r="T97" i="32"/>
  <c r="R101" i="32"/>
  <c r="T101" i="32"/>
  <c r="S101" i="32"/>
  <c r="S105" i="32"/>
  <c r="R105" i="32"/>
  <c r="T105" i="32"/>
  <c r="N50" i="32"/>
  <c r="S50" i="32"/>
  <c r="T50" i="32"/>
  <c r="R50" i="32"/>
  <c r="O52" i="32"/>
  <c r="T52" i="32"/>
  <c r="S52" i="32"/>
  <c r="R52" i="32"/>
  <c r="R54" i="32"/>
  <c r="T54" i="32"/>
  <c r="S54" i="32"/>
  <c r="N56" i="32"/>
  <c r="S56" i="32"/>
  <c r="R56" i="32"/>
  <c r="T56" i="32"/>
  <c r="N58" i="32"/>
  <c r="S58" i="32"/>
  <c r="T58" i="32"/>
  <c r="R58" i="32"/>
  <c r="L60" i="32"/>
  <c r="T60" i="32"/>
  <c r="R60" i="32"/>
  <c r="S60" i="32"/>
  <c r="R62" i="32"/>
  <c r="T62" i="32"/>
  <c r="S62" i="32"/>
  <c r="S64" i="32"/>
  <c r="R64" i="32"/>
  <c r="T64" i="32"/>
  <c r="S66" i="32"/>
  <c r="T66" i="32"/>
  <c r="R66" i="32"/>
  <c r="R68" i="32"/>
  <c r="T68" i="32"/>
  <c r="S68" i="32"/>
  <c r="R70" i="32"/>
  <c r="T70" i="32"/>
  <c r="S70" i="32"/>
  <c r="S72" i="32"/>
  <c r="R72" i="32"/>
  <c r="T72" i="32"/>
  <c r="S74" i="32"/>
  <c r="R74" i="32"/>
  <c r="T74" i="32"/>
  <c r="R78" i="32"/>
  <c r="T78" i="32"/>
  <c r="S78" i="32"/>
  <c r="T84" i="32"/>
  <c r="S84" i="32"/>
  <c r="R84" i="32"/>
  <c r="L90" i="32"/>
  <c r="O96" i="32"/>
  <c r="S96" i="32"/>
  <c r="R96" i="32"/>
  <c r="T96" i="32"/>
  <c r="R102" i="32"/>
  <c r="T102" i="32"/>
  <c r="S102" i="32"/>
  <c r="T23" i="32"/>
  <c r="R23" i="32"/>
  <c r="S23" i="32"/>
  <c r="S25" i="32"/>
  <c r="R25" i="32"/>
  <c r="T25" i="32"/>
  <c r="T27" i="32"/>
  <c r="S27" i="32"/>
  <c r="R27" i="32"/>
  <c r="R29" i="32"/>
  <c r="T29" i="32"/>
  <c r="S29" i="32"/>
  <c r="R31" i="32"/>
  <c r="T31" i="32"/>
  <c r="S31" i="32"/>
  <c r="S33" i="32"/>
  <c r="R33" i="32"/>
  <c r="T33" i="32"/>
  <c r="T35" i="32"/>
  <c r="S35" i="32"/>
  <c r="R35" i="32"/>
  <c r="R37" i="32"/>
  <c r="T37" i="32"/>
  <c r="S37" i="32"/>
  <c r="R39" i="32"/>
  <c r="T39" i="32"/>
  <c r="S39" i="32"/>
  <c r="S41" i="32"/>
  <c r="R41" i="32"/>
  <c r="T41" i="32"/>
  <c r="T43" i="32"/>
  <c r="S43" i="32"/>
  <c r="R43" i="32"/>
  <c r="R45" i="32"/>
  <c r="T45" i="32"/>
  <c r="S45" i="32"/>
  <c r="R47" i="32"/>
  <c r="S47" i="32"/>
  <c r="T47" i="32"/>
  <c r="T106" i="32"/>
  <c r="S106" i="32"/>
  <c r="R106" i="32"/>
  <c r="S49" i="32"/>
  <c r="R49" i="32"/>
  <c r="T49" i="32"/>
  <c r="N51" i="32"/>
  <c r="T51" i="32"/>
  <c r="S51" i="32"/>
  <c r="R51" i="32"/>
  <c r="R53" i="32"/>
  <c r="T53" i="32"/>
  <c r="S53" i="32"/>
  <c r="O55" i="32"/>
  <c r="R55" i="32"/>
  <c r="S55" i="32"/>
  <c r="T55" i="32"/>
  <c r="O57" i="32"/>
  <c r="S57" i="32"/>
  <c r="R57" i="32"/>
  <c r="T57" i="32"/>
  <c r="T59" i="32"/>
  <c r="S59" i="32"/>
  <c r="R59" i="32"/>
  <c r="L61" i="32"/>
  <c r="R61" i="32"/>
  <c r="T61" i="32"/>
  <c r="S61" i="32"/>
  <c r="R63" i="32"/>
  <c r="T63" i="32"/>
  <c r="S63" i="32"/>
  <c r="S65" i="32"/>
  <c r="R65" i="32"/>
  <c r="T65" i="32"/>
  <c r="L67" i="32"/>
  <c r="T67" i="32"/>
  <c r="S67" i="32"/>
  <c r="R67" i="32"/>
  <c r="R69" i="32"/>
  <c r="T69" i="32"/>
  <c r="S69" i="32"/>
  <c r="R71" i="32"/>
  <c r="T71" i="32"/>
  <c r="S71" i="32"/>
  <c r="S73" i="32"/>
  <c r="R73" i="32"/>
  <c r="T73" i="32"/>
  <c r="T75" i="32"/>
  <c r="S75" i="32"/>
  <c r="R75" i="32"/>
  <c r="S82" i="32"/>
  <c r="T82" i="32"/>
  <c r="R82" i="32"/>
  <c r="O88" i="32"/>
  <c r="S88" i="32"/>
  <c r="R88" i="32"/>
  <c r="T88" i="32"/>
  <c r="T92" i="32"/>
  <c r="S92" i="32"/>
  <c r="R92" i="32"/>
  <c r="R94" i="32"/>
  <c r="T94" i="32"/>
  <c r="S94" i="32"/>
  <c r="T98" i="32"/>
  <c r="S98" i="32"/>
  <c r="R98" i="32"/>
  <c r="T100" i="32"/>
  <c r="R100" i="32"/>
  <c r="S100" i="32"/>
  <c r="O104" i="32"/>
  <c r="S104" i="32"/>
  <c r="R104" i="32"/>
  <c r="T104" i="32"/>
  <c r="M75" i="32"/>
  <c r="R77" i="32"/>
  <c r="T77" i="32"/>
  <c r="S77" i="32"/>
  <c r="R79" i="32"/>
  <c r="S79" i="32"/>
  <c r="T79" i="32"/>
  <c r="N81" i="32"/>
  <c r="S81" i="32"/>
  <c r="R81" i="32"/>
  <c r="T81" i="32"/>
  <c r="T83" i="32"/>
  <c r="S83" i="32"/>
  <c r="R83" i="32"/>
  <c r="R85" i="32"/>
  <c r="T85" i="32"/>
  <c r="S85" i="32"/>
  <c r="R87" i="32"/>
  <c r="S87" i="32"/>
  <c r="T87" i="32"/>
  <c r="S89" i="32"/>
  <c r="R89" i="32"/>
  <c r="T89" i="32"/>
  <c r="L35" i="32"/>
  <c r="N70" i="32"/>
  <c r="N32" i="32"/>
  <c r="M40" i="32"/>
  <c r="N57" i="32"/>
  <c r="L33" i="32"/>
  <c r="N33" i="32"/>
  <c r="L49" i="32"/>
  <c r="N73" i="32"/>
  <c r="M95" i="32"/>
  <c r="M49" i="32"/>
  <c r="N49" i="32"/>
  <c r="O29" i="32"/>
  <c r="M87" i="32"/>
  <c r="O32" i="32"/>
  <c r="M36" i="32"/>
  <c r="O37" i="32"/>
  <c r="O66" i="32"/>
  <c r="L79" i="32"/>
  <c r="O56" i="32"/>
  <c r="N35" i="32"/>
  <c r="O79" i="32"/>
  <c r="N36" i="32"/>
  <c r="M54" i="32"/>
  <c r="N72" i="32"/>
  <c r="O40" i="32"/>
  <c r="L65" i="32"/>
  <c r="M68" i="32"/>
  <c r="O77" i="32"/>
  <c r="L82" i="32"/>
  <c r="O86" i="32"/>
  <c r="N93" i="32"/>
  <c r="M102" i="32"/>
  <c r="M65" i="32"/>
  <c r="N82" i="32"/>
  <c r="N102" i="32"/>
  <c r="N29" i="32"/>
  <c r="N37" i="32"/>
  <c r="N55" i="32"/>
  <c r="O58" i="32"/>
  <c r="N65" i="32"/>
  <c r="M79" i="32"/>
  <c r="N90" i="32"/>
  <c r="L95" i="32"/>
  <c r="N101" i="32"/>
  <c r="N40" i="32"/>
  <c r="M44" i="32"/>
  <c r="N45" i="32"/>
  <c r="L63" i="32"/>
  <c r="M74" i="32"/>
  <c r="L80" i="32"/>
  <c r="I22" i="32"/>
  <c r="N44" i="32"/>
  <c r="O39" i="32"/>
  <c r="L72" i="32"/>
  <c r="M73" i="32"/>
  <c r="L87" i="32"/>
  <c r="N74" i="32"/>
  <c r="N85" i="32"/>
  <c r="L88" i="32"/>
  <c r="M94" i="32"/>
  <c r="L98" i="32"/>
  <c r="L103" i="32"/>
  <c r="L31" i="32"/>
  <c r="L41" i="32"/>
  <c r="N54" i="32"/>
  <c r="M61" i="32"/>
  <c r="O25" i="32"/>
  <c r="M31" i="32"/>
  <c r="L39" i="32"/>
  <c r="N41" i="32"/>
  <c r="O49" i="32"/>
  <c r="M53" i="32"/>
  <c r="N61" i="32"/>
  <c r="L64" i="32"/>
  <c r="L71" i="32"/>
  <c r="N78" i="32"/>
  <c r="M86" i="32"/>
  <c r="O87" i="32"/>
  <c r="O90" i="32"/>
  <c r="L91" i="32"/>
  <c r="N94" i="32"/>
  <c r="M98" i="32"/>
  <c r="O101" i="32"/>
  <c r="M103" i="32"/>
  <c r="L104" i="32"/>
  <c r="N43" i="32"/>
  <c r="L53" i="32"/>
  <c r="M78" i="32"/>
  <c r="O27" i="32"/>
  <c r="M32" i="32"/>
  <c r="O33" i="32"/>
  <c r="M39" i="32"/>
  <c r="N53" i="32"/>
  <c r="O63" i="32"/>
  <c r="M64" i="32"/>
  <c r="O65" i="32"/>
  <c r="L68" i="32"/>
  <c r="O70" i="32"/>
  <c r="M71" i="32"/>
  <c r="O82" i="32"/>
  <c r="L83" i="32"/>
  <c r="N86" i="32"/>
  <c r="O93" i="32"/>
  <c r="L99" i="32"/>
  <c r="O35" i="32"/>
  <c r="O41" i="32"/>
  <c r="O54" i="32"/>
  <c r="O74" i="32"/>
  <c r="O85" i="32"/>
  <c r="O98" i="32"/>
  <c r="M43" i="32"/>
  <c r="O31" i="32"/>
  <c r="O43" i="32"/>
  <c r="O61" i="32"/>
  <c r="O78" i="32"/>
  <c r="O94" i="32"/>
  <c r="L96" i="32"/>
  <c r="M106" i="32"/>
  <c r="O24" i="32"/>
  <c r="M35" i="32"/>
  <c r="L43" i="32"/>
  <c r="D43" i="32" s="1"/>
  <c r="O45" i="32"/>
  <c r="O53" i="32"/>
  <c r="L54" i="32"/>
  <c r="D54" i="32" s="1"/>
  <c r="O64" i="32"/>
  <c r="M70" i="32"/>
  <c r="O71" i="32"/>
  <c r="L74" i="32"/>
  <c r="M82" i="32"/>
  <c r="M90" i="32"/>
  <c r="O106" i="32"/>
  <c r="O23" i="32"/>
  <c r="N60" i="32"/>
  <c r="O60" i="32"/>
  <c r="O62" i="32"/>
  <c r="O67" i="32"/>
  <c r="M67" i="32"/>
  <c r="O69" i="32"/>
  <c r="M47" i="32"/>
  <c r="L34" i="32"/>
  <c r="L42" i="32"/>
  <c r="L47" i="32"/>
  <c r="O51" i="32"/>
  <c r="O59" i="32"/>
  <c r="M59" i="32"/>
  <c r="L29" i="32"/>
  <c r="N31" i="32"/>
  <c r="M34" i="32"/>
  <c r="L37" i="32"/>
  <c r="N39" i="32"/>
  <c r="M42" i="32"/>
  <c r="L45" i="32"/>
  <c r="L46" i="32"/>
  <c r="N47" i="32"/>
  <c r="L48" i="32"/>
  <c r="O50" i="32"/>
  <c r="L59" i="32"/>
  <c r="M60" i="32"/>
  <c r="M66" i="32"/>
  <c r="L66" i="32"/>
  <c r="N67" i="32"/>
  <c r="N75" i="32"/>
  <c r="O75" i="32"/>
  <c r="O22" i="32"/>
  <c r="M29" i="32"/>
  <c r="O30" i="32"/>
  <c r="N34" i="32"/>
  <c r="M37" i="32"/>
  <c r="O38" i="32"/>
  <c r="N42" i="32"/>
  <c r="M45" i="32"/>
  <c r="N46" i="32"/>
  <c r="M48" i="32"/>
  <c r="M56" i="32"/>
  <c r="L56" i="32"/>
  <c r="D56" i="32" s="1"/>
  <c r="M58" i="32"/>
  <c r="L58" i="32"/>
  <c r="D58" i="32" s="1"/>
  <c r="N59" i="32"/>
  <c r="N63" i="32"/>
  <c r="M63" i="32"/>
  <c r="N66" i="32"/>
  <c r="O72" i="32"/>
  <c r="M72" i="32"/>
  <c r="L75" i="32"/>
  <c r="N105" i="32"/>
  <c r="M105" i="32"/>
  <c r="L105" i="32"/>
  <c r="O105" i="32"/>
  <c r="N52" i="32"/>
  <c r="L62" i="32"/>
  <c r="M69" i="32"/>
  <c r="L69" i="32"/>
  <c r="M97" i="32"/>
  <c r="L97" i="32"/>
  <c r="O97" i="32"/>
  <c r="O28" i="32"/>
  <c r="O36" i="32"/>
  <c r="L38" i="32"/>
  <c r="O44" i="32"/>
  <c r="M50" i="32"/>
  <c r="M51" i="32"/>
  <c r="L52" i="32"/>
  <c r="M62" i="32"/>
  <c r="N69" i="32"/>
  <c r="M81" i="32"/>
  <c r="L81" i="32"/>
  <c r="O81" i="32"/>
  <c r="N97" i="32"/>
  <c r="O47" i="32"/>
  <c r="M52" i="32"/>
  <c r="N62" i="32"/>
  <c r="N76" i="32"/>
  <c r="M76" i="32"/>
  <c r="O76" i="32"/>
  <c r="M89" i="32"/>
  <c r="L89" i="32"/>
  <c r="O89" i="32"/>
  <c r="L20" i="32"/>
  <c r="L50" i="32"/>
  <c r="D50" i="32" s="1"/>
  <c r="L51" i="32"/>
  <c r="D51" i="32" s="1"/>
  <c r="M38" i="32"/>
  <c r="J19" i="32"/>
  <c r="M33" i="32"/>
  <c r="N38" i="32"/>
  <c r="M41" i="32"/>
  <c r="O46" i="32"/>
  <c r="M55" i="32"/>
  <c r="L55" i="32"/>
  <c r="D55" i="32" s="1"/>
  <c r="M57" i="32"/>
  <c r="L57" i="32"/>
  <c r="D57" i="32" s="1"/>
  <c r="N68" i="32"/>
  <c r="O68" i="32"/>
  <c r="L73" i="32"/>
  <c r="O73" i="32"/>
  <c r="L76" i="32"/>
  <c r="N84" i="32"/>
  <c r="M84" i="32"/>
  <c r="L84" i="32"/>
  <c r="O84" i="32"/>
  <c r="N89" i="32"/>
  <c r="N92" i="32"/>
  <c r="M92" i="32"/>
  <c r="L92" i="32"/>
  <c r="O92" i="32"/>
  <c r="N77" i="32"/>
  <c r="N64" i="32"/>
  <c r="N71" i="32"/>
  <c r="N79" i="32"/>
  <c r="M80" i="32"/>
  <c r="O83" i="32"/>
  <c r="N87" i="32"/>
  <c r="M88" i="32"/>
  <c r="O91" i="32"/>
  <c r="N95" i="32"/>
  <c r="M96" i="32"/>
  <c r="O99" i="32"/>
  <c r="N103" i="32"/>
  <c r="M104" i="32"/>
  <c r="N80" i="32"/>
  <c r="N88" i="32"/>
  <c r="N96" i="32"/>
  <c r="O100" i="32"/>
  <c r="N104" i="32"/>
  <c r="L106" i="32"/>
  <c r="M83" i="32"/>
  <c r="M91" i="32"/>
  <c r="N98" i="32"/>
  <c r="M99" i="32"/>
  <c r="L100" i="32"/>
  <c r="O102" i="32"/>
  <c r="N106" i="32"/>
  <c r="L77" i="32"/>
  <c r="N83" i="32"/>
  <c r="L85" i="32"/>
  <c r="N91" i="32"/>
  <c r="L93" i="32"/>
  <c r="O95" i="32"/>
  <c r="N99" i="32"/>
  <c r="M100" i="32"/>
  <c r="L101" i="32"/>
  <c r="O103" i="32"/>
  <c r="L70" i="32"/>
  <c r="D70" i="32" s="1"/>
  <c r="M77" i="32"/>
  <c r="L78" i="32"/>
  <c r="M85" i="32"/>
  <c r="L86" i="32"/>
  <c r="M93" i="32"/>
  <c r="L94" i="32"/>
  <c r="N100" i="32"/>
  <c r="M101" i="32"/>
  <c r="L102" i="32"/>
  <c r="D73" i="32" l="1"/>
  <c r="D72" i="32"/>
  <c r="D71" i="32"/>
  <c r="B70" i="32"/>
  <c r="C70" i="32"/>
  <c r="A70" i="32"/>
  <c r="D69" i="32"/>
  <c r="D68" i="32"/>
  <c r="D67" i="32"/>
  <c r="D66" i="32"/>
  <c r="D65" i="32"/>
  <c r="D64" i="32"/>
  <c r="D63" i="32"/>
  <c r="D62" i="32"/>
  <c r="D61" i="32"/>
  <c r="D60" i="32"/>
  <c r="D59" i="32"/>
  <c r="B58" i="32"/>
  <c r="C58" i="32"/>
  <c r="A58" i="32"/>
  <c r="B57" i="32"/>
  <c r="C57" i="32"/>
  <c r="A57" i="32"/>
  <c r="B55" i="32"/>
  <c r="C55" i="32"/>
  <c r="A55" i="32"/>
  <c r="B54" i="32"/>
  <c r="C54" i="32"/>
  <c r="A54" i="32"/>
  <c r="D53" i="32"/>
  <c r="D52" i="32"/>
  <c r="B51" i="32"/>
  <c r="C51" i="32"/>
  <c r="A51" i="32"/>
  <c r="B50" i="32"/>
  <c r="C50" i="32"/>
  <c r="A50" i="32"/>
  <c r="D49" i="32"/>
  <c r="D48" i="32"/>
  <c r="D47" i="32"/>
  <c r="D46" i="32"/>
  <c r="D45" i="32"/>
  <c r="D44" i="32"/>
  <c r="D42" i="32"/>
  <c r="D41" i="32"/>
  <c r="D40" i="32"/>
  <c r="D39" i="32"/>
  <c r="D38" i="32"/>
  <c r="D37" i="32"/>
  <c r="D36" i="32"/>
  <c r="B56" i="32"/>
  <c r="C56" i="32"/>
  <c r="A56" i="32"/>
  <c r="B48" i="32"/>
  <c r="C48" i="32"/>
  <c r="A48" i="32"/>
  <c r="D29" i="32"/>
  <c r="D31" i="32"/>
  <c r="D32" i="32"/>
  <c r="D33" i="32"/>
  <c r="D34" i="32"/>
  <c r="D35" i="32"/>
  <c r="Q22" i="32"/>
  <c r="Q19" i="32" s="1"/>
  <c r="A33" i="32"/>
  <c r="R22" i="32"/>
  <c r="R19" i="32" s="1"/>
  <c r="R20" i="32" s="1"/>
  <c r="T22" i="32"/>
  <c r="T19" i="32" s="1"/>
  <c r="S22" i="32"/>
  <c r="S19" i="32" s="1"/>
  <c r="I19" i="32"/>
  <c r="O19" i="32"/>
  <c r="B73" i="32" l="1"/>
  <c r="C73" i="32"/>
  <c r="A73" i="32"/>
  <c r="B72" i="32"/>
  <c r="C72" i="32"/>
  <c r="A72" i="32"/>
  <c r="B71" i="32"/>
  <c r="C71" i="32"/>
  <c r="A71" i="32"/>
  <c r="B69" i="32"/>
  <c r="C69" i="32"/>
  <c r="A69" i="32"/>
  <c r="B68" i="32"/>
  <c r="C68" i="32"/>
  <c r="A68" i="32"/>
  <c r="B67" i="32"/>
  <c r="C67" i="32"/>
  <c r="A67" i="32"/>
  <c r="B66" i="32"/>
  <c r="C66" i="32"/>
  <c r="A66" i="32"/>
  <c r="B65" i="32"/>
  <c r="C65" i="32"/>
  <c r="A65" i="32"/>
  <c r="B64" i="32"/>
  <c r="C64" i="32"/>
  <c r="A64" i="32"/>
  <c r="B63" i="32"/>
  <c r="C63" i="32"/>
  <c r="A63" i="32"/>
  <c r="B62" i="32"/>
  <c r="C62" i="32"/>
  <c r="A62" i="32"/>
  <c r="B61" i="32"/>
  <c r="C61" i="32"/>
  <c r="A61" i="32"/>
  <c r="B60" i="32"/>
  <c r="C60" i="32"/>
  <c r="A60" i="32"/>
  <c r="B59" i="32"/>
  <c r="C59" i="32"/>
  <c r="A59" i="32"/>
  <c r="B53" i="32"/>
  <c r="C53" i="32"/>
  <c r="A53" i="32"/>
  <c r="B52" i="32"/>
  <c r="C52" i="32"/>
  <c r="A52" i="32"/>
  <c r="B49" i="32"/>
  <c r="C49" i="32"/>
  <c r="A49" i="32"/>
  <c r="B47" i="32"/>
  <c r="C47" i="32"/>
  <c r="A47" i="32"/>
  <c r="B46" i="32"/>
  <c r="C46" i="32"/>
  <c r="A46" i="32"/>
  <c r="C33" i="32"/>
  <c r="B33" i="32"/>
  <c r="B45" i="32"/>
  <c r="A45" i="32"/>
  <c r="C45" i="32"/>
  <c r="B44" i="32"/>
  <c r="A44" i="32"/>
  <c r="C44" i="32"/>
  <c r="B43" i="32"/>
  <c r="C43" i="32"/>
  <c r="A43" i="32"/>
  <c r="B42" i="32"/>
  <c r="C42" i="32"/>
  <c r="A42" i="32"/>
  <c r="B41" i="32"/>
  <c r="C41" i="32"/>
  <c r="A41" i="32"/>
  <c r="B40" i="32"/>
  <c r="C40" i="32"/>
  <c r="A40" i="32"/>
  <c r="B39" i="32"/>
  <c r="A39" i="32"/>
  <c r="C39" i="32"/>
  <c r="B38" i="32"/>
  <c r="A38" i="32"/>
  <c r="C38" i="32"/>
  <c r="B37" i="32"/>
  <c r="A37" i="32"/>
  <c r="C37" i="32"/>
  <c r="B36" i="32"/>
  <c r="A36" i="32"/>
  <c r="C36" i="32"/>
  <c r="B35" i="32"/>
  <c r="C35" i="32"/>
  <c r="A35" i="32"/>
  <c r="B34" i="32"/>
  <c r="C34" i="32"/>
  <c r="A34" i="32"/>
  <c r="B32" i="32"/>
  <c r="C32" i="32"/>
  <c r="A32" i="32"/>
  <c r="B31" i="32"/>
  <c r="A31" i="32"/>
  <c r="C31" i="32"/>
  <c r="B29" i="32"/>
  <c r="A29" i="32"/>
  <c r="C29" i="32"/>
  <c r="M24" i="12" l="1"/>
  <c r="M23" i="12"/>
  <c r="N119" i="32" s="1"/>
  <c r="M22" i="12"/>
  <c r="M21" i="12"/>
  <c r="I20" i="12"/>
  <c r="M20" i="12"/>
  <c r="L119" i="32" s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V105" i="1"/>
  <c r="S106" i="1"/>
  <c r="U106" i="1"/>
  <c r="V106" i="1"/>
  <c r="W106" i="1"/>
  <c r="S107" i="1"/>
  <c r="T107" i="1"/>
  <c r="U107" i="1"/>
  <c r="V107" i="1"/>
  <c r="W107" i="1"/>
  <c r="I39" i="12"/>
  <c r="M39" i="12"/>
  <c r="I38" i="12"/>
  <c r="M38" i="12"/>
  <c r="I42" i="12"/>
  <c r="M42" i="12"/>
  <c r="M40" i="12"/>
  <c r="T118" i="1" s="1"/>
  <c r="I40" i="12"/>
  <c r="M37" i="12"/>
  <c r="P119" i="32" s="1"/>
  <c r="I37" i="12"/>
  <c r="M119" i="32" l="1"/>
  <c r="P26" i="32"/>
  <c r="P25" i="32"/>
  <c r="P23" i="32"/>
  <c r="P28" i="32"/>
  <c r="P24" i="32"/>
  <c r="P27" i="32"/>
  <c r="P30" i="32"/>
  <c r="P22" i="32"/>
  <c r="L22" i="32"/>
  <c r="L24" i="32"/>
  <c r="L25" i="32"/>
  <c r="L26" i="32"/>
  <c r="L30" i="32"/>
  <c r="L23" i="32"/>
  <c r="L27" i="32"/>
  <c r="L28" i="32"/>
  <c r="M23" i="32"/>
  <c r="M30" i="32"/>
  <c r="M27" i="32"/>
  <c r="M24" i="32"/>
  <c r="M22" i="32"/>
  <c r="M28" i="32"/>
  <c r="M26" i="32"/>
  <c r="M25" i="32"/>
  <c r="N27" i="32"/>
  <c r="N25" i="32"/>
  <c r="N24" i="32"/>
  <c r="N26" i="32"/>
  <c r="N23" i="32"/>
  <c r="N22" i="32"/>
  <c r="N28" i="32"/>
  <c r="N30" i="32"/>
  <c r="M120" i="1"/>
  <c r="S118" i="1"/>
  <c r="W7" i="19"/>
  <c r="W8" i="19"/>
  <c r="W9" i="19"/>
  <c r="W10" i="19"/>
  <c r="W11" i="19"/>
  <c r="W12" i="19"/>
  <c r="W13" i="19"/>
  <c r="W14" i="19"/>
  <c r="W15" i="19"/>
  <c r="W6" i="19"/>
  <c r="H21" i="1"/>
  <c r="H22" i="1"/>
  <c r="H23" i="1"/>
  <c r="H24" i="1"/>
  <c r="H25" i="1"/>
  <c r="H26" i="1"/>
  <c r="H27" i="1"/>
  <c r="H28" i="1"/>
  <c r="AB6" i="29"/>
  <c r="J122" i="12"/>
  <c r="J121" i="12"/>
  <c r="M121" i="12" s="1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22" i="5"/>
  <c r="D23" i="32" l="1"/>
  <c r="D24" i="32"/>
  <c r="D25" i="32"/>
  <c r="D26" i="32"/>
  <c r="D27" i="32"/>
  <c r="D28" i="32"/>
  <c r="D30" i="32"/>
  <c r="D22" i="32"/>
  <c r="P19" i="32"/>
  <c r="N19" i="32"/>
  <c r="N20" i="32" s="1"/>
  <c r="M19" i="32"/>
  <c r="L19" i="32"/>
  <c r="F17" i="11"/>
  <c r="J31" i="5"/>
  <c r="K31" i="5"/>
  <c r="J32" i="5"/>
  <c r="K32" i="5"/>
  <c r="J33" i="5"/>
  <c r="K33" i="5"/>
  <c r="J34" i="5"/>
  <c r="K34" i="5"/>
  <c r="J35" i="5"/>
  <c r="K35" i="5"/>
  <c r="J36" i="5"/>
  <c r="K36" i="5"/>
  <c r="J37" i="5"/>
  <c r="K37" i="5"/>
  <c r="J38" i="5"/>
  <c r="K38" i="5"/>
  <c r="J39" i="5"/>
  <c r="K39" i="5"/>
  <c r="J40" i="5"/>
  <c r="K40" i="5"/>
  <c r="J41" i="5"/>
  <c r="K41" i="5"/>
  <c r="J42" i="5"/>
  <c r="K42" i="5"/>
  <c r="J43" i="5"/>
  <c r="K43" i="5"/>
  <c r="J44" i="5"/>
  <c r="K44" i="5"/>
  <c r="J45" i="5"/>
  <c r="K45" i="5"/>
  <c r="J46" i="5"/>
  <c r="K46" i="5"/>
  <c r="J47" i="5"/>
  <c r="K47" i="5"/>
  <c r="J48" i="5"/>
  <c r="K48" i="5"/>
  <c r="J49" i="5"/>
  <c r="K49" i="5"/>
  <c r="J50" i="5"/>
  <c r="K50" i="5"/>
  <c r="J51" i="5"/>
  <c r="K51" i="5"/>
  <c r="J52" i="5"/>
  <c r="K52" i="5"/>
  <c r="J53" i="5"/>
  <c r="K53" i="5"/>
  <c r="J54" i="5"/>
  <c r="K54" i="5"/>
  <c r="J55" i="5"/>
  <c r="K55" i="5"/>
  <c r="J56" i="5"/>
  <c r="K56" i="5"/>
  <c r="J57" i="5"/>
  <c r="K57" i="5"/>
  <c r="J58" i="5"/>
  <c r="K58" i="5"/>
  <c r="J59" i="5"/>
  <c r="K59" i="5"/>
  <c r="D59" i="5" s="1"/>
  <c r="J60" i="5"/>
  <c r="K60" i="5"/>
  <c r="D60" i="5" s="1"/>
  <c r="J61" i="5"/>
  <c r="K61" i="5"/>
  <c r="J62" i="5"/>
  <c r="K62" i="5"/>
  <c r="D62" i="5" s="1"/>
  <c r="J63" i="5"/>
  <c r="K63" i="5"/>
  <c r="D63" i="5" s="1"/>
  <c r="J64" i="5"/>
  <c r="K64" i="5"/>
  <c r="J65" i="5"/>
  <c r="K65" i="5"/>
  <c r="J66" i="5"/>
  <c r="K66" i="5"/>
  <c r="J67" i="5"/>
  <c r="K67" i="5"/>
  <c r="D67" i="5" s="1"/>
  <c r="J68" i="5"/>
  <c r="K68" i="5"/>
  <c r="J69" i="5"/>
  <c r="K69" i="5"/>
  <c r="D69" i="5" s="1"/>
  <c r="J70" i="5"/>
  <c r="K70" i="5"/>
  <c r="J71" i="5"/>
  <c r="K71" i="5"/>
  <c r="J72" i="5"/>
  <c r="K72" i="5"/>
  <c r="J73" i="5"/>
  <c r="K73" i="5"/>
  <c r="J74" i="5"/>
  <c r="K74" i="5"/>
  <c r="J75" i="5"/>
  <c r="K75" i="5"/>
  <c r="D75" i="5" s="1"/>
  <c r="J76" i="5"/>
  <c r="K76" i="5"/>
  <c r="J77" i="5"/>
  <c r="K77" i="5"/>
  <c r="J78" i="5"/>
  <c r="K78" i="5"/>
  <c r="J79" i="5"/>
  <c r="K79" i="5"/>
  <c r="J80" i="5"/>
  <c r="K80" i="5"/>
  <c r="J81" i="5"/>
  <c r="K81" i="5"/>
  <c r="J82" i="5"/>
  <c r="K82" i="5"/>
  <c r="J83" i="5"/>
  <c r="K83" i="5"/>
  <c r="J84" i="5"/>
  <c r="K84" i="5"/>
  <c r="D84" i="5" s="1"/>
  <c r="J85" i="5"/>
  <c r="K85" i="5"/>
  <c r="J86" i="5"/>
  <c r="K86" i="5"/>
  <c r="J87" i="5"/>
  <c r="K87" i="5"/>
  <c r="J88" i="5"/>
  <c r="K88" i="5"/>
  <c r="D88" i="5" s="1"/>
  <c r="J89" i="5"/>
  <c r="K89" i="5"/>
  <c r="J90" i="5"/>
  <c r="K90" i="5"/>
  <c r="J91" i="5"/>
  <c r="K91" i="5"/>
  <c r="J92" i="5"/>
  <c r="K92" i="5"/>
  <c r="J93" i="5"/>
  <c r="K93" i="5"/>
  <c r="J94" i="5"/>
  <c r="K94" i="5"/>
  <c r="J95" i="5"/>
  <c r="K95" i="5"/>
  <c r="J96" i="5"/>
  <c r="K96" i="5"/>
  <c r="J97" i="5"/>
  <c r="K97" i="5"/>
  <c r="J98" i="5"/>
  <c r="K98" i="5"/>
  <c r="J99" i="5"/>
  <c r="K99" i="5"/>
  <c r="J100" i="5"/>
  <c r="K100" i="5"/>
  <c r="J101" i="5"/>
  <c r="K101" i="5"/>
  <c r="K22" i="5"/>
  <c r="M22" i="5" s="1"/>
  <c r="S28" i="19"/>
  <c r="K23" i="5"/>
  <c r="K24" i="5"/>
  <c r="K25" i="5"/>
  <c r="K26" i="5"/>
  <c r="K27" i="5"/>
  <c r="K28" i="5"/>
  <c r="K29" i="5"/>
  <c r="K30" i="5"/>
  <c r="B16" i="11"/>
  <c r="I52" i="12"/>
  <c r="M52" i="12"/>
  <c r="I51" i="12"/>
  <c r="M51" i="12"/>
  <c r="T52" i="12" l="1"/>
  <c r="M33" i="11"/>
  <c r="R101" i="5"/>
  <c r="D101" i="5"/>
  <c r="U100" i="5"/>
  <c r="D100" i="5"/>
  <c r="T99" i="5"/>
  <c r="D99" i="5"/>
  <c r="O98" i="5"/>
  <c r="D98" i="5"/>
  <c r="R97" i="5"/>
  <c r="D97" i="5"/>
  <c r="U96" i="5"/>
  <c r="D96" i="5"/>
  <c r="T95" i="5"/>
  <c r="D95" i="5"/>
  <c r="O94" i="5"/>
  <c r="D94" i="5"/>
  <c r="R93" i="5"/>
  <c r="D93" i="5"/>
  <c r="U92" i="5"/>
  <c r="D92" i="5"/>
  <c r="T91" i="5"/>
  <c r="D91" i="5"/>
  <c r="O90" i="5"/>
  <c r="D90" i="5"/>
  <c r="R89" i="5"/>
  <c r="D89" i="5"/>
  <c r="T87" i="5"/>
  <c r="D87" i="5"/>
  <c r="O86" i="5"/>
  <c r="D86" i="5"/>
  <c r="R85" i="5"/>
  <c r="D85" i="5"/>
  <c r="T83" i="5"/>
  <c r="D83" i="5"/>
  <c r="O82" i="5"/>
  <c r="D82" i="5"/>
  <c r="R81" i="5"/>
  <c r="D81" i="5"/>
  <c r="P80" i="5"/>
  <c r="D80" i="5"/>
  <c r="S79" i="5"/>
  <c r="D79" i="5"/>
  <c r="O78" i="5"/>
  <c r="D78" i="5"/>
  <c r="O77" i="5"/>
  <c r="D77" i="5"/>
  <c r="S76" i="5"/>
  <c r="D76" i="5"/>
  <c r="O74" i="5"/>
  <c r="D74" i="5"/>
  <c r="O73" i="5"/>
  <c r="D73" i="5"/>
  <c r="N72" i="5"/>
  <c r="D72" i="5"/>
  <c r="T71" i="5"/>
  <c r="D71" i="5"/>
  <c r="O70" i="5"/>
  <c r="D70" i="5"/>
  <c r="O68" i="5"/>
  <c r="D68" i="5"/>
  <c r="O66" i="5"/>
  <c r="D66" i="5"/>
  <c r="M65" i="5"/>
  <c r="D65" i="5"/>
  <c r="M64" i="5"/>
  <c r="D64" i="5"/>
  <c r="M61" i="5"/>
  <c r="D61" i="5"/>
  <c r="M57" i="5"/>
  <c r="R82" i="5"/>
  <c r="C22" i="32"/>
  <c r="A22" i="32"/>
  <c r="B22" i="32"/>
  <c r="F19" i="32"/>
  <c r="L12" i="32" s="1"/>
  <c r="B24" i="32"/>
  <c r="A24" i="32"/>
  <c r="C24" i="32"/>
  <c r="B25" i="32"/>
  <c r="A25" i="32"/>
  <c r="C25" i="32"/>
  <c r="B26" i="32"/>
  <c r="C26" i="32"/>
  <c r="A26" i="32"/>
  <c r="B30" i="32"/>
  <c r="A30" i="32"/>
  <c r="C30" i="32"/>
  <c r="B23" i="32"/>
  <c r="A23" i="32"/>
  <c r="C23" i="32"/>
  <c r="C27" i="32"/>
  <c r="B27" i="32"/>
  <c r="A27" i="32"/>
  <c r="Q65" i="5"/>
  <c r="A28" i="32"/>
  <c r="C28" i="32"/>
  <c r="B28" i="32"/>
  <c r="O80" i="5"/>
  <c r="V96" i="5"/>
  <c r="V92" i="5"/>
  <c r="N96" i="5"/>
  <c r="V101" i="5"/>
  <c r="U90" i="5"/>
  <c r="S86" i="5"/>
  <c r="U97" i="5"/>
  <c r="M82" i="5"/>
  <c r="V97" i="5"/>
  <c r="N92" i="5"/>
  <c r="T97" i="5"/>
  <c r="T96" i="5"/>
  <c r="U83" i="5"/>
  <c r="U80" i="5"/>
  <c r="O97" i="5"/>
  <c r="V86" i="5"/>
  <c r="Q97" i="5"/>
  <c r="M97" i="5"/>
  <c r="V81" i="5"/>
  <c r="U86" i="5"/>
  <c r="O84" i="5"/>
  <c r="U82" i="5"/>
  <c r="T81" i="5"/>
  <c r="V100" i="5"/>
  <c r="R96" i="5"/>
  <c r="S87" i="5"/>
  <c r="S84" i="5"/>
  <c r="M100" i="5"/>
  <c r="M101" i="5"/>
  <c r="Q96" i="5"/>
  <c r="Q92" i="5"/>
  <c r="P84" i="5"/>
  <c r="N82" i="5"/>
  <c r="P81" i="5"/>
  <c r="S80" i="5"/>
  <c r="M92" i="5"/>
  <c r="T90" i="5"/>
  <c r="N88" i="5"/>
  <c r="V85" i="5"/>
  <c r="V82" i="5"/>
  <c r="N80" i="5"/>
  <c r="M93" i="5"/>
  <c r="R90" i="5"/>
  <c r="M80" i="5"/>
  <c r="T82" i="5"/>
  <c r="V80" i="5"/>
  <c r="Q100" i="5"/>
  <c r="N100" i="5"/>
  <c r="U98" i="5"/>
  <c r="P97" i="5"/>
  <c r="S96" i="5"/>
  <c r="U87" i="5"/>
  <c r="R86" i="5"/>
  <c r="V84" i="5"/>
  <c r="S83" i="5"/>
  <c r="S82" i="5"/>
  <c r="U81" i="5"/>
  <c r="T80" i="5"/>
  <c r="T85" i="5"/>
  <c r="U93" i="5"/>
  <c r="T89" i="5"/>
  <c r="V88" i="5"/>
  <c r="Q85" i="5"/>
  <c r="V89" i="5"/>
  <c r="U85" i="5"/>
  <c r="T101" i="5"/>
  <c r="U94" i="5"/>
  <c r="T93" i="5"/>
  <c r="Q89" i="5"/>
  <c r="U88" i="5"/>
  <c r="P85" i="5"/>
  <c r="M68" i="5"/>
  <c r="P65" i="5"/>
  <c r="Q101" i="5"/>
  <c r="T100" i="5"/>
  <c r="M96" i="5"/>
  <c r="T94" i="5"/>
  <c r="Q93" i="5"/>
  <c r="T92" i="5"/>
  <c r="N90" i="5"/>
  <c r="P89" i="5"/>
  <c r="S88" i="5"/>
  <c r="O85" i="5"/>
  <c r="R80" i="5"/>
  <c r="U89" i="5"/>
  <c r="U101" i="5"/>
  <c r="P101" i="5"/>
  <c r="S100" i="5"/>
  <c r="N94" i="5"/>
  <c r="P93" i="5"/>
  <c r="S92" i="5"/>
  <c r="V91" i="5"/>
  <c r="O89" i="5"/>
  <c r="R88" i="5"/>
  <c r="M85" i="5"/>
  <c r="Q80" i="5"/>
  <c r="T65" i="5"/>
  <c r="V93" i="5"/>
  <c r="O101" i="5"/>
  <c r="R100" i="5"/>
  <c r="O93" i="5"/>
  <c r="R92" i="5"/>
  <c r="M89" i="5"/>
  <c r="O88" i="5"/>
  <c r="T98" i="5"/>
  <c r="V95" i="5"/>
  <c r="P100" i="5"/>
  <c r="U99" i="5"/>
  <c r="P96" i="5"/>
  <c r="U95" i="5"/>
  <c r="P92" i="5"/>
  <c r="U91" i="5"/>
  <c r="Q88" i="5"/>
  <c r="V87" i="5"/>
  <c r="T86" i="5"/>
  <c r="R84" i="5"/>
  <c r="M81" i="5"/>
  <c r="M76" i="5"/>
  <c r="O100" i="5"/>
  <c r="S99" i="5"/>
  <c r="S98" i="5"/>
  <c r="O96" i="5"/>
  <c r="S95" i="5"/>
  <c r="S94" i="5"/>
  <c r="O92" i="5"/>
  <c r="S91" i="5"/>
  <c r="S90" i="5"/>
  <c r="P88" i="5"/>
  <c r="Q84" i="5"/>
  <c r="V83" i="5"/>
  <c r="S68" i="5"/>
  <c r="R98" i="5"/>
  <c r="R94" i="5"/>
  <c r="Q68" i="5"/>
  <c r="N98" i="5"/>
  <c r="M98" i="5"/>
  <c r="M94" i="5"/>
  <c r="M90" i="5"/>
  <c r="T88" i="5"/>
  <c r="M88" i="5"/>
  <c r="N86" i="5"/>
  <c r="U84" i="5"/>
  <c r="N84" i="5"/>
  <c r="O65" i="5"/>
  <c r="V98" i="5"/>
  <c r="V94" i="5"/>
  <c r="V90" i="5"/>
  <c r="M86" i="5"/>
  <c r="T84" i="5"/>
  <c r="M84" i="5"/>
  <c r="Q81" i="5"/>
  <c r="V99" i="5"/>
  <c r="O81" i="5"/>
  <c r="M54" i="5"/>
  <c r="M33" i="5"/>
  <c r="P68" i="5"/>
  <c r="S78" i="5"/>
  <c r="N64" i="5"/>
  <c r="M34" i="5"/>
  <c r="U64" i="5"/>
  <c r="Q73" i="5"/>
  <c r="M77" i="5"/>
  <c r="V79" i="5"/>
  <c r="T79" i="5"/>
  <c r="U79" i="5"/>
  <c r="V78" i="5"/>
  <c r="P77" i="5"/>
  <c r="R77" i="5"/>
  <c r="U78" i="5"/>
  <c r="T78" i="5"/>
  <c r="R78" i="5"/>
  <c r="N78" i="5"/>
  <c r="M78" i="5"/>
  <c r="V77" i="5"/>
  <c r="U77" i="5"/>
  <c r="T77" i="5"/>
  <c r="Q77" i="5"/>
  <c r="P76" i="5"/>
  <c r="Q76" i="5"/>
  <c r="O76" i="5"/>
  <c r="R76" i="5"/>
  <c r="N76" i="5"/>
  <c r="V76" i="5"/>
  <c r="U76" i="5"/>
  <c r="T76" i="5"/>
  <c r="T75" i="5"/>
  <c r="V75" i="5"/>
  <c r="U75" i="5"/>
  <c r="S75" i="5"/>
  <c r="V74" i="5"/>
  <c r="U74" i="5"/>
  <c r="T74" i="5"/>
  <c r="S74" i="5"/>
  <c r="R74" i="5"/>
  <c r="N74" i="5"/>
  <c r="M74" i="5"/>
  <c r="R73" i="5"/>
  <c r="V73" i="5"/>
  <c r="U73" i="5"/>
  <c r="V71" i="5"/>
  <c r="S71" i="5"/>
  <c r="T73" i="5"/>
  <c r="P73" i="5"/>
  <c r="M73" i="5"/>
  <c r="M72" i="5"/>
  <c r="U72" i="5"/>
  <c r="T72" i="5"/>
  <c r="S72" i="5"/>
  <c r="V72" i="5"/>
  <c r="R72" i="5"/>
  <c r="Q72" i="5"/>
  <c r="P72" i="5"/>
  <c r="O72" i="5"/>
  <c r="U71" i="5"/>
  <c r="N70" i="5"/>
  <c r="U70" i="5"/>
  <c r="V70" i="5"/>
  <c r="T70" i="5"/>
  <c r="R69" i="5"/>
  <c r="S70" i="5"/>
  <c r="R70" i="5"/>
  <c r="M70" i="5"/>
  <c r="V69" i="5"/>
  <c r="U69" i="5"/>
  <c r="T69" i="5"/>
  <c r="P69" i="5"/>
  <c r="Q69" i="5"/>
  <c r="O69" i="5"/>
  <c r="M69" i="5"/>
  <c r="U68" i="5"/>
  <c r="T68" i="5"/>
  <c r="R68" i="5"/>
  <c r="N68" i="5"/>
  <c r="V68" i="5"/>
  <c r="T67" i="5"/>
  <c r="V67" i="5"/>
  <c r="U67" i="5"/>
  <c r="S67" i="5"/>
  <c r="R67" i="5"/>
  <c r="V65" i="5"/>
  <c r="U65" i="5"/>
  <c r="R65" i="5"/>
  <c r="V66" i="5"/>
  <c r="U66" i="5"/>
  <c r="S66" i="5"/>
  <c r="R66" i="5"/>
  <c r="T66" i="5"/>
  <c r="N66" i="5"/>
  <c r="M66" i="5"/>
  <c r="T64" i="5"/>
  <c r="R64" i="5"/>
  <c r="S64" i="5"/>
  <c r="Q64" i="5"/>
  <c r="P64" i="5"/>
  <c r="O64" i="5"/>
  <c r="V64" i="5"/>
  <c r="T63" i="5"/>
  <c r="V63" i="5"/>
  <c r="U63" i="5"/>
  <c r="S63" i="5"/>
  <c r="M62" i="5"/>
  <c r="M60" i="5"/>
  <c r="M58" i="5"/>
  <c r="V57" i="5"/>
  <c r="U57" i="5"/>
  <c r="T57" i="5"/>
  <c r="M56" i="5"/>
  <c r="M53" i="5"/>
  <c r="M52" i="5"/>
  <c r="T51" i="5"/>
  <c r="V51" i="5"/>
  <c r="U51" i="5"/>
  <c r="M50" i="5"/>
  <c r="M49" i="5"/>
  <c r="M48" i="5"/>
  <c r="M45" i="5"/>
  <c r="T43" i="5"/>
  <c r="M46" i="5"/>
  <c r="M44" i="5"/>
  <c r="V43" i="5"/>
  <c r="U43" i="5"/>
  <c r="M42" i="5"/>
  <c r="M41" i="5"/>
  <c r="M40" i="5"/>
  <c r="M38" i="5"/>
  <c r="M37" i="5"/>
  <c r="M36" i="5"/>
  <c r="M32" i="5"/>
  <c r="N101" i="5"/>
  <c r="N97" i="5"/>
  <c r="N93" i="5"/>
  <c r="N89" i="5"/>
  <c r="N85" i="5"/>
  <c r="N81" i="5"/>
  <c r="N77" i="5"/>
  <c r="N73" i="5"/>
  <c r="N69" i="5"/>
  <c r="N65" i="5"/>
  <c r="R91" i="5"/>
  <c r="R83" i="5"/>
  <c r="R79" i="5"/>
  <c r="R75" i="5"/>
  <c r="R71" i="5"/>
  <c r="R63" i="5"/>
  <c r="R87" i="5"/>
  <c r="Q99" i="5"/>
  <c r="Q95" i="5"/>
  <c r="Q91" i="5"/>
  <c r="Q87" i="5"/>
  <c r="Q83" i="5"/>
  <c r="Q79" i="5"/>
  <c r="Q75" i="5"/>
  <c r="Q71" i="5"/>
  <c r="Q67" i="5"/>
  <c r="Q63" i="5"/>
  <c r="P99" i="5"/>
  <c r="P95" i="5"/>
  <c r="P91" i="5"/>
  <c r="P87" i="5"/>
  <c r="P83" i="5"/>
  <c r="P79" i="5"/>
  <c r="P75" i="5"/>
  <c r="P71" i="5"/>
  <c r="P67" i="5"/>
  <c r="P63" i="5"/>
  <c r="R99" i="5"/>
  <c r="O95" i="5"/>
  <c r="O79" i="5"/>
  <c r="O75" i="5"/>
  <c r="O87" i="5"/>
  <c r="O83" i="5"/>
  <c r="O71" i="5"/>
  <c r="O67" i="5"/>
  <c r="O63" i="5"/>
  <c r="N99" i="5"/>
  <c r="Q98" i="5"/>
  <c r="N95" i="5"/>
  <c r="Q94" i="5"/>
  <c r="N91" i="5"/>
  <c r="Q90" i="5"/>
  <c r="N87" i="5"/>
  <c r="Q86" i="5"/>
  <c r="N83" i="5"/>
  <c r="Q82" i="5"/>
  <c r="N79" i="5"/>
  <c r="Q78" i="5"/>
  <c r="N75" i="5"/>
  <c r="Q74" i="5"/>
  <c r="N71" i="5"/>
  <c r="Q70" i="5"/>
  <c r="N67" i="5"/>
  <c r="Q66" i="5"/>
  <c r="N63" i="5"/>
  <c r="O91" i="5"/>
  <c r="S101" i="5"/>
  <c r="M99" i="5"/>
  <c r="P98" i="5"/>
  <c r="S97" i="5"/>
  <c r="M95" i="5"/>
  <c r="P94" i="5"/>
  <c r="S93" i="5"/>
  <c r="M91" i="5"/>
  <c r="P90" i="5"/>
  <c r="S89" i="5"/>
  <c r="M87" i="5"/>
  <c r="P86" i="5"/>
  <c r="S85" i="5"/>
  <c r="M83" i="5"/>
  <c r="P82" i="5"/>
  <c r="S81" i="5"/>
  <c r="M79" i="5"/>
  <c r="P78" i="5"/>
  <c r="S77" i="5"/>
  <c r="M75" i="5"/>
  <c r="P74" i="5"/>
  <c r="S73" i="5"/>
  <c r="M71" i="5"/>
  <c r="P70" i="5"/>
  <c r="S69" i="5"/>
  <c r="M67" i="5"/>
  <c r="P66" i="5"/>
  <c r="S65" i="5"/>
  <c r="M63" i="5"/>
  <c r="M59" i="5"/>
  <c r="M55" i="5"/>
  <c r="M51" i="5"/>
  <c r="M47" i="5"/>
  <c r="M43" i="5"/>
  <c r="M39" i="5"/>
  <c r="M35" i="5"/>
  <c r="M31" i="5"/>
  <c r="R95" i="5"/>
  <c r="O99" i="5"/>
  <c r="F13" i="11"/>
  <c r="T51" i="12"/>
  <c r="P51" i="12"/>
  <c r="Q51" i="12" s="1"/>
  <c r="P52" i="12"/>
  <c r="U52" i="12"/>
  <c r="V52" i="12" s="1"/>
  <c r="B18" i="32" l="1"/>
  <c r="A18" i="32"/>
  <c r="O2" i="32"/>
  <c r="M11" i="32" s="1"/>
  <c r="C18" i="32"/>
  <c r="R51" i="12"/>
  <c r="U51" i="12"/>
  <c r="V51" i="12" s="1"/>
  <c r="Q52" i="12"/>
  <c r="R52" i="12" s="1"/>
  <c r="AG52" i="12"/>
  <c r="AH52" i="12"/>
  <c r="AI52" i="12"/>
  <c r="X52" i="12"/>
  <c r="AJ52" i="12"/>
  <c r="Y52" i="12"/>
  <c r="AK52" i="12"/>
  <c r="Z52" i="12"/>
  <c r="AL52" i="12"/>
  <c r="AD52" i="12"/>
  <c r="AP52" i="12"/>
  <c r="AE52" i="12"/>
  <c r="AF52" i="12"/>
  <c r="AA52" i="12"/>
  <c r="AM52" i="12"/>
  <c r="AB52" i="12"/>
  <c r="AN52" i="12"/>
  <c r="AC52" i="12"/>
  <c r="AO52" i="12"/>
  <c r="M13" i="32" l="1"/>
  <c r="M12" i="32"/>
  <c r="L11" i="32"/>
  <c r="L13" i="32" s="1"/>
  <c r="X51" i="12"/>
  <c r="AI51" i="12"/>
  <c r="AB51" i="12"/>
  <c r="AH51" i="12"/>
  <c r="AL51" i="12"/>
  <c r="AG51" i="12"/>
  <c r="Z51" i="12"/>
  <c r="AE51" i="12"/>
  <c r="AK51" i="12"/>
  <c r="AO51" i="12"/>
  <c r="AN51" i="12"/>
  <c r="AC51" i="12"/>
  <c r="Y51" i="12"/>
  <c r="AM51" i="12"/>
  <c r="AJ51" i="12"/>
  <c r="AP51" i="12"/>
  <c r="AD51" i="12"/>
  <c r="AA51" i="12"/>
  <c r="AF51" i="12"/>
  <c r="M10" i="32" l="1"/>
  <c r="O9" i="32" s="1"/>
  <c r="O11" i="32" s="1"/>
  <c r="U7" i="29"/>
  <c r="U8" i="29"/>
  <c r="U9" i="29"/>
  <c r="U10" i="29"/>
  <c r="U11" i="29"/>
  <c r="U12" i="29"/>
  <c r="U13" i="29"/>
  <c r="U14" i="29"/>
  <c r="U15" i="29"/>
  <c r="U6" i="29"/>
  <c r="T7" i="29"/>
  <c r="V7" i="29" s="1"/>
  <c r="T8" i="29"/>
  <c r="V8" i="29" s="1"/>
  <c r="V22" i="29" s="1"/>
  <c r="T9" i="29"/>
  <c r="V9" i="29" s="1"/>
  <c r="T10" i="29"/>
  <c r="V10" i="29" s="1"/>
  <c r="V24" i="29" s="1"/>
  <c r="T11" i="29"/>
  <c r="V11" i="29" s="1"/>
  <c r="V25" i="29" s="1"/>
  <c r="T12" i="29"/>
  <c r="V12" i="29" s="1"/>
  <c r="V26" i="29" s="1"/>
  <c r="T13" i="29"/>
  <c r="V13" i="29" s="1"/>
  <c r="V27" i="29" s="1"/>
  <c r="T14" i="29"/>
  <c r="V14" i="29" s="1"/>
  <c r="U28" i="29" s="1"/>
  <c r="T15" i="29"/>
  <c r="V15" i="29" s="1"/>
  <c r="T6" i="29"/>
  <c r="V6" i="29" s="1"/>
  <c r="AR11" i="20"/>
  <c r="AR12" i="20"/>
  <c r="AR13" i="20"/>
  <c r="AR14" i="20"/>
  <c r="AR15" i="20"/>
  <c r="AR16" i="20"/>
  <c r="AR17" i="20"/>
  <c r="AR18" i="20"/>
  <c r="AR19" i="20"/>
  <c r="AR20" i="20"/>
  <c r="AR21" i="20"/>
  <c r="AR22" i="20"/>
  <c r="AR23" i="20"/>
  <c r="AR24" i="20"/>
  <c r="AR25" i="20"/>
  <c r="AR26" i="20"/>
  <c r="AR27" i="20"/>
  <c r="AR28" i="20"/>
  <c r="AR29" i="20"/>
  <c r="AR30" i="20"/>
  <c r="AR31" i="20"/>
  <c r="AR32" i="20"/>
  <c r="AR33" i="20"/>
  <c r="AR34" i="20"/>
  <c r="AR35" i="20"/>
  <c r="AR36" i="20"/>
  <c r="AR37" i="20"/>
  <c r="AR38" i="20"/>
  <c r="AR39" i="20"/>
  <c r="AR40" i="20"/>
  <c r="AR41" i="20"/>
  <c r="AR42" i="20"/>
  <c r="AR43" i="20"/>
  <c r="AR44" i="20"/>
  <c r="AR45" i="20"/>
  <c r="AR46" i="20"/>
  <c r="AR47" i="20"/>
  <c r="AR48" i="20"/>
  <c r="AR49" i="20"/>
  <c r="AR50" i="20"/>
  <c r="AR51" i="20"/>
  <c r="AR52" i="20"/>
  <c r="AR53" i="20"/>
  <c r="AR54" i="20"/>
  <c r="AR55" i="20"/>
  <c r="AR56" i="20"/>
  <c r="AR57" i="20"/>
  <c r="AR58" i="20"/>
  <c r="AR59" i="20"/>
  <c r="AR60" i="20"/>
  <c r="AR61" i="20"/>
  <c r="AR62" i="20"/>
  <c r="AR63" i="20"/>
  <c r="AR64" i="20"/>
  <c r="AR65" i="20"/>
  <c r="AR66" i="20"/>
  <c r="AR67" i="20"/>
  <c r="AR68" i="20"/>
  <c r="AR69" i="20"/>
  <c r="AR70" i="20"/>
  <c r="AR71" i="20"/>
  <c r="AR72" i="20"/>
  <c r="AR73" i="20"/>
  <c r="AR74" i="20"/>
  <c r="AR75" i="20"/>
  <c r="AR76" i="20"/>
  <c r="AR77" i="20"/>
  <c r="AR78" i="20"/>
  <c r="AR79" i="20"/>
  <c r="AR80" i="20"/>
  <c r="AR81" i="20"/>
  <c r="AR82" i="20"/>
  <c r="AR83" i="20"/>
  <c r="AR84" i="20"/>
  <c r="AR85" i="20"/>
  <c r="AR86" i="20"/>
  <c r="AR87" i="20"/>
  <c r="AR88" i="20"/>
  <c r="AR89" i="20"/>
  <c r="AR90" i="20"/>
  <c r="AR91" i="20"/>
  <c r="AR92" i="20"/>
  <c r="AR93" i="20"/>
  <c r="AR94" i="20"/>
  <c r="AR95" i="20"/>
  <c r="AR96" i="20"/>
  <c r="AR97" i="20"/>
  <c r="AR98" i="20"/>
  <c r="AR99" i="20"/>
  <c r="AR100" i="20"/>
  <c r="AR101" i="20"/>
  <c r="AR102" i="20"/>
  <c r="AR103" i="20"/>
  <c r="AR104" i="20"/>
  <c r="AR105" i="20"/>
  <c r="AR106" i="20"/>
  <c r="AR107" i="20"/>
  <c r="AR108" i="20"/>
  <c r="AR109" i="20"/>
  <c r="AR10" i="20"/>
  <c r="R28" i="19"/>
  <c r="R29" i="19"/>
  <c r="X7" i="19"/>
  <c r="X8" i="19"/>
  <c r="X9" i="19"/>
  <c r="X10" i="19"/>
  <c r="X11" i="19"/>
  <c r="X12" i="19"/>
  <c r="X26" i="19" s="1"/>
  <c r="X13" i="19"/>
  <c r="X27" i="19" s="1"/>
  <c r="X14" i="19"/>
  <c r="X28" i="19" s="1"/>
  <c r="X15" i="19"/>
  <c r="X29" i="19" s="1"/>
  <c r="X6" i="19"/>
  <c r="X7" i="29"/>
  <c r="X21" i="29" s="1"/>
  <c r="X8" i="29"/>
  <c r="X22" i="29" s="1"/>
  <c r="X9" i="29"/>
  <c r="X23" i="29" s="1"/>
  <c r="X10" i="29"/>
  <c r="X24" i="29" s="1"/>
  <c r="X11" i="29"/>
  <c r="X25" i="29" s="1"/>
  <c r="X12" i="29"/>
  <c r="X26" i="29" s="1"/>
  <c r="X13" i="29"/>
  <c r="X27" i="29" s="1"/>
  <c r="X14" i="29"/>
  <c r="X28" i="29" s="1"/>
  <c r="X15" i="29"/>
  <c r="X29" i="29" s="1"/>
  <c r="X6" i="29"/>
  <c r="Z6" i="29"/>
  <c r="W29" i="29"/>
  <c r="O6" i="29"/>
  <c r="W6" i="29"/>
  <c r="AB7" i="29"/>
  <c r="AB8" i="29"/>
  <c r="AB9" i="29"/>
  <c r="AB10" i="29"/>
  <c r="AB11" i="29"/>
  <c r="AB12" i="29"/>
  <c r="AB13" i="29"/>
  <c r="AB14" i="29"/>
  <c r="AB15" i="29"/>
  <c r="AC6" i="29"/>
  <c r="W7" i="29"/>
  <c r="W8" i="29"/>
  <c r="W9" i="29"/>
  <c r="W10" i="29"/>
  <c r="W11" i="29"/>
  <c r="W12" i="29"/>
  <c r="W26" i="29" s="1"/>
  <c r="W13" i="29"/>
  <c r="W27" i="29" s="1"/>
  <c r="W14" i="29"/>
  <c r="W28" i="29" s="1"/>
  <c r="W15" i="29"/>
  <c r="V14" i="19"/>
  <c r="V28" i="19" s="1"/>
  <c r="V13" i="19"/>
  <c r="V12" i="19"/>
  <c r="V11" i="19"/>
  <c r="V10" i="19"/>
  <c r="V9" i="19"/>
  <c r="V8" i="19"/>
  <c r="V7" i="19"/>
  <c r="V6" i="19"/>
  <c r="U6" i="19"/>
  <c r="Z29" i="29"/>
  <c r="Q29" i="29"/>
  <c r="R29" i="29"/>
  <c r="Z7" i="29"/>
  <c r="Z8" i="29"/>
  <c r="Z9" i="29"/>
  <c r="Z10" i="29"/>
  <c r="Z11" i="29"/>
  <c r="Z12" i="29"/>
  <c r="Z26" i="29" s="1"/>
  <c r="Z13" i="29"/>
  <c r="Z27" i="29" s="1"/>
  <c r="Z14" i="29"/>
  <c r="Z28" i="29" s="1"/>
  <c r="Z15" i="29"/>
  <c r="S7" i="29"/>
  <c r="S8" i="29"/>
  <c r="S9" i="29"/>
  <c r="S10" i="29"/>
  <c r="S11" i="29"/>
  <c r="S12" i="29"/>
  <c r="S13" i="29"/>
  <c r="S14" i="29"/>
  <c r="S15" i="29"/>
  <c r="N7" i="29"/>
  <c r="O7" i="29"/>
  <c r="P7" i="29"/>
  <c r="Q7" i="29"/>
  <c r="R7" i="29"/>
  <c r="N8" i="29"/>
  <c r="O8" i="29"/>
  <c r="O22" i="29" s="1"/>
  <c r="P8" i="29"/>
  <c r="Q8" i="29"/>
  <c r="R8" i="29"/>
  <c r="N9" i="29"/>
  <c r="O9" i="29"/>
  <c r="O23" i="29" s="1"/>
  <c r="P9" i="29"/>
  <c r="Q9" i="29"/>
  <c r="R9" i="29"/>
  <c r="N10" i="29"/>
  <c r="O10" i="29"/>
  <c r="O24" i="29" s="1"/>
  <c r="P10" i="29"/>
  <c r="Q10" i="29"/>
  <c r="R10" i="29"/>
  <c r="N11" i="29"/>
  <c r="O11" i="29"/>
  <c r="O25" i="29" s="1"/>
  <c r="P11" i="29"/>
  <c r="Q11" i="29"/>
  <c r="R11" i="29"/>
  <c r="N12" i="29"/>
  <c r="N26" i="29" s="1"/>
  <c r="O12" i="29"/>
  <c r="O26" i="29" s="1"/>
  <c r="P12" i="29"/>
  <c r="P26" i="29" s="1"/>
  <c r="Q12" i="29"/>
  <c r="Q26" i="29" s="1"/>
  <c r="R12" i="29"/>
  <c r="R26" i="29" s="1"/>
  <c r="N13" i="29"/>
  <c r="N27" i="29" s="1"/>
  <c r="O13" i="29"/>
  <c r="O27" i="29" s="1"/>
  <c r="P13" i="29"/>
  <c r="P27" i="29" s="1"/>
  <c r="Q13" i="29"/>
  <c r="Q27" i="29" s="1"/>
  <c r="R13" i="29"/>
  <c r="R27" i="29" s="1"/>
  <c r="N14" i="29"/>
  <c r="N28" i="29" s="1"/>
  <c r="O14" i="29"/>
  <c r="O28" i="29" s="1"/>
  <c r="P14" i="29"/>
  <c r="P28" i="29" s="1"/>
  <c r="Q14" i="29"/>
  <c r="Q28" i="29" s="1"/>
  <c r="R14" i="29"/>
  <c r="R28" i="29" s="1"/>
  <c r="N15" i="29"/>
  <c r="N29" i="29" s="1"/>
  <c r="O15" i="29"/>
  <c r="O29" i="29" s="1"/>
  <c r="P15" i="29"/>
  <c r="P29" i="29" s="1"/>
  <c r="Q15" i="29"/>
  <c r="R15" i="29"/>
  <c r="AJ7" i="29"/>
  <c r="AJ8" i="29"/>
  <c r="AJ9" i="29"/>
  <c r="AJ10" i="29"/>
  <c r="AJ11" i="29"/>
  <c r="AJ12" i="29"/>
  <c r="AJ13" i="29"/>
  <c r="AJ14" i="29"/>
  <c r="AJ15" i="29"/>
  <c r="AJ6" i="29"/>
  <c r="AQ10" i="29"/>
  <c r="S6" i="29" s="1"/>
  <c r="R6" i="29"/>
  <c r="Q6" i="29"/>
  <c r="I98" i="12"/>
  <c r="M98" i="12"/>
  <c r="P98" i="12" s="1"/>
  <c r="Q98" i="12" s="1"/>
  <c r="I97" i="12"/>
  <c r="M97" i="12"/>
  <c r="AO11" i="29" s="1"/>
  <c r="I96" i="12"/>
  <c r="M96" i="12"/>
  <c r="AO10" i="29" s="1"/>
  <c r="I95" i="12"/>
  <c r="M95" i="12"/>
  <c r="P95" i="12" s="1"/>
  <c r="Q95" i="12" s="1"/>
  <c r="R95" i="12" s="1"/>
  <c r="I94" i="12"/>
  <c r="M94" i="12"/>
  <c r="AO12" i="29" s="1"/>
  <c r="I93" i="12"/>
  <c r="I92" i="12"/>
  <c r="I91" i="12"/>
  <c r="I90" i="12"/>
  <c r="M90" i="12"/>
  <c r="AO8" i="29" s="1"/>
  <c r="M91" i="12"/>
  <c r="AO9" i="29" s="1"/>
  <c r="M92" i="12"/>
  <c r="AO15" i="29" s="1"/>
  <c r="M93" i="12"/>
  <c r="P93" i="12" s="1"/>
  <c r="N6" i="29"/>
  <c r="P6" i="29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2" i="22"/>
  <c r="L13" i="22"/>
  <c r="L14" i="22"/>
  <c r="L15" i="22"/>
  <c r="L16" i="22"/>
  <c r="L17" i="22"/>
  <c r="L18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J114" i="12"/>
  <c r="J115" i="12"/>
  <c r="J116" i="12"/>
  <c r="J117" i="12"/>
  <c r="J118" i="12"/>
  <c r="J119" i="12"/>
  <c r="M119" i="12" s="1"/>
  <c r="J120" i="12"/>
  <c r="J113" i="12"/>
  <c r="AW15" i="29"/>
  <c r="AU15" i="29"/>
  <c r="AX15" i="29" s="1"/>
  <c r="AW14" i="29"/>
  <c r="AU14" i="29"/>
  <c r="AX14" i="29" s="1"/>
  <c r="AW13" i="29"/>
  <c r="AU13" i="29"/>
  <c r="AX13" i="29" s="1"/>
  <c r="AW12" i="29"/>
  <c r="AU12" i="29"/>
  <c r="AX12" i="29" s="1"/>
  <c r="AX11" i="29"/>
  <c r="AU11" i="29"/>
  <c r="AV11" i="29" s="1"/>
  <c r="AW11" i="29" s="1"/>
  <c r="AX10" i="29"/>
  <c r="AU10" i="29"/>
  <c r="AV10" i="29" s="1"/>
  <c r="AW10" i="29" s="1"/>
  <c r="AX9" i="29"/>
  <c r="AU9" i="29"/>
  <c r="AV9" i="29" s="1"/>
  <c r="AW9" i="29" s="1"/>
  <c r="AX8" i="29"/>
  <c r="AU8" i="29"/>
  <c r="AV8" i="29" s="1"/>
  <c r="AW8" i="29" s="1"/>
  <c r="AX7" i="29"/>
  <c r="AU7" i="29"/>
  <c r="AV7" i="29" s="1"/>
  <c r="AW7" i="29" s="1"/>
  <c r="AX6" i="29"/>
  <c r="AU6" i="29"/>
  <c r="AV6" i="29" s="1"/>
  <c r="AW6" i="29" s="1"/>
  <c r="AX5" i="29"/>
  <c r="AU5" i="29"/>
  <c r="AV5" i="29" s="1"/>
  <c r="AW5" i="29" s="1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R24" i="22"/>
  <c r="R25" i="22"/>
  <c r="R26" i="22"/>
  <c r="R27" i="22"/>
  <c r="R28" i="22"/>
  <c r="R29" i="22"/>
  <c r="R30" i="22"/>
  <c r="R31" i="22"/>
  <c r="R32" i="22"/>
  <c r="R33" i="22"/>
  <c r="R34" i="22"/>
  <c r="R35" i="22"/>
  <c r="R36" i="22"/>
  <c r="R37" i="22"/>
  <c r="R38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5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R96" i="22"/>
  <c r="R97" i="22"/>
  <c r="R98" i="22"/>
  <c r="R99" i="22"/>
  <c r="R100" i="22"/>
  <c r="R101" i="22"/>
  <c r="R102" i="22"/>
  <c r="R103" i="22"/>
  <c r="R104" i="22"/>
  <c r="R105" i="22"/>
  <c r="R106" i="22"/>
  <c r="R107" i="22"/>
  <c r="R108" i="22"/>
  <c r="R109" i="22"/>
  <c r="R110" i="22"/>
  <c r="N12" i="22"/>
  <c r="O12" i="22" s="1"/>
  <c r="N13" i="22"/>
  <c r="O13" i="22" s="1"/>
  <c r="N14" i="22"/>
  <c r="O14" i="22" s="1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AC15" i="29"/>
  <c r="L15" i="29"/>
  <c r="AC14" i="29"/>
  <c r="L14" i="29"/>
  <c r="AC13" i="29"/>
  <c r="L13" i="29"/>
  <c r="AC12" i="29"/>
  <c r="L12" i="29"/>
  <c r="AC11" i="29"/>
  <c r="L11" i="29"/>
  <c r="AC10" i="29"/>
  <c r="L10" i="29"/>
  <c r="AC9" i="29"/>
  <c r="L9" i="29"/>
  <c r="AC8" i="29"/>
  <c r="L8" i="29"/>
  <c r="AC7" i="29"/>
  <c r="L7" i="29"/>
  <c r="L6" i="29"/>
  <c r="AI4" i="29"/>
  <c r="AF4" i="29"/>
  <c r="AD4" i="29"/>
  <c r="AD3" i="29"/>
  <c r="H54" i="1"/>
  <c r="J54" i="1"/>
  <c r="D54" i="1" s="1"/>
  <c r="H55" i="1"/>
  <c r="J55" i="1"/>
  <c r="D55" i="1" s="1"/>
  <c r="H56" i="1"/>
  <c r="J56" i="1"/>
  <c r="D56" i="1" s="1"/>
  <c r="H57" i="1"/>
  <c r="J57" i="1"/>
  <c r="D57" i="1" s="1"/>
  <c r="H44" i="1"/>
  <c r="I44" i="1" s="1"/>
  <c r="J44" i="1"/>
  <c r="H45" i="1"/>
  <c r="I45" i="1" s="1"/>
  <c r="J45" i="1"/>
  <c r="H46" i="1"/>
  <c r="J46" i="1"/>
  <c r="T7" i="19"/>
  <c r="T8" i="19"/>
  <c r="T9" i="19"/>
  <c r="T10" i="19"/>
  <c r="T11" i="19"/>
  <c r="T12" i="19"/>
  <c r="T13" i="19"/>
  <c r="T14" i="19"/>
  <c r="T15" i="19"/>
  <c r="S28" i="29" l="1"/>
  <c r="W45" i="1"/>
  <c r="V45" i="1"/>
  <c r="U45" i="1"/>
  <c r="W44" i="1"/>
  <c r="V44" i="1"/>
  <c r="U44" i="1"/>
  <c r="O56" i="1"/>
  <c r="P24" i="29"/>
  <c r="N24" i="29"/>
  <c r="P25" i="29"/>
  <c r="W25" i="29"/>
  <c r="N25" i="29"/>
  <c r="W24" i="29"/>
  <c r="T93" i="12"/>
  <c r="U93" i="12" s="1"/>
  <c r="V93" i="12" s="1"/>
  <c r="AC93" i="12" s="1"/>
  <c r="AI10" i="29"/>
  <c r="S29" i="29"/>
  <c r="U29" i="29"/>
  <c r="V29" i="29"/>
  <c r="T98" i="12"/>
  <c r="U98" i="12" s="1"/>
  <c r="W21" i="29"/>
  <c r="Q93" i="12"/>
  <c r="R93" i="12" s="1"/>
  <c r="N22" i="29"/>
  <c r="W22" i="29"/>
  <c r="P90" i="12"/>
  <c r="Q90" i="12" s="1"/>
  <c r="T97" i="12"/>
  <c r="U97" i="12" s="1"/>
  <c r="V97" i="12" s="1"/>
  <c r="AC97" i="12" s="1"/>
  <c r="P97" i="12"/>
  <c r="Q97" i="12" s="1"/>
  <c r="T92" i="12"/>
  <c r="U92" i="12" s="1"/>
  <c r="V92" i="12" s="1"/>
  <c r="AP92" i="12" s="1"/>
  <c r="AO13" i="29"/>
  <c r="P23" i="29"/>
  <c r="N21" i="29"/>
  <c r="T96" i="12"/>
  <c r="U96" i="12" s="1"/>
  <c r="N23" i="29"/>
  <c r="W20" i="29"/>
  <c r="P96" i="12"/>
  <c r="Q96" i="12" s="1"/>
  <c r="R96" i="12" s="1"/>
  <c r="P92" i="12"/>
  <c r="T95" i="12"/>
  <c r="U95" i="12" s="1"/>
  <c r="T91" i="12"/>
  <c r="U91" i="12" s="1"/>
  <c r="P91" i="12"/>
  <c r="Q91" i="12" s="1"/>
  <c r="R91" i="12" s="1"/>
  <c r="P22" i="29"/>
  <c r="T94" i="12"/>
  <c r="U94" i="12" s="1"/>
  <c r="W23" i="29"/>
  <c r="P94" i="12"/>
  <c r="Q94" i="12" s="1"/>
  <c r="T90" i="12"/>
  <c r="V28" i="29"/>
  <c r="V23" i="29"/>
  <c r="R98" i="12"/>
  <c r="P21" i="29"/>
  <c r="O21" i="29"/>
  <c r="AD7" i="29"/>
  <c r="AI9" i="29"/>
  <c r="AD12" i="29"/>
  <c r="AI12" i="29"/>
  <c r="AI13" i="29"/>
  <c r="S27" i="29"/>
  <c r="U27" i="29"/>
  <c r="U26" i="29"/>
  <c r="S26" i="29"/>
  <c r="AD11" i="29"/>
  <c r="AF14" i="29"/>
  <c r="P20" i="29"/>
  <c r="N20" i="29"/>
  <c r="AD13" i="29"/>
  <c r="AF15" i="29"/>
  <c r="AF12" i="29"/>
  <c r="AF11" i="29"/>
  <c r="AH14" i="29"/>
  <c r="AH13" i="29"/>
  <c r="AD9" i="29"/>
  <c r="AF13" i="29"/>
  <c r="AH15" i="29"/>
  <c r="AI11" i="29"/>
  <c r="AF10" i="29"/>
  <c r="AH12" i="29"/>
  <c r="AI6" i="29"/>
  <c r="AF9" i="29"/>
  <c r="AD6" i="29"/>
  <c r="AD14" i="29"/>
  <c r="AD10" i="29"/>
  <c r="AI15" i="29"/>
  <c r="AI14" i="29"/>
  <c r="AD15" i="29"/>
  <c r="AF8" i="29"/>
  <c r="AF7" i="29"/>
  <c r="AF6" i="29"/>
  <c r="AI8" i="29"/>
  <c r="AI7" i="29"/>
  <c r="V21" i="29"/>
  <c r="AD8" i="29"/>
  <c r="V20" i="29"/>
  <c r="AV13" i="29"/>
  <c r="AV14" i="29"/>
  <c r="AV12" i="29"/>
  <c r="AV15" i="29"/>
  <c r="I54" i="1"/>
  <c r="I57" i="1"/>
  <c r="I46" i="1"/>
  <c r="I55" i="1"/>
  <c r="N56" i="1"/>
  <c r="I56" i="1"/>
  <c r="M56" i="1"/>
  <c r="P56" i="1"/>
  <c r="W46" i="1" l="1"/>
  <c r="V46" i="1"/>
  <c r="U46" i="1"/>
  <c r="R90" i="12"/>
  <c r="AJ93" i="12"/>
  <c r="Y93" i="12"/>
  <c r="AH93" i="12"/>
  <c r="AN93" i="12"/>
  <c r="AB93" i="12"/>
  <c r="X93" i="12"/>
  <c r="AM93" i="12"/>
  <c r="AP93" i="12"/>
  <c r="AA93" i="12"/>
  <c r="AI93" i="12"/>
  <c r="AE93" i="12"/>
  <c r="AG93" i="12"/>
  <c r="AD93" i="12"/>
  <c r="AL93" i="12"/>
  <c r="AF93" i="12"/>
  <c r="Z93" i="12"/>
  <c r="AO93" i="12"/>
  <c r="AK93" i="12"/>
  <c r="AH97" i="12"/>
  <c r="AG97" i="12"/>
  <c r="V98" i="12"/>
  <c r="AH98" i="12" s="1"/>
  <c r="AM97" i="12"/>
  <c r="Z97" i="12"/>
  <c r="R94" i="12"/>
  <c r="V96" i="12"/>
  <c r="AA96" i="12" s="1"/>
  <c r="Z92" i="12"/>
  <c r="AE92" i="12"/>
  <c r="AK92" i="12"/>
  <c r="AO92" i="12"/>
  <c r="AC92" i="12"/>
  <c r="V94" i="12"/>
  <c r="Z94" i="12" s="1"/>
  <c r="AN92" i="12"/>
  <c r="AN97" i="12"/>
  <c r="AB97" i="12"/>
  <c r="AK97" i="12"/>
  <c r="AD92" i="12"/>
  <c r="AL92" i="12"/>
  <c r="Y92" i="12"/>
  <c r="AB92" i="12"/>
  <c r="Q92" i="12"/>
  <c r="R92" i="12" s="1"/>
  <c r="AF97" i="12"/>
  <c r="Y97" i="12"/>
  <c r="AJ92" i="12"/>
  <c r="V91" i="12"/>
  <c r="AO91" i="12" s="1"/>
  <c r="AE97" i="12"/>
  <c r="AL97" i="12"/>
  <c r="X92" i="12"/>
  <c r="U90" i="12"/>
  <c r="V90" i="12" s="1"/>
  <c r="AA97" i="12"/>
  <c r="AJ97" i="12"/>
  <c r="AI92" i="12"/>
  <c r="AP97" i="12"/>
  <c r="X97" i="12"/>
  <c r="AH92" i="12"/>
  <c r="R97" i="12"/>
  <c r="AD97" i="12"/>
  <c r="AI97" i="12"/>
  <c r="AF92" i="12"/>
  <c r="V95" i="12"/>
  <c r="AA95" i="12" s="1"/>
  <c r="AO97" i="12"/>
  <c r="AM92" i="12"/>
  <c r="AG92" i="12"/>
  <c r="AA92" i="12"/>
  <c r="AI96" i="12" l="1"/>
  <c r="AP96" i="12"/>
  <c r="AO96" i="12"/>
  <c r="AL96" i="12"/>
  <c r="AD96" i="12"/>
  <c r="AH95" i="12"/>
  <c r="Z96" i="12"/>
  <c r="AB95" i="12"/>
  <c r="AF96" i="12"/>
  <c r="AC96" i="12"/>
  <c r="AG95" i="12"/>
  <c r="AK96" i="12"/>
  <c r="AK95" i="12"/>
  <c r="Y95" i="12"/>
  <c r="AD98" i="12"/>
  <c r="AL91" i="12"/>
  <c r="Z98" i="12"/>
  <c r="X98" i="12"/>
  <c r="AM98" i="12"/>
  <c r="AF98" i="12"/>
  <c r="Z95" i="12"/>
  <c r="AB98" i="12"/>
  <c r="AJ98" i="12"/>
  <c r="Z91" i="12"/>
  <c r="AH96" i="12"/>
  <c r="AK91" i="12"/>
  <c r="AK98" i="12"/>
  <c r="AP98" i="12"/>
  <c r="AA98" i="12"/>
  <c r="AN98" i="12"/>
  <c r="AL98" i="12"/>
  <c r="AC98" i="12"/>
  <c r="AI98" i="12"/>
  <c r="AG98" i="12"/>
  <c r="AN96" i="12"/>
  <c r="AE98" i="12"/>
  <c r="AG96" i="12"/>
  <c r="Y91" i="12"/>
  <c r="AO98" i="12"/>
  <c r="AG94" i="12"/>
  <c r="AC94" i="12"/>
  <c r="AF94" i="12"/>
  <c r="AO94" i="12"/>
  <c r="AJ91" i="12"/>
  <c r="AC95" i="12"/>
  <c r="AN94" i="12"/>
  <c r="Y96" i="12"/>
  <c r="AF95" i="12"/>
  <c r="AF91" i="12"/>
  <c r="X91" i="12"/>
  <c r="AE95" i="12"/>
  <c r="AB94" i="12"/>
  <c r="AN95" i="12"/>
  <c r="AJ96" i="12"/>
  <c r="AP95" i="12"/>
  <c r="AE94" i="12"/>
  <c r="AE91" i="12"/>
  <c r="AC91" i="12"/>
  <c r="AM96" i="12"/>
  <c r="AN91" i="12"/>
  <c r="AD95" i="12"/>
  <c r="AE96" i="12"/>
  <c r="AK94" i="12"/>
  <c r="AB91" i="12"/>
  <c r="AP94" i="12"/>
  <c r="AP91" i="12"/>
  <c r="AB96" i="12"/>
  <c r="X96" i="12"/>
  <c r="AL95" i="12"/>
  <c r="Y94" i="12"/>
  <c r="AG91" i="12"/>
  <c r="Y98" i="12"/>
  <c r="X94" i="12"/>
  <c r="AM94" i="12"/>
  <c r="AI94" i="12"/>
  <c r="AH94" i="12"/>
  <c r="AL94" i="12"/>
  <c r="AI91" i="12"/>
  <c r="AJ94" i="12"/>
  <c r="AA94" i="12"/>
  <c r="AD94" i="12"/>
  <c r="AH91" i="12"/>
  <c r="AG90" i="12"/>
  <c r="AB90" i="12"/>
  <c r="AF90" i="12"/>
  <c r="AN90" i="12"/>
  <c r="AI90" i="12"/>
  <c r="AC90" i="12"/>
  <c r="X90" i="12"/>
  <c r="AO90" i="12"/>
  <c r="AJ90" i="12"/>
  <c r="AE90" i="12"/>
  <c r="AH90" i="12"/>
  <c r="Y90" i="12"/>
  <c r="AK90" i="12"/>
  <c r="Z90" i="12"/>
  <c r="AD90" i="12"/>
  <c r="AL90" i="12"/>
  <c r="AP90" i="12"/>
  <c r="AA90" i="12"/>
  <c r="AM90" i="12"/>
  <c r="AJ95" i="12"/>
  <c r="AO95" i="12"/>
  <c r="AM95" i="12"/>
  <c r="AD91" i="12"/>
  <c r="X95" i="12"/>
  <c r="AM91" i="12"/>
  <c r="AI95" i="12"/>
  <c r="AA91" i="12"/>
  <c r="AP19" i="20" l="1"/>
  <c r="AP22" i="20"/>
  <c r="AP26" i="20"/>
  <c r="AP27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54" i="20"/>
  <c r="AP55" i="20"/>
  <c r="AP56" i="20"/>
  <c r="AP57" i="20"/>
  <c r="AP58" i="20"/>
  <c r="AP59" i="20"/>
  <c r="AP60" i="20"/>
  <c r="AP61" i="20"/>
  <c r="AP62" i="20"/>
  <c r="AP63" i="20"/>
  <c r="AP64" i="20"/>
  <c r="AP65" i="20"/>
  <c r="AP66" i="20"/>
  <c r="AP67" i="20"/>
  <c r="AP68" i="20"/>
  <c r="AP69" i="20"/>
  <c r="AP70" i="20"/>
  <c r="AP71" i="20"/>
  <c r="AP72" i="20"/>
  <c r="AP73" i="20"/>
  <c r="AP74" i="20"/>
  <c r="AP75" i="20"/>
  <c r="AP76" i="20"/>
  <c r="AP77" i="20"/>
  <c r="AP78" i="20"/>
  <c r="AP79" i="20"/>
  <c r="AP80" i="20"/>
  <c r="AP81" i="20"/>
  <c r="AP82" i="20"/>
  <c r="AP83" i="20"/>
  <c r="AP84" i="20"/>
  <c r="AP85" i="20"/>
  <c r="AP86" i="20"/>
  <c r="AP87" i="20"/>
  <c r="AP88" i="20"/>
  <c r="AP89" i="20"/>
  <c r="AP90" i="20"/>
  <c r="AP91" i="20"/>
  <c r="AP92" i="20"/>
  <c r="AP93" i="20"/>
  <c r="AP94" i="20"/>
  <c r="AP95" i="20"/>
  <c r="AP96" i="20"/>
  <c r="AP97" i="20"/>
  <c r="AP98" i="20"/>
  <c r="AP99" i="20"/>
  <c r="AP100" i="20"/>
  <c r="AP101" i="20"/>
  <c r="AP102" i="20"/>
  <c r="AP103" i="20"/>
  <c r="AP104" i="20"/>
  <c r="AP105" i="20"/>
  <c r="AP106" i="20"/>
  <c r="AP107" i="20"/>
  <c r="AP108" i="20"/>
  <c r="AP109" i="20"/>
  <c r="AH31" i="20"/>
  <c r="AH32" i="20"/>
  <c r="AH33" i="20"/>
  <c r="AH34" i="20"/>
  <c r="AH35" i="20"/>
  <c r="AH36" i="20"/>
  <c r="AH37" i="20"/>
  <c r="AH38" i="20"/>
  <c r="AH39" i="20"/>
  <c r="AH40" i="20"/>
  <c r="AH41" i="20"/>
  <c r="AH42" i="20"/>
  <c r="AH43" i="20"/>
  <c r="AH44" i="20"/>
  <c r="AH45" i="20"/>
  <c r="AH46" i="20"/>
  <c r="AH47" i="20"/>
  <c r="AH48" i="20"/>
  <c r="AH49" i="20"/>
  <c r="AH50" i="20"/>
  <c r="AH51" i="20"/>
  <c r="AH52" i="20"/>
  <c r="AH53" i="20"/>
  <c r="AH54" i="20"/>
  <c r="AH55" i="20"/>
  <c r="AH56" i="20"/>
  <c r="AH57" i="20"/>
  <c r="AH58" i="20"/>
  <c r="AH59" i="20"/>
  <c r="AH60" i="20"/>
  <c r="AH61" i="20"/>
  <c r="AH62" i="20"/>
  <c r="AH63" i="20"/>
  <c r="AH64" i="20"/>
  <c r="AH65" i="20"/>
  <c r="AH66" i="20"/>
  <c r="AH67" i="20"/>
  <c r="AH68" i="20"/>
  <c r="AH69" i="20"/>
  <c r="AH70" i="20"/>
  <c r="AH71" i="20"/>
  <c r="AH72" i="20"/>
  <c r="AH73" i="20"/>
  <c r="AH74" i="20"/>
  <c r="AH75" i="20"/>
  <c r="AH76" i="20"/>
  <c r="AH77" i="20"/>
  <c r="AH78" i="20"/>
  <c r="AH79" i="20"/>
  <c r="AH80" i="20"/>
  <c r="AH81" i="20"/>
  <c r="AH82" i="20"/>
  <c r="AH83" i="20"/>
  <c r="AH84" i="20"/>
  <c r="AH85" i="20"/>
  <c r="AH86" i="20"/>
  <c r="AH87" i="20"/>
  <c r="AH88" i="20"/>
  <c r="AH89" i="20"/>
  <c r="AH90" i="20"/>
  <c r="AH91" i="20"/>
  <c r="AH92" i="20"/>
  <c r="AH93" i="20"/>
  <c r="AH94" i="20"/>
  <c r="AH95" i="20"/>
  <c r="AH96" i="20"/>
  <c r="AH97" i="20"/>
  <c r="AH98" i="20"/>
  <c r="AH99" i="20"/>
  <c r="AH100" i="20"/>
  <c r="AH101" i="20"/>
  <c r="AH102" i="20"/>
  <c r="AH103" i="20"/>
  <c r="AH104" i="20"/>
  <c r="AH105" i="20"/>
  <c r="AH106" i="20"/>
  <c r="AH107" i="20"/>
  <c r="AH108" i="20"/>
  <c r="AH109" i="20"/>
  <c r="AB11" i="20"/>
  <c r="AS11" i="20"/>
  <c r="AV11" i="20"/>
  <c r="AW11" i="20"/>
  <c r="AX11" i="20"/>
  <c r="AY11" i="20"/>
  <c r="AZ11" i="20"/>
  <c r="BA11" i="20"/>
  <c r="AB12" i="20"/>
  <c r="AS12" i="20"/>
  <c r="AV12" i="20"/>
  <c r="AW12" i="20"/>
  <c r="AX12" i="20"/>
  <c r="AY12" i="20"/>
  <c r="AZ12" i="20"/>
  <c r="BA12" i="20"/>
  <c r="AB13" i="20"/>
  <c r="AS13" i="20"/>
  <c r="AV13" i="20"/>
  <c r="AW13" i="20"/>
  <c r="AX13" i="20"/>
  <c r="AY13" i="20"/>
  <c r="AZ13" i="20"/>
  <c r="BA13" i="20"/>
  <c r="AB14" i="20"/>
  <c r="AO14" i="20" s="1"/>
  <c r="AS14" i="20"/>
  <c r="AV14" i="20"/>
  <c r="AW14" i="20"/>
  <c r="AX14" i="20"/>
  <c r="AY14" i="20"/>
  <c r="AZ14" i="20"/>
  <c r="BA14" i="20"/>
  <c r="AB15" i="20"/>
  <c r="AP15" i="20" s="1"/>
  <c r="AS15" i="20"/>
  <c r="AV15" i="20"/>
  <c r="AW15" i="20"/>
  <c r="AX15" i="20"/>
  <c r="AY15" i="20"/>
  <c r="AZ15" i="20"/>
  <c r="BA15" i="20"/>
  <c r="AB16" i="20"/>
  <c r="AS16" i="20"/>
  <c r="AT16" i="20" a="1"/>
  <c r="AT16" i="20" s="1"/>
  <c r="AV16" i="20"/>
  <c r="AW16" i="20"/>
  <c r="AX16" i="20"/>
  <c r="AY16" i="20"/>
  <c r="AZ16" i="20"/>
  <c r="BA16" i="20"/>
  <c r="AB17" i="20"/>
  <c r="AS17" i="20"/>
  <c r="AT17" i="20" a="1"/>
  <c r="AT17" i="20" s="1"/>
  <c r="AU17" i="20" a="1"/>
  <c r="AU17" i="20" s="1"/>
  <c r="AV17" i="20"/>
  <c r="AW17" i="20"/>
  <c r="AX17" i="20"/>
  <c r="AY17" i="20"/>
  <c r="AZ17" i="20"/>
  <c r="BA17" i="20"/>
  <c r="AB18" i="20"/>
  <c r="AC18" i="20"/>
  <c r="AL18" i="20"/>
  <c r="AM18" i="20"/>
  <c r="AS18" i="20"/>
  <c r="AT18" i="20" a="1"/>
  <c r="AT18" i="20" s="1"/>
  <c r="AU18" i="20" a="1"/>
  <c r="AU18" i="20" s="1"/>
  <c r="AV18" i="20"/>
  <c r="AW18" i="20"/>
  <c r="AX18" i="20"/>
  <c r="AY18" i="20"/>
  <c r="AZ18" i="20"/>
  <c r="BA18" i="20"/>
  <c r="AB19" i="20"/>
  <c r="AC19" i="20"/>
  <c r="AL19" i="20"/>
  <c r="AM19" i="20"/>
  <c r="AN19" i="20"/>
  <c r="AO19" i="20"/>
  <c r="AQ19" i="20"/>
  <c r="AS19" i="20"/>
  <c r="AT19" i="20" a="1"/>
  <c r="AT19" i="20" s="1"/>
  <c r="AU19" i="20" a="1"/>
  <c r="AU19" i="20" s="1"/>
  <c r="AV19" i="20"/>
  <c r="AW19" i="20"/>
  <c r="AX19" i="20"/>
  <c r="AY19" i="20"/>
  <c r="AZ19" i="20"/>
  <c r="BA19" i="20"/>
  <c r="AB20" i="20"/>
  <c r="AP20" i="20" s="1"/>
  <c r="AC20" i="20"/>
  <c r="AL20" i="20"/>
  <c r="AM20" i="20"/>
  <c r="AN20" i="20"/>
  <c r="AO20" i="20"/>
  <c r="AQ20" i="20"/>
  <c r="AS20" i="20"/>
  <c r="AT20" i="20" a="1"/>
  <c r="AT20" i="20" s="1"/>
  <c r="AU20" i="20" a="1"/>
  <c r="AU20" i="20" s="1"/>
  <c r="AV20" i="20"/>
  <c r="AW20" i="20"/>
  <c r="AX20" i="20"/>
  <c r="AY20" i="20"/>
  <c r="AZ20" i="20"/>
  <c r="BA20" i="20"/>
  <c r="AB21" i="20"/>
  <c r="AP21" i="20" s="1"/>
  <c r="AC21" i="20"/>
  <c r="AL21" i="20"/>
  <c r="AM21" i="20"/>
  <c r="AN21" i="20"/>
  <c r="AO21" i="20"/>
  <c r="AQ21" i="20"/>
  <c r="AS21" i="20"/>
  <c r="AT21" i="20" a="1"/>
  <c r="AT21" i="20" s="1"/>
  <c r="AU21" i="20" a="1"/>
  <c r="AU21" i="20" s="1"/>
  <c r="AV21" i="20"/>
  <c r="AW21" i="20"/>
  <c r="AX21" i="20"/>
  <c r="AY21" i="20"/>
  <c r="AZ21" i="20"/>
  <c r="BA21" i="20"/>
  <c r="AB22" i="20"/>
  <c r="AC22" i="20"/>
  <c r="AL22" i="20"/>
  <c r="AM22" i="20"/>
  <c r="AN22" i="20"/>
  <c r="AO22" i="20"/>
  <c r="AQ22" i="20"/>
  <c r="AS22" i="20"/>
  <c r="AT22" i="20" a="1"/>
  <c r="AT22" i="20" s="1"/>
  <c r="AU22" i="20" a="1"/>
  <c r="AU22" i="20" s="1"/>
  <c r="AV22" i="20"/>
  <c r="AW22" i="20"/>
  <c r="AX22" i="20"/>
  <c r="AY22" i="20"/>
  <c r="AZ22" i="20"/>
  <c r="BA22" i="20"/>
  <c r="AB23" i="20"/>
  <c r="AP23" i="20" s="1"/>
  <c r="AC23" i="20"/>
  <c r="AL23" i="20"/>
  <c r="AM23" i="20"/>
  <c r="AN23" i="20"/>
  <c r="AO23" i="20"/>
  <c r="AQ23" i="20"/>
  <c r="AS23" i="20"/>
  <c r="AT23" i="20" a="1"/>
  <c r="AT23" i="20" s="1"/>
  <c r="AU23" i="20" a="1"/>
  <c r="AU23" i="20" s="1"/>
  <c r="AV23" i="20"/>
  <c r="AW23" i="20"/>
  <c r="AX23" i="20"/>
  <c r="AY23" i="20"/>
  <c r="AZ23" i="20"/>
  <c r="BA23" i="20"/>
  <c r="AB24" i="20"/>
  <c r="AP24" i="20" s="1"/>
  <c r="AC24" i="20"/>
  <c r="AL24" i="20"/>
  <c r="AM24" i="20"/>
  <c r="AN24" i="20"/>
  <c r="AO24" i="20"/>
  <c r="AQ24" i="20"/>
  <c r="AS24" i="20"/>
  <c r="AT24" i="20" a="1"/>
  <c r="AT24" i="20" s="1"/>
  <c r="AU24" i="20" a="1"/>
  <c r="AU24" i="20" s="1"/>
  <c r="AV24" i="20"/>
  <c r="AW24" i="20"/>
  <c r="AX24" i="20"/>
  <c r="AY24" i="20"/>
  <c r="AZ24" i="20"/>
  <c r="BA24" i="20"/>
  <c r="AB25" i="20"/>
  <c r="AP25" i="20" s="1"/>
  <c r="AC25" i="20"/>
  <c r="AL25" i="20"/>
  <c r="AM25" i="20"/>
  <c r="AN25" i="20"/>
  <c r="AO25" i="20"/>
  <c r="AQ25" i="20"/>
  <c r="AS25" i="20"/>
  <c r="AT25" i="20" a="1"/>
  <c r="AT25" i="20" s="1"/>
  <c r="AU25" i="20" a="1"/>
  <c r="AU25" i="20" s="1"/>
  <c r="AV25" i="20"/>
  <c r="AW25" i="20"/>
  <c r="AX25" i="20"/>
  <c r="AY25" i="20"/>
  <c r="AZ25" i="20"/>
  <c r="BA25" i="20"/>
  <c r="AB26" i="20"/>
  <c r="AC26" i="20"/>
  <c r="AL26" i="20"/>
  <c r="AM26" i="20"/>
  <c r="AN26" i="20"/>
  <c r="AO26" i="20"/>
  <c r="AQ26" i="20"/>
  <c r="AS26" i="20"/>
  <c r="AT26" i="20" a="1"/>
  <c r="AT26" i="20" s="1"/>
  <c r="AU26" i="20" a="1"/>
  <c r="AU26" i="20" s="1"/>
  <c r="AV26" i="20"/>
  <c r="AW26" i="20"/>
  <c r="AX26" i="20"/>
  <c r="AY26" i="20"/>
  <c r="AZ26" i="20"/>
  <c r="BA26" i="20"/>
  <c r="AB27" i="20"/>
  <c r="AC27" i="20"/>
  <c r="AL27" i="20"/>
  <c r="AM27" i="20"/>
  <c r="AN27" i="20"/>
  <c r="AO27" i="20"/>
  <c r="AQ27" i="20"/>
  <c r="AS27" i="20"/>
  <c r="AT27" i="20" a="1"/>
  <c r="AT27" i="20" s="1"/>
  <c r="AU27" i="20" a="1"/>
  <c r="AU27" i="20" s="1"/>
  <c r="AV27" i="20"/>
  <c r="AW27" i="20"/>
  <c r="AX27" i="20"/>
  <c r="AY27" i="20"/>
  <c r="AZ27" i="20"/>
  <c r="BA27" i="20"/>
  <c r="AB28" i="20"/>
  <c r="AP28" i="20" s="1"/>
  <c r="AC28" i="20"/>
  <c r="AL28" i="20"/>
  <c r="AM28" i="20"/>
  <c r="AN28" i="20"/>
  <c r="AO28" i="20"/>
  <c r="AQ28" i="20"/>
  <c r="AS28" i="20"/>
  <c r="AT28" i="20" a="1"/>
  <c r="AT28" i="20" s="1"/>
  <c r="AU28" i="20" a="1"/>
  <c r="AU28" i="20" s="1"/>
  <c r="AV28" i="20"/>
  <c r="AW28" i="20"/>
  <c r="AX28" i="20"/>
  <c r="AY28" i="20"/>
  <c r="AZ28" i="20"/>
  <c r="BA28" i="20"/>
  <c r="AB29" i="20"/>
  <c r="AP29" i="20" s="1"/>
  <c r="AC29" i="20"/>
  <c r="AL29" i="20"/>
  <c r="AM29" i="20"/>
  <c r="AN29" i="20"/>
  <c r="AO29" i="20"/>
  <c r="AQ29" i="20"/>
  <c r="AS29" i="20"/>
  <c r="AT29" i="20" a="1"/>
  <c r="AT29" i="20" s="1"/>
  <c r="AU29" i="20" a="1"/>
  <c r="AU29" i="20" s="1"/>
  <c r="AV29" i="20"/>
  <c r="AW29" i="20"/>
  <c r="AX29" i="20"/>
  <c r="AY29" i="20"/>
  <c r="AZ29" i="20"/>
  <c r="BA29" i="20"/>
  <c r="AB30" i="20"/>
  <c r="AP30" i="20" s="1"/>
  <c r="AC30" i="20"/>
  <c r="AL30" i="20"/>
  <c r="AM30" i="20"/>
  <c r="AN30" i="20"/>
  <c r="AO30" i="20"/>
  <c r="AQ30" i="20"/>
  <c r="AS30" i="20"/>
  <c r="AT30" i="20" a="1"/>
  <c r="AT30" i="20" s="1"/>
  <c r="AU30" i="20" a="1"/>
  <c r="AU30" i="20" s="1"/>
  <c r="AV30" i="20"/>
  <c r="AW30" i="20"/>
  <c r="AX30" i="20"/>
  <c r="AY30" i="20"/>
  <c r="AZ30" i="20"/>
  <c r="BA30" i="20"/>
  <c r="AB31" i="20"/>
  <c r="AC31" i="20"/>
  <c r="AD31" i="20"/>
  <c r="AF31" i="20"/>
  <c r="AG31" i="20"/>
  <c r="AI31" i="20"/>
  <c r="AJ31" i="20"/>
  <c r="AK31" i="20"/>
  <c r="AL31" i="20"/>
  <c r="AM31" i="20"/>
  <c r="AN31" i="20"/>
  <c r="AO31" i="20"/>
  <c r="AQ31" i="20"/>
  <c r="AS31" i="20"/>
  <c r="AT31" i="20" a="1"/>
  <c r="AT31" i="20" s="1"/>
  <c r="AU31" i="20" a="1"/>
  <c r="AU31" i="20" s="1"/>
  <c r="AV31" i="20"/>
  <c r="AW31" i="20"/>
  <c r="AX31" i="20"/>
  <c r="AY31" i="20"/>
  <c r="AZ31" i="20"/>
  <c r="BA31" i="20"/>
  <c r="AB32" i="20"/>
  <c r="AC32" i="20"/>
  <c r="AD32" i="20"/>
  <c r="AF32" i="20"/>
  <c r="AG32" i="20"/>
  <c r="AI32" i="20"/>
  <c r="AJ32" i="20"/>
  <c r="AK32" i="20"/>
  <c r="AL32" i="20"/>
  <c r="AM32" i="20"/>
  <c r="AN32" i="20"/>
  <c r="AO32" i="20"/>
  <c r="AQ32" i="20"/>
  <c r="AS32" i="20"/>
  <c r="AT32" i="20" a="1"/>
  <c r="AT32" i="20" s="1"/>
  <c r="AU32" i="20" a="1"/>
  <c r="AU32" i="20" s="1"/>
  <c r="AV32" i="20"/>
  <c r="AW32" i="20"/>
  <c r="AX32" i="20"/>
  <c r="AY32" i="20"/>
  <c r="AZ32" i="20"/>
  <c r="BA32" i="20"/>
  <c r="AB33" i="20"/>
  <c r="AC33" i="20"/>
  <c r="AD33" i="20"/>
  <c r="AF33" i="20"/>
  <c r="AG33" i="20"/>
  <c r="AI33" i="20"/>
  <c r="AJ33" i="20"/>
  <c r="AK33" i="20"/>
  <c r="AL33" i="20"/>
  <c r="AM33" i="20"/>
  <c r="AN33" i="20"/>
  <c r="AO33" i="20"/>
  <c r="AQ33" i="20"/>
  <c r="AS33" i="20"/>
  <c r="AT33" i="20" a="1"/>
  <c r="AT33" i="20" s="1"/>
  <c r="AU33" i="20" a="1"/>
  <c r="AU33" i="20" s="1"/>
  <c r="AV33" i="20"/>
  <c r="AW33" i="20"/>
  <c r="AX33" i="20"/>
  <c r="AY33" i="20"/>
  <c r="AZ33" i="20"/>
  <c r="BA33" i="20"/>
  <c r="AB34" i="20"/>
  <c r="AC34" i="20"/>
  <c r="AD34" i="20"/>
  <c r="AF34" i="20"/>
  <c r="AG34" i="20"/>
  <c r="AI34" i="20"/>
  <c r="AJ34" i="20"/>
  <c r="AK34" i="20"/>
  <c r="AL34" i="20"/>
  <c r="AM34" i="20"/>
  <c r="AN34" i="20"/>
  <c r="AO34" i="20"/>
  <c r="AQ34" i="20"/>
  <c r="AS34" i="20"/>
  <c r="AT34" i="20" a="1"/>
  <c r="AT34" i="20" s="1"/>
  <c r="AU34" i="20" a="1"/>
  <c r="AU34" i="20" s="1"/>
  <c r="AV34" i="20"/>
  <c r="AW34" i="20"/>
  <c r="AX34" i="20"/>
  <c r="AY34" i="20"/>
  <c r="AZ34" i="20"/>
  <c r="BA34" i="20"/>
  <c r="AB35" i="20"/>
  <c r="AC35" i="20"/>
  <c r="AD35" i="20"/>
  <c r="AF35" i="20"/>
  <c r="AG35" i="20"/>
  <c r="AI35" i="20"/>
  <c r="AJ35" i="20"/>
  <c r="AK35" i="20"/>
  <c r="AL35" i="20"/>
  <c r="AM35" i="20"/>
  <c r="AN35" i="20"/>
  <c r="AO35" i="20"/>
  <c r="AQ35" i="20"/>
  <c r="AS35" i="20"/>
  <c r="AT35" i="20" a="1"/>
  <c r="AT35" i="20" s="1"/>
  <c r="AU35" i="20" a="1"/>
  <c r="AU35" i="20" s="1"/>
  <c r="AV35" i="20"/>
  <c r="AW35" i="20"/>
  <c r="AX35" i="20"/>
  <c r="AY35" i="20"/>
  <c r="AZ35" i="20"/>
  <c r="BA35" i="20"/>
  <c r="AB36" i="20"/>
  <c r="AC36" i="20"/>
  <c r="AD36" i="20"/>
  <c r="AF36" i="20"/>
  <c r="AG36" i="20"/>
  <c r="AI36" i="20"/>
  <c r="AJ36" i="20"/>
  <c r="AK36" i="20"/>
  <c r="AL36" i="20"/>
  <c r="AM36" i="20"/>
  <c r="AN36" i="20"/>
  <c r="AO36" i="20"/>
  <c r="AQ36" i="20"/>
  <c r="AS36" i="20"/>
  <c r="AT36" i="20" a="1"/>
  <c r="AT36" i="20" s="1"/>
  <c r="AU36" i="20" a="1"/>
  <c r="AU36" i="20" s="1"/>
  <c r="AV36" i="20"/>
  <c r="AW36" i="20"/>
  <c r="AX36" i="20"/>
  <c r="AY36" i="20"/>
  <c r="AZ36" i="20"/>
  <c r="BA36" i="20"/>
  <c r="AB37" i="20"/>
  <c r="AC37" i="20"/>
  <c r="AD37" i="20"/>
  <c r="AF37" i="20"/>
  <c r="AG37" i="20"/>
  <c r="AI37" i="20"/>
  <c r="AJ37" i="20"/>
  <c r="AK37" i="20"/>
  <c r="AL37" i="20"/>
  <c r="AM37" i="20"/>
  <c r="AN37" i="20"/>
  <c r="AO37" i="20"/>
  <c r="AQ37" i="20"/>
  <c r="AS37" i="20"/>
  <c r="AT37" i="20" a="1"/>
  <c r="AT37" i="20" s="1"/>
  <c r="AU37" i="20" a="1"/>
  <c r="AU37" i="20" s="1"/>
  <c r="AV37" i="20"/>
  <c r="AW37" i="20"/>
  <c r="AX37" i="20"/>
  <c r="AY37" i="20"/>
  <c r="AZ37" i="20"/>
  <c r="BA37" i="20"/>
  <c r="AB38" i="20"/>
  <c r="AC38" i="20"/>
  <c r="AD38" i="20"/>
  <c r="AF38" i="20"/>
  <c r="AG38" i="20"/>
  <c r="AI38" i="20"/>
  <c r="AJ38" i="20"/>
  <c r="AK38" i="20"/>
  <c r="AL38" i="20"/>
  <c r="AM38" i="20"/>
  <c r="AN38" i="20"/>
  <c r="AO38" i="20"/>
  <c r="AQ38" i="20"/>
  <c r="AS38" i="20"/>
  <c r="AT38" i="20" a="1"/>
  <c r="AT38" i="20" s="1"/>
  <c r="AU38" i="20" a="1"/>
  <c r="AU38" i="20" s="1"/>
  <c r="AV38" i="20"/>
  <c r="AW38" i="20"/>
  <c r="AX38" i="20"/>
  <c r="AY38" i="20"/>
  <c r="AZ38" i="20"/>
  <c r="BA38" i="20"/>
  <c r="AB39" i="20"/>
  <c r="AC39" i="20"/>
  <c r="AD39" i="20"/>
  <c r="AF39" i="20"/>
  <c r="AG39" i="20"/>
  <c r="AI39" i="20"/>
  <c r="AJ39" i="20"/>
  <c r="AK39" i="20"/>
  <c r="AL39" i="20"/>
  <c r="AM39" i="20"/>
  <c r="AN39" i="20"/>
  <c r="AO39" i="20"/>
  <c r="AQ39" i="20"/>
  <c r="AS39" i="20"/>
  <c r="AT39" i="20" a="1"/>
  <c r="AT39" i="20" s="1"/>
  <c r="AU39" i="20" a="1"/>
  <c r="AU39" i="20" s="1"/>
  <c r="AV39" i="20"/>
  <c r="AW39" i="20"/>
  <c r="AX39" i="20"/>
  <c r="AY39" i="20"/>
  <c r="AZ39" i="20"/>
  <c r="BA39" i="20"/>
  <c r="AB40" i="20"/>
  <c r="AC40" i="20"/>
  <c r="AD40" i="20"/>
  <c r="AF40" i="20"/>
  <c r="AG40" i="20"/>
  <c r="AI40" i="20"/>
  <c r="AJ40" i="20"/>
  <c r="AK40" i="20"/>
  <c r="AL40" i="20"/>
  <c r="AM40" i="20"/>
  <c r="AN40" i="20"/>
  <c r="AO40" i="20"/>
  <c r="AQ40" i="20"/>
  <c r="AS40" i="20"/>
  <c r="AT40" i="20" a="1"/>
  <c r="AT40" i="20" s="1"/>
  <c r="AU40" i="20" a="1"/>
  <c r="AU40" i="20" s="1"/>
  <c r="AV40" i="20"/>
  <c r="AW40" i="20"/>
  <c r="AX40" i="20"/>
  <c r="AY40" i="20"/>
  <c r="AZ40" i="20"/>
  <c r="BA40" i="20"/>
  <c r="AB41" i="20"/>
  <c r="AC41" i="20"/>
  <c r="AD41" i="20"/>
  <c r="AF41" i="20"/>
  <c r="AG41" i="20"/>
  <c r="AI41" i="20"/>
  <c r="AJ41" i="20"/>
  <c r="AK41" i="20"/>
  <c r="AL41" i="20"/>
  <c r="AM41" i="20"/>
  <c r="AN41" i="20"/>
  <c r="AO41" i="20"/>
  <c r="AQ41" i="20"/>
  <c r="AS41" i="20"/>
  <c r="AT41" i="20" a="1"/>
  <c r="AT41" i="20" s="1"/>
  <c r="AU41" i="20" a="1"/>
  <c r="AU41" i="20" s="1"/>
  <c r="AV41" i="20"/>
  <c r="AW41" i="20"/>
  <c r="AX41" i="20"/>
  <c r="AY41" i="20"/>
  <c r="AZ41" i="20"/>
  <c r="BA41" i="20"/>
  <c r="AB42" i="20"/>
  <c r="AC42" i="20"/>
  <c r="AD42" i="20"/>
  <c r="AF42" i="20"/>
  <c r="AG42" i="20"/>
  <c r="AI42" i="20"/>
  <c r="AJ42" i="20"/>
  <c r="AK42" i="20"/>
  <c r="AL42" i="20"/>
  <c r="AM42" i="20"/>
  <c r="AN42" i="20"/>
  <c r="AO42" i="20"/>
  <c r="AQ42" i="20"/>
  <c r="AS42" i="20"/>
  <c r="AT42" i="20" a="1"/>
  <c r="AT42" i="20" s="1"/>
  <c r="AU42" i="20" a="1"/>
  <c r="AU42" i="20" s="1"/>
  <c r="AV42" i="20"/>
  <c r="AW42" i="20"/>
  <c r="AX42" i="20"/>
  <c r="AY42" i="20"/>
  <c r="AZ42" i="20"/>
  <c r="BA42" i="20"/>
  <c r="AB43" i="20"/>
  <c r="AC43" i="20"/>
  <c r="AD43" i="20"/>
  <c r="AF43" i="20"/>
  <c r="AG43" i="20"/>
  <c r="AI43" i="20"/>
  <c r="AJ43" i="20"/>
  <c r="AK43" i="20"/>
  <c r="AL43" i="20"/>
  <c r="AM43" i="20"/>
  <c r="AN43" i="20"/>
  <c r="AO43" i="20"/>
  <c r="AQ43" i="20"/>
  <c r="AS43" i="20"/>
  <c r="AT43" i="20" a="1"/>
  <c r="AT43" i="20" s="1"/>
  <c r="AU43" i="20" a="1"/>
  <c r="AU43" i="20" s="1"/>
  <c r="AV43" i="20"/>
  <c r="AW43" i="20"/>
  <c r="AX43" i="20"/>
  <c r="AY43" i="20"/>
  <c r="AZ43" i="20"/>
  <c r="BA43" i="20"/>
  <c r="AB44" i="20"/>
  <c r="AC44" i="20"/>
  <c r="AD44" i="20"/>
  <c r="AF44" i="20"/>
  <c r="AG44" i="20"/>
  <c r="AI44" i="20"/>
  <c r="AJ44" i="20"/>
  <c r="AK44" i="20"/>
  <c r="AL44" i="20"/>
  <c r="AM44" i="20"/>
  <c r="AN44" i="20"/>
  <c r="AO44" i="20"/>
  <c r="AQ44" i="20"/>
  <c r="AS44" i="20"/>
  <c r="AT44" i="20" a="1"/>
  <c r="AT44" i="20" s="1"/>
  <c r="AU44" i="20" a="1"/>
  <c r="AU44" i="20" s="1"/>
  <c r="AV44" i="20"/>
  <c r="AW44" i="20"/>
  <c r="AX44" i="20"/>
  <c r="AY44" i="20"/>
  <c r="AZ44" i="20"/>
  <c r="BA44" i="20"/>
  <c r="AB45" i="20"/>
  <c r="AC45" i="20"/>
  <c r="AD45" i="20"/>
  <c r="AF45" i="20"/>
  <c r="AG45" i="20"/>
  <c r="AI45" i="20"/>
  <c r="AJ45" i="20"/>
  <c r="AK45" i="20"/>
  <c r="AL45" i="20"/>
  <c r="AM45" i="20"/>
  <c r="AN45" i="20"/>
  <c r="AO45" i="20"/>
  <c r="AQ45" i="20"/>
  <c r="AS45" i="20"/>
  <c r="AT45" i="20" a="1"/>
  <c r="AT45" i="20" s="1"/>
  <c r="AU45" i="20" a="1"/>
  <c r="AU45" i="20" s="1"/>
  <c r="AV45" i="20"/>
  <c r="AW45" i="20"/>
  <c r="AX45" i="20"/>
  <c r="AY45" i="20"/>
  <c r="AZ45" i="20"/>
  <c r="BA45" i="20"/>
  <c r="AB46" i="20"/>
  <c r="AC46" i="20"/>
  <c r="AD46" i="20"/>
  <c r="AF46" i="20"/>
  <c r="AG46" i="20"/>
  <c r="AI46" i="20"/>
  <c r="AJ46" i="20"/>
  <c r="AK46" i="20"/>
  <c r="AL46" i="20"/>
  <c r="AM46" i="20"/>
  <c r="AN46" i="20"/>
  <c r="AO46" i="20"/>
  <c r="AQ46" i="20"/>
  <c r="AS46" i="20"/>
  <c r="AT46" i="20" a="1"/>
  <c r="AT46" i="20" s="1"/>
  <c r="AU46" i="20" a="1"/>
  <c r="AU46" i="20" s="1"/>
  <c r="AV46" i="20"/>
  <c r="AW46" i="20"/>
  <c r="AX46" i="20"/>
  <c r="AY46" i="20"/>
  <c r="AZ46" i="20"/>
  <c r="BA46" i="20"/>
  <c r="AB47" i="20"/>
  <c r="AC47" i="20"/>
  <c r="AD47" i="20"/>
  <c r="AF47" i="20"/>
  <c r="AG47" i="20"/>
  <c r="AI47" i="20"/>
  <c r="AJ47" i="20"/>
  <c r="AK47" i="20"/>
  <c r="AL47" i="20"/>
  <c r="AM47" i="20"/>
  <c r="AN47" i="20"/>
  <c r="AO47" i="20"/>
  <c r="AQ47" i="20"/>
  <c r="AS47" i="20"/>
  <c r="AT47" i="20" a="1"/>
  <c r="AT47" i="20" s="1"/>
  <c r="AU47" i="20" a="1"/>
  <c r="AU47" i="20" s="1"/>
  <c r="AV47" i="20"/>
  <c r="AW47" i="20"/>
  <c r="AX47" i="20"/>
  <c r="AY47" i="20"/>
  <c r="AZ47" i="20"/>
  <c r="BA47" i="20"/>
  <c r="AB48" i="20"/>
  <c r="AC48" i="20"/>
  <c r="AD48" i="20"/>
  <c r="AF48" i="20"/>
  <c r="AG48" i="20"/>
  <c r="AI48" i="20"/>
  <c r="AJ48" i="20"/>
  <c r="AK48" i="20"/>
  <c r="AL48" i="20"/>
  <c r="AM48" i="20"/>
  <c r="AN48" i="20"/>
  <c r="AO48" i="20"/>
  <c r="AQ48" i="20"/>
  <c r="AS48" i="20"/>
  <c r="AT48" i="20" a="1"/>
  <c r="AT48" i="20" s="1"/>
  <c r="AU48" i="20" a="1"/>
  <c r="AU48" i="20" s="1"/>
  <c r="AV48" i="20"/>
  <c r="AW48" i="20"/>
  <c r="AX48" i="20"/>
  <c r="AY48" i="20"/>
  <c r="AZ48" i="20"/>
  <c r="BA48" i="20"/>
  <c r="AB49" i="20"/>
  <c r="AC49" i="20"/>
  <c r="AD49" i="20"/>
  <c r="AF49" i="20"/>
  <c r="AG49" i="20"/>
  <c r="AI49" i="20"/>
  <c r="AJ49" i="20"/>
  <c r="AK49" i="20"/>
  <c r="AL49" i="20"/>
  <c r="AM49" i="20"/>
  <c r="AN49" i="20"/>
  <c r="AO49" i="20"/>
  <c r="AQ49" i="20"/>
  <c r="AS49" i="20"/>
  <c r="AT49" i="20" a="1"/>
  <c r="AT49" i="20" s="1"/>
  <c r="AU49" i="20" a="1"/>
  <c r="AU49" i="20" s="1"/>
  <c r="AV49" i="20"/>
  <c r="AW49" i="20"/>
  <c r="AX49" i="20"/>
  <c r="AY49" i="20"/>
  <c r="AZ49" i="20"/>
  <c r="BA49" i="20"/>
  <c r="AB50" i="20"/>
  <c r="AC50" i="20"/>
  <c r="AD50" i="20"/>
  <c r="AF50" i="20"/>
  <c r="AG50" i="20"/>
  <c r="AI50" i="20"/>
  <c r="AJ50" i="20"/>
  <c r="AK50" i="20"/>
  <c r="AL50" i="20"/>
  <c r="AM50" i="20"/>
  <c r="AN50" i="20"/>
  <c r="AO50" i="20"/>
  <c r="AQ50" i="20"/>
  <c r="AS50" i="20"/>
  <c r="AT50" i="20" a="1"/>
  <c r="AT50" i="20" s="1"/>
  <c r="AU50" i="20" a="1"/>
  <c r="AU50" i="20" s="1"/>
  <c r="AV50" i="20"/>
  <c r="AW50" i="20"/>
  <c r="AX50" i="20"/>
  <c r="AY50" i="20"/>
  <c r="AZ50" i="20"/>
  <c r="BA50" i="20"/>
  <c r="AB51" i="20"/>
  <c r="AC51" i="20"/>
  <c r="AD51" i="20"/>
  <c r="AF51" i="20"/>
  <c r="AG51" i="20"/>
  <c r="AI51" i="20"/>
  <c r="AJ51" i="20"/>
  <c r="AK51" i="20"/>
  <c r="AL51" i="20"/>
  <c r="AM51" i="20"/>
  <c r="AN51" i="20"/>
  <c r="AO51" i="20"/>
  <c r="AQ51" i="20"/>
  <c r="AS51" i="20"/>
  <c r="AT51" i="20" a="1"/>
  <c r="AT51" i="20" s="1"/>
  <c r="AU51" i="20" a="1"/>
  <c r="AU51" i="20" s="1"/>
  <c r="AV51" i="20"/>
  <c r="AW51" i="20"/>
  <c r="AX51" i="20"/>
  <c r="AY51" i="20"/>
  <c r="AZ51" i="20"/>
  <c r="BA51" i="20"/>
  <c r="AB52" i="20"/>
  <c r="AC52" i="20"/>
  <c r="AD52" i="20"/>
  <c r="AF52" i="20"/>
  <c r="AG52" i="20"/>
  <c r="AI52" i="20"/>
  <c r="AJ52" i="20"/>
  <c r="AK52" i="20"/>
  <c r="AL52" i="20"/>
  <c r="AM52" i="20"/>
  <c r="AN52" i="20"/>
  <c r="AO52" i="20"/>
  <c r="AQ52" i="20"/>
  <c r="AS52" i="20"/>
  <c r="AT52" i="20" a="1"/>
  <c r="AT52" i="20" s="1"/>
  <c r="AU52" i="20" a="1"/>
  <c r="AU52" i="20" s="1"/>
  <c r="AV52" i="20"/>
  <c r="AW52" i="20"/>
  <c r="AX52" i="20"/>
  <c r="AY52" i="20"/>
  <c r="AZ52" i="20"/>
  <c r="BA52" i="20"/>
  <c r="AB53" i="20"/>
  <c r="AC53" i="20"/>
  <c r="AD53" i="20"/>
  <c r="AF53" i="20"/>
  <c r="AG53" i="20"/>
  <c r="AI53" i="20"/>
  <c r="AJ53" i="20"/>
  <c r="AK53" i="20"/>
  <c r="AL53" i="20"/>
  <c r="AM53" i="20"/>
  <c r="AN53" i="20"/>
  <c r="AO53" i="20"/>
  <c r="AQ53" i="20"/>
  <c r="AS53" i="20"/>
  <c r="AT53" i="20" a="1"/>
  <c r="AT53" i="20" s="1"/>
  <c r="AU53" i="20" a="1"/>
  <c r="AU53" i="20" s="1"/>
  <c r="AV53" i="20"/>
  <c r="AW53" i="20"/>
  <c r="AX53" i="20"/>
  <c r="AY53" i="20"/>
  <c r="AZ53" i="20"/>
  <c r="BA53" i="20"/>
  <c r="AB54" i="20"/>
  <c r="AC54" i="20"/>
  <c r="AD54" i="20"/>
  <c r="AF54" i="20"/>
  <c r="AG54" i="20"/>
  <c r="AI54" i="20"/>
  <c r="AJ54" i="20"/>
  <c r="AK54" i="20"/>
  <c r="AL54" i="20"/>
  <c r="AM54" i="20"/>
  <c r="AN54" i="20"/>
  <c r="AO54" i="20"/>
  <c r="AQ54" i="20"/>
  <c r="AS54" i="20"/>
  <c r="AT54" i="20" a="1"/>
  <c r="AT54" i="20" s="1"/>
  <c r="AU54" i="20" a="1"/>
  <c r="AU54" i="20" s="1"/>
  <c r="AV54" i="20"/>
  <c r="AW54" i="20"/>
  <c r="AX54" i="20"/>
  <c r="AY54" i="20"/>
  <c r="AZ54" i="20"/>
  <c r="BA54" i="20"/>
  <c r="AB55" i="20"/>
  <c r="AC55" i="20"/>
  <c r="AD55" i="20"/>
  <c r="AF55" i="20"/>
  <c r="AG55" i="20"/>
  <c r="AI55" i="20"/>
  <c r="AJ55" i="20"/>
  <c r="AK55" i="20"/>
  <c r="AL55" i="20"/>
  <c r="AM55" i="20"/>
  <c r="AN55" i="20"/>
  <c r="AO55" i="20"/>
  <c r="AQ55" i="20"/>
  <c r="AS55" i="20"/>
  <c r="AT55" i="20" a="1"/>
  <c r="AT55" i="20" s="1"/>
  <c r="AU55" i="20" a="1"/>
  <c r="AU55" i="20" s="1"/>
  <c r="AV55" i="20"/>
  <c r="AW55" i="20"/>
  <c r="AX55" i="20"/>
  <c r="AY55" i="20"/>
  <c r="AZ55" i="20"/>
  <c r="BA55" i="20"/>
  <c r="AB56" i="20"/>
  <c r="AC56" i="20"/>
  <c r="AD56" i="20"/>
  <c r="AF56" i="20"/>
  <c r="AG56" i="20"/>
  <c r="AI56" i="20"/>
  <c r="AJ56" i="20"/>
  <c r="AK56" i="20"/>
  <c r="AL56" i="20"/>
  <c r="AM56" i="20"/>
  <c r="AN56" i="20"/>
  <c r="AO56" i="20"/>
  <c r="AQ56" i="20"/>
  <c r="AS56" i="20"/>
  <c r="AT56" i="20" a="1"/>
  <c r="AT56" i="20" s="1"/>
  <c r="AU56" i="20" a="1"/>
  <c r="AU56" i="20" s="1"/>
  <c r="AV56" i="20"/>
  <c r="AW56" i="20"/>
  <c r="AX56" i="20"/>
  <c r="AY56" i="20"/>
  <c r="AZ56" i="20"/>
  <c r="BA56" i="20"/>
  <c r="AB57" i="20"/>
  <c r="AC57" i="20"/>
  <c r="AD57" i="20"/>
  <c r="AF57" i="20"/>
  <c r="AG57" i="20"/>
  <c r="AI57" i="20"/>
  <c r="AJ57" i="20"/>
  <c r="AK57" i="20"/>
  <c r="AL57" i="20"/>
  <c r="AM57" i="20"/>
  <c r="AN57" i="20"/>
  <c r="AO57" i="20"/>
  <c r="AQ57" i="20"/>
  <c r="AS57" i="20"/>
  <c r="AT57" i="20" a="1"/>
  <c r="AT57" i="20" s="1"/>
  <c r="AU57" i="20" a="1"/>
  <c r="AU57" i="20" s="1"/>
  <c r="AV57" i="20"/>
  <c r="AW57" i="20"/>
  <c r="AX57" i="20"/>
  <c r="AY57" i="20"/>
  <c r="AZ57" i="20"/>
  <c r="BA57" i="20"/>
  <c r="AB58" i="20"/>
  <c r="AC58" i="20"/>
  <c r="AD58" i="20"/>
  <c r="AF58" i="20"/>
  <c r="AG58" i="20"/>
  <c r="AI58" i="20"/>
  <c r="AJ58" i="20"/>
  <c r="AK58" i="20"/>
  <c r="AL58" i="20"/>
  <c r="AM58" i="20"/>
  <c r="AN58" i="20"/>
  <c r="AO58" i="20"/>
  <c r="AQ58" i="20"/>
  <c r="AS58" i="20"/>
  <c r="AT58" i="20" a="1"/>
  <c r="AT58" i="20" s="1"/>
  <c r="AU58" i="20" a="1"/>
  <c r="AU58" i="20" s="1"/>
  <c r="AV58" i="20"/>
  <c r="AW58" i="20"/>
  <c r="AX58" i="20"/>
  <c r="AY58" i="20"/>
  <c r="AZ58" i="20"/>
  <c r="BA58" i="20"/>
  <c r="AB59" i="20"/>
  <c r="AC59" i="20"/>
  <c r="AD59" i="20"/>
  <c r="AF59" i="20"/>
  <c r="AG59" i="20"/>
  <c r="AI59" i="20"/>
  <c r="AJ59" i="20"/>
  <c r="AK59" i="20"/>
  <c r="AL59" i="20"/>
  <c r="AM59" i="20"/>
  <c r="AN59" i="20"/>
  <c r="AO59" i="20"/>
  <c r="AQ59" i="20"/>
  <c r="AS59" i="20"/>
  <c r="AT59" i="20" a="1"/>
  <c r="AT59" i="20" s="1"/>
  <c r="AU59" i="20" a="1"/>
  <c r="AU59" i="20" s="1"/>
  <c r="AV59" i="20"/>
  <c r="AW59" i="20"/>
  <c r="AX59" i="20"/>
  <c r="AY59" i="20"/>
  <c r="AZ59" i="20"/>
  <c r="BA59" i="20"/>
  <c r="AB60" i="20"/>
  <c r="AC60" i="20"/>
  <c r="AD60" i="20"/>
  <c r="AF60" i="20"/>
  <c r="AG60" i="20"/>
  <c r="AI60" i="20"/>
  <c r="AJ60" i="20"/>
  <c r="AK60" i="20"/>
  <c r="AL60" i="20"/>
  <c r="AM60" i="20"/>
  <c r="AN60" i="20"/>
  <c r="AO60" i="20"/>
  <c r="AQ60" i="20"/>
  <c r="AS60" i="20"/>
  <c r="AT60" i="20" a="1"/>
  <c r="AT60" i="20" s="1"/>
  <c r="AU60" i="20" a="1"/>
  <c r="AU60" i="20" s="1"/>
  <c r="AV60" i="20"/>
  <c r="AW60" i="20"/>
  <c r="AX60" i="20"/>
  <c r="AY60" i="20"/>
  <c r="AZ60" i="20"/>
  <c r="BA60" i="20"/>
  <c r="AB61" i="20"/>
  <c r="AC61" i="20"/>
  <c r="AD61" i="20"/>
  <c r="AF61" i="20"/>
  <c r="AG61" i="20"/>
  <c r="AI61" i="20"/>
  <c r="AJ61" i="20"/>
  <c r="AK61" i="20"/>
  <c r="AL61" i="20"/>
  <c r="AM61" i="20"/>
  <c r="AN61" i="20"/>
  <c r="AO61" i="20"/>
  <c r="AQ61" i="20"/>
  <c r="AS61" i="20"/>
  <c r="AT61" i="20" a="1"/>
  <c r="AT61" i="20" s="1"/>
  <c r="AU61" i="20" a="1"/>
  <c r="AU61" i="20" s="1"/>
  <c r="AV61" i="20"/>
  <c r="AW61" i="20"/>
  <c r="AX61" i="20"/>
  <c r="AY61" i="20"/>
  <c r="AZ61" i="20"/>
  <c r="BA61" i="20"/>
  <c r="AB62" i="20"/>
  <c r="AC62" i="20"/>
  <c r="AD62" i="20"/>
  <c r="AF62" i="20"/>
  <c r="AG62" i="20"/>
  <c r="AI62" i="20"/>
  <c r="AJ62" i="20"/>
  <c r="AK62" i="20"/>
  <c r="AL62" i="20"/>
  <c r="AM62" i="20"/>
  <c r="AN62" i="20"/>
  <c r="AO62" i="20"/>
  <c r="AQ62" i="20"/>
  <c r="AS62" i="20"/>
  <c r="AT62" i="20" a="1"/>
  <c r="AT62" i="20" s="1"/>
  <c r="AU62" i="20" a="1"/>
  <c r="AU62" i="20" s="1"/>
  <c r="AV62" i="20"/>
  <c r="AW62" i="20"/>
  <c r="AX62" i="20"/>
  <c r="AY62" i="20"/>
  <c r="AZ62" i="20"/>
  <c r="BA62" i="20"/>
  <c r="AB63" i="20"/>
  <c r="AC63" i="20"/>
  <c r="AD63" i="20"/>
  <c r="AF63" i="20"/>
  <c r="AG63" i="20"/>
  <c r="AI63" i="20"/>
  <c r="AJ63" i="20"/>
  <c r="AK63" i="20"/>
  <c r="AL63" i="20"/>
  <c r="AM63" i="20"/>
  <c r="AN63" i="20"/>
  <c r="AO63" i="20"/>
  <c r="AQ63" i="20"/>
  <c r="AS63" i="20"/>
  <c r="AT63" i="20" a="1"/>
  <c r="AT63" i="20" s="1"/>
  <c r="AU63" i="20" a="1"/>
  <c r="AU63" i="20" s="1"/>
  <c r="AV63" i="20"/>
  <c r="AW63" i="20"/>
  <c r="AX63" i="20"/>
  <c r="AY63" i="20"/>
  <c r="AZ63" i="20"/>
  <c r="BA63" i="20"/>
  <c r="AB64" i="20"/>
  <c r="AC64" i="20"/>
  <c r="AD64" i="20"/>
  <c r="AF64" i="20"/>
  <c r="AG64" i="20"/>
  <c r="AI64" i="20"/>
  <c r="AJ64" i="20"/>
  <c r="AK64" i="20"/>
  <c r="AL64" i="20"/>
  <c r="AM64" i="20"/>
  <c r="AN64" i="20"/>
  <c r="AO64" i="20"/>
  <c r="AQ64" i="20"/>
  <c r="AS64" i="20"/>
  <c r="AT64" i="20" a="1"/>
  <c r="AT64" i="20" s="1"/>
  <c r="AU64" i="20" a="1"/>
  <c r="AU64" i="20" s="1"/>
  <c r="AV64" i="20"/>
  <c r="AW64" i="20"/>
  <c r="AX64" i="20"/>
  <c r="AY64" i="20"/>
  <c r="AZ64" i="20"/>
  <c r="BA64" i="20"/>
  <c r="AB65" i="20"/>
  <c r="AC65" i="20"/>
  <c r="AD65" i="20"/>
  <c r="AF65" i="20"/>
  <c r="AG65" i="20"/>
  <c r="AI65" i="20"/>
  <c r="AJ65" i="20"/>
  <c r="AK65" i="20"/>
  <c r="AL65" i="20"/>
  <c r="AM65" i="20"/>
  <c r="AN65" i="20"/>
  <c r="AO65" i="20"/>
  <c r="AQ65" i="20"/>
  <c r="AS65" i="20"/>
  <c r="AT65" i="20" a="1"/>
  <c r="AT65" i="20" s="1"/>
  <c r="AU65" i="20" a="1"/>
  <c r="AU65" i="20" s="1"/>
  <c r="AV65" i="20"/>
  <c r="AW65" i="20"/>
  <c r="AX65" i="20"/>
  <c r="AY65" i="20"/>
  <c r="AZ65" i="20"/>
  <c r="BA65" i="20"/>
  <c r="AB66" i="20"/>
  <c r="AC66" i="20"/>
  <c r="AD66" i="20"/>
  <c r="AF66" i="20"/>
  <c r="AG66" i="20"/>
  <c r="AI66" i="20"/>
  <c r="AJ66" i="20"/>
  <c r="AK66" i="20"/>
  <c r="AL66" i="20"/>
  <c r="AM66" i="20"/>
  <c r="AN66" i="20"/>
  <c r="AO66" i="20"/>
  <c r="AQ66" i="20"/>
  <c r="AS66" i="20"/>
  <c r="AT66" i="20" a="1"/>
  <c r="AT66" i="20" s="1"/>
  <c r="AU66" i="20" a="1"/>
  <c r="AU66" i="20" s="1"/>
  <c r="AV66" i="20"/>
  <c r="AW66" i="20"/>
  <c r="AX66" i="20"/>
  <c r="AY66" i="20"/>
  <c r="AZ66" i="20"/>
  <c r="BA66" i="20"/>
  <c r="AB67" i="20"/>
  <c r="AC67" i="20"/>
  <c r="AD67" i="20"/>
  <c r="AF67" i="20"/>
  <c r="AG67" i="20"/>
  <c r="AI67" i="20"/>
  <c r="AJ67" i="20"/>
  <c r="AK67" i="20"/>
  <c r="AL67" i="20"/>
  <c r="AM67" i="20"/>
  <c r="AN67" i="20"/>
  <c r="AO67" i="20"/>
  <c r="AQ67" i="20"/>
  <c r="AS67" i="20"/>
  <c r="AT67" i="20" a="1"/>
  <c r="AT67" i="20" s="1"/>
  <c r="AU67" i="20" a="1"/>
  <c r="AU67" i="20" s="1"/>
  <c r="AV67" i="20"/>
  <c r="AW67" i="20"/>
  <c r="AX67" i="20"/>
  <c r="AY67" i="20"/>
  <c r="AZ67" i="20"/>
  <c r="BA67" i="20"/>
  <c r="AB68" i="20"/>
  <c r="AC68" i="20"/>
  <c r="AD68" i="20"/>
  <c r="AF68" i="20"/>
  <c r="AG68" i="20"/>
  <c r="AI68" i="20"/>
  <c r="AJ68" i="20"/>
  <c r="AK68" i="20"/>
  <c r="AL68" i="20"/>
  <c r="AM68" i="20"/>
  <c r="AN68" i="20"/>
  <c r="AO68" i="20"/>
  <c r="AQ68" i="20"/>
  <c r="AS68" i="20"/>
  <c r="AT68" i="20" a="1"/>
  <c r="AT68" i="20" s="1"/>
  <c r="AU68" i="20" a="1"/>
  <c r="AU68" i="20" s="1"/>
  <c r="AV68" i="20"/>
  <c r="AW68" i="20"/>
  <c r="AX68" i="20"/>
  <c r="AY68" i="20"/>
  <c r="AZ68" i="20"/>
  <c r="BA68" i="20"/>
  <c r="AB69" i="20"/>
  <c r="AC69" i="20"/>
  <c r="AD69" i="20"/>
  <c r="AF69" i="20"/>
  <c r="AG69" i="20"/>
  <c r="AI69" i="20"/>
  <c r="AJ69" i="20"/>
  <c r="AK69" i="20"/>
  <c r="AL69" i="20"/>
  <c r="AM69" i="20"/>
  <c r="AN69" i="20"/>
  <c r="AO69" i="20"/>
  <c r="AQ69" i="20"/>
  <c r="AS69" i="20"/>
  <c r="AT69" i="20" a="1"/>
  <c r="AT69" i="20" s="1"/>
  <c r="AU69" i="20" a="1"/>
  <c r="AU69" i="20" s="1"/>
  <c r="AV69" i="20"/>
  <c r="AW69" i="20"/>
  <c r="AX69" i="20"/>
  <c r="AY69" i="20"/>
  <c r="AZ69" i="20"/>
  <c r="BA69" i="20"/>
  <c r="AB70" i="20"/>
  <c r="AC70" i="20"/>
  <c r="AD70" i="20"/>
  <c r="AF70" i="20"/>
  <c r="AG70" i="20"/>
  <c r="AI70" i="20"/>
  <c r="AJ70" i="20"/>
  <c r="AK70" i="20"/>
  <c r="AL70" i="20"/>
  <c r="AM70" i="20"/>
  <c r="AN70" i="20"/>
  <c r="AO70" i="20"/>
  <c r="AQ70" i="20"/>
  <c r="AS70" i="20"/>
  <c r="AT70" i="20" a="1"/>
  <c r="AT70" i="20" s="1"/>
  <c r="AU70" i="20" a="1"/>
  <c r="AU70" i="20" s="1"/>
  <c r="AV70" i="20"/>
  <c r="AW70" i="20"/>
  <c r="AX70" i="20"/>
  <c r="AY70" i="20"/>
  <c r="AZ70" i="20"/>
  <c r="BA70" i="20"/>
  <c r="AB71" i="20"/>
  <c r="AC71" i="20"/>
  <c r="AD71" i="20"/>
  <c r="AF71" i="20"/>
  <c r="AG71" i="20"/>
  <c r="AI71" i="20"/>
  <c r="AJ71" i="20"/>
  <c r="AK71" i="20"/>
  <c r="AL71" i="20"/>
  <c r="AM71" i="20"/>
  <c r="AN71" i="20"/>
  <c r="AO71" i="20"/>
  <c r="AQ71" i="20"/>
  <c r="AS71" i="20"/>
  <c r="AT71" i="20" a="1"/>
  <c r="AT71" i="20" s="1"/>
  <c r="AU71" i="20" a="1"/>
  <c r="AU71" i="20" s="1"/>
  <c r="AV71" i="20"/>
  <c r="AW71" i="20"/>
  <c r="AX71" i="20"/>
  <c r="AY71" i="20"/>
  <c r="AZ71" i="20"/>
  <c r="BA71" i="20"/>
  <c r="AB72" i="20"/>
  <c r="AC72" i="20"/>
  <c r="AD72" i="20"/>
  <c r="AF72" i="20"/>
  <c r="AG72" i="20"/>
  <c r="AI72" i="20"/>
  <c r="AJ72" i="20"/>
  <c r="AK72" i="20"/>
  <c r="AL72" i="20"/>
  <c r="AM72" i="20"/>
  <c r="AN72" i="20"/>
  <c r="AO72" i="20"/>
  <c r="AQ72" i="20"/>
  <c r="AS72" i="20"/>
  <c r="AT72" i="20" a="1"/>
  <c r="AT72" i="20" s="1"/>
  <c r="AU72" i="20" a="1"/>
  <c r="AU72" i="20" s="1"/>
  <c r="AV72" i="20"/>
  <c r="AW72" i="20"/>
  <c r="AX72" i="20"/>
  <c r="AY72" i="20"/>
  <c r="AZ72" i="20"/>
  <c r="BA72" i="20"/>
  <c r="AB73" i="20"/>
  <c r="AC73" i="20"/>
  <c r="AD73" i="20"/>
  <c r="AF73" i="20"/>
  <c r="AG73" i="20"/>
  <c r="AI73" i="20"/>
  <c r="AJ73" i="20"/>
  <c r="AK73" i="20"/>
  <c r="AL73" i="20"/>
  <c r="AM73" i="20"/>
  <c r="AN73" i="20"/>
  <c r="AO73" i="20"/>
  <c r="AQ73" i="20"/>
  <c r="AS73" i="20"/>
  <c r="AT73" i="20" a="1"/>
  <c r="AT73" i="20" s="1"/>
  <c r="AU73" i="20" a="1"/>
  <c r="AU73" i="20" s="1"/>
  <c r="AV73" i="20"/>
  <c r="AW73" i="20"/>
  <c r="AX73" i="20"/>
  <c r="AY73" i="20"/>
  <c r="AZ73" i="20"/>
  <c r="BA73" i="20"/>
  <c r="AB74" i="20"/>
  <c r="AC74" i="20"/>
  <c r="AD74" i="20"/>
  <c r="AF74" i="20"/>
  <c r="AG74" i="20"/>
  <c r="AI74" i="20"/>
  <c r="AJ74" i="20"/>
  <c r="AK74" i="20"/>
  <c r="AL74" i="20"/>
  <c r="AM74" i="20"/>
  <c r="AN74" i="20"/>
  <c r="AO74" i="20"/>
  <c r="AQ74" i="20"/>
  <c r="AS74" i="20"/>
  <c r="AT74" i="20" a="1"/>
  <c r="AT74" i="20" s="1"/>
  <c r="AU74" i="20" a="1"/>
  <c r="AU74" i="20" s="1"/>
  <c r="AV74" i="20"/>
  <c r="AW74" i="20"/>
  <c r="AX74" i="20"/>
  <c r="AY74" i="20"/>
  <c r="AZ74" i="20"/>
  <c r="BA74" i="20"/>
  <c r="AB75" i="20"/>
  <c r="AC75" i="20"/>
  <c r="AD75" i="20"/>
  <c r="AF75" i="20"/>
  <c r="AG75" i="20"/>
  <c r="AI75" i="20"/>
  <c r="AJ75" i="20"/>
  <c r="AK75" i="20"/>
  <c r="AL75" i="20"/>
  <c r="AM75" i="20"/>
  <c r="AN75" i="20"/>
  <c r="AO75" i="20"/>
  <c r="AQ75" i="20"/>
  <c r="AS75" i="20"/>
  <c r="AT75" i="20" a="1"/>
  <c r="AT75" i="20" s="1"/>
  <c r="AU75" i="20" a="1"/>
  <c r="AU75" i="20" s="1"/>
  <c r="AV75" i="20"/>
  <c r="AW75" i="20"/>
  <c r="AX75" i="20"/>
  <c r="AY75" i="20"/>
  <c r="AZ75" i="20"/>
  <c r="BA75" i="20"/>
  <c r="AB76" i="20"/>
  <c r="AC76" i="20"/>
  <c r="AD76" i="20"/>
  <c r="AF76" i="20"/>
  <c r="AG76" i="20"/>
  <c r="AI76" i="20"/>
  <c r="AJ76" i="20"/>
  <c r="AK76" i="20"/>
  <c r="AL76" i="20"/>
  <c r="AM76" i="20"/>
  <c r="AN76" i="20"/>
  <c r="AO76" i="20"/>
  <c r="AQ76" i="20"/>
  <c r="AS76" i="20"/>
  <c r="AT76" i="20" a="1"/>
  <c r="AT76" i="20" s="1"/>
  <c r="AU76" i="20" a="1"/>
  <c r="AU76" i="20" s="1"/>
  <c r="AV76" i="20"/>
  <c r="AW76" i="20"/>
  <c r="AX76" i="20"/>
  <c r="AY76" i="20"/>
  <c r="AZ76" i="20"/>
  <c r="BA76" i="20"/>
  <c r="AB77" i="20"/>
  <c r="AC77" i="20"/>
  <c r="AD77" i="20"/>
  <c r="AF77" i="20"/>
  <c r="AG77" i="20"/>
  <c r="AI77" i="20"/>
  <c r="AJ77" i="20"/>
  <c r="AK77" i="20"/>
  <c r="AL77" i="20"/>
  <c r="AM77" i="20"/>
  <c r="AN77" i="20"/>
  <c r="AO77" i="20"/>
  <c r="AQ77" i="20"/>
  <c r="AS77" i="20"/>
  <c r="AT77" i="20" a="1"/>
  <c r="AT77" i="20" s="1"/>
  <c r="AU77" i="20" a="1"/>
  <c r="AU77" i="20" s="1"/>
  <c r="AV77" i="20"/>
  <c r="AW77" i="20"/>
  <c r="AX77" i="20"/>
  <c r="AY77" i="20"/>
  <c r="AZ77" i="20"/>
  <c r="BA77" i="20"/>
  <c r="AB78" i="20"/>
  <c r="AC78" i="20"/>
  <c r="AD78" i="20"/>
  <c r="AF78" i="20"/>
  <c r="AG78" i="20"/>
  <c r="AI78" i="20"/>
  <c r="AJ78" i="20"/>
  <c r="AK78" i="20"/>
  <c r="AL78" i="20"/>
  <c r="AM78" i="20"/>
  <c r="AN78" i="20"/>
  <c r="AO78" i="20"/>
  <c r="AQ78" i="20"/>
  <c r="AS78" i="20"/>
  <c r="AT78" i="20" a="1"/>
  <c r="AT78" i="20" s="1"/>
  <c r="AU78" i="20" a="1"/>
  <c r="AU78" i="20" s="1"/>
  <c r="AV78" i="20"/>
  <c r="AW78" i="20"/>
  <c r="AX78" i="20"/>
  <c r="AY78" i="20"/>
  <c r="AZ78" i="20"/>
  <c r="BA78" i="20"/>
  <c r="AB79" i="20"/>
  <c r="AC79" i="20"/>
  <c r="AD79" i="20"/>
  <c r="AF79" i="20"/>
  <c r="AG79" i="20"/>
  <c r="AI79" i="20"/>
  <c r="AJ79" i="20"/>
  <c r="AK79" i="20"/>
  <c r="AL79" i="20"/>
  <c r="AM79" i="20"/>
  <c r="AN79" i="20"/>
  <c r="AO79" i="20"/>
  <c r="AQ79" i="20"/>
  <c r="AS79" i="20"/>
  <c r="AT79" i="20" a="1"/>
  <c r="AT79" i="20" s="1"/>
  <c r="AU79" i="20" a="1"/>
  <c r="AU79" i="20" s="1"/>
  <c r="AV79" i="20"/>
  <c r="AW79" i="20"/>
  <c r="AX79" i="20"/>
  <c r="AY79" i="20"/>
  <c r="AZ79" i="20"/>
  <c r="BA79" i="20"/>
  <c r="AB80" i="20"/>
  <c r="AC80" i="20"/>
  <c r="AD80" i="20"/>
  <c r="AF80" i="20"/>
  <c r="AG80" i="20"/>
  <c r="AI80" i="20"/>
  <c r="AJ80" i="20"/>
  <c r="AK80" i="20"/>
  <c r="AL80" i="20"/>
  <c r="AM80" i="20"/>
  <c r="AN80" i="20"/>
  <c r="AO80" i="20"/>
  <c r="AQ80" i="20"/>
  <c r="AS80" i="20"/>
  <c r="AT80" i="20" a="1"/>
  <c r="AT80" i="20" s="1"/>
  <c r="AU80" i="20" a="1"/>
  <c r="AU80" i="20" s="1"/>
  <c r="AV80" i="20"/>
  <c r="AW80" i="20"/>
  <c r="AX80" i="20"/>
  <c r="AY80" i="20"/>
  <c r="AZ80" i="20"/>
  <c r="BA80" i="20"/>
  <c r="AB81" i="20"/>
  <c r="AC81" i="20"/>
  <c r="AD81" i="20"/>
  <c r="AF81" i="20"/>
  <c r="AG81" i="20"/>
  <c r="AI81" i="20"/>
  <c r="AJ81" i="20"/>
  <c r="AK81" i="20"/>
  <c r="AL81" i="20"/>
  <c r="AM81" i="20"/>
  <c r="AN81" i="20"/>
  <c r="AO81" i="20"/>
  <c r="AQ81" i="20"/>
  <c r="AS81" i="20"/>
  <c r="AT81" i="20" a="1"/>
  <c r="AT81" i="20" s="1"/>
  <c r="AU81" i="20" a="1"/>
  <c r="AU81" i="20" s="1"/>
  <c r="AV81" i="20"/>
  <c r="AW81" i="20"/>
  <c r="AX81" i="20"/>
  <c r="AY81" i="20"/>
  <c r="AZ81" i="20"/>
  <c r="BA81" i="20"/>
  <c r="AB82" i="20"/>
  <c r="AC82" i="20"/>
  <c r="AD82" i="20"/>
  <c r="AF82" i="20"/>
  <c r="AG82" i="20"/>
  <c r="AI82" i="20"/>
  <c r="AJ82" i="20"/>
  <c r="AK82" i="20"/>
  <c r="AL82" i="20"/>
  <c r="AM82" i="20"/>
  <c r="AN82" i="20"/>
  <c r="AO82" i="20"/>
  <c r="AQ82" i="20"/>
  <c r="AS82" i="20"/>
  <c r="AT82" i="20" a="1"/>
  <c r="AT82" i="20" s="1"/>
  <c r="AU82" i="20" a="1"/>
  <c r="AU82" i="20" s="1"/>
  <c r="AV82" i="20"/>
  <c r="AW82" i="20"/>
  <c r="AX82" i="20"/>
  <c r="AY82" i="20"/>
  <c r="AZ82" i="20"/>
  <c r="BA82" i="20"/>
  <c r="AB83" i="20"/>
  <c r="AC83" i="20"/>
  <c r="AD83" i="20"/>
  <c r="AF83" i="20"/>
  <c r="AG83" i="20"/>
  <c r="AI83" i="20"/>
  <c r="AJ83" i="20"/>
  <c r="AK83" i="20"/>
  <c r="AL83" i="20"/>
  <c r="AM83" i="20"/>
  <c r="AN83" i="20"/>
  <c r="AO83" i="20"/>
  <c r="AQ83" i="20"/>
  <c r="AS83" i="20"/>
  <c r="AT83" i="20" a="1"/>
  <c r="AT83" i="20" s="1"/>
  <c r="AU83" i="20" a="1"/>
  <c r="AU83" i="20" s="1"/>
  <c r="AV83" i="20"/>
  <c r="AW83" i="20"/>
  <c r="AX83" i="20"/>
  <c r="AY83" i="20"/>
  <c r="AZ83" i="20"/>
  <c r="BA83" i="20"/>
  <c r="AB84" i="20"/>
  <c r="AC84" i="20"/>
  <c r="AD84" i="20"/>
  <c r="AF84" i="20"/>
  <c r="AG84" i="20"/>
  <c r="AI84" i="20"/>
  <c r="AJ84" i="20"/>
  <c r="AK84" i="20"/>
  <c r="AL84" i="20"/>
  <c r="AM84" i="20"/>
  <c r="AN84" i="20"/>
  <c r="AO84" i="20"/>
  <c r="AQ84" i="20"/>
  <c r="AS84" i="20"/>
  <c r="AT84" i="20" a="1"/>
  <c r="AT84" i="20" s="1"/>
  <c r="AU84" i="20" a="1"/>
  <c r="AU84" i="20" s="1"/>
  <c r="AV84" i="20"/>
  <c r="AW84" i="20"/>
  <c r="AX84" i="20"/>
  <c r="AY84" i="20"/>
  <c r="AZ84" i="20"/>
  <c r="BA84" i="20"/>
  <c r="AB85" i="20"/>
  <c r="AC85" i="20"/>
  <c r="AD85" i="20"/>
  <c r="AF85" i="20"/>
  <c r="AG85" i="20"/>
  <c r="AI85" i="20"/>
  <c r="AJ85" i="20"/>
  <c r="AK85" i="20"/>
  <c r="AL85" i="20"/>
  <c r="AM85" i="20"/>
  <c r="AN85" i="20"/>
  <c r="AO85" i="20"/>
  <c r="AQ85" i="20"/>
  <c r="AS85" i="20"/>
  <c r="AT85" i="20" a="1"/>
  <c r="AT85" i="20" s="1"/>
  <c r="AU85" i="20" a="1"/>
  <c r="AU85" i="20" s="1"/>
  <c r="AV85" i="20"/>
  <c r="AW85" i="20"/>
  <c r="AX85" i="20"/>
  <c r="AY85" i="20"/>
  <c r="AZ85" i="20"/>
  <c r="BA85" i="20"/>
  <c r="AB86" i="20"/>
  <c r="AC86" i="20"/>
  <c r="AD86" i="20"/>
  <c r="AF86" i="20"/>
  <c r="AG86" i="20"/>
  <c r="AI86" i="20"/>
  <c r="AJ86" i="20"/>
  <c r="AK86" i="20"/>
  <c r="AL86" i="20"/>
  <c r="AM86" i="20"/>
  <c r="AN86" i="20"/>
  <c r="AO86" i="20"/>
  <c r="AQ86" i="20"/>
  <c r="AS86" i="20"/>
  <c r="AT86" i="20" a="1"/>
  <c r="AT86" i="20" s="1"/>
  <c r="AU86" i="20" a="1"/>
  <c r="AU86" i="20" s="1"/>
  <c r="AV86" i="20"/>
  <c r="AW86" i="20"/>
  <c r="AX86" i="20"/>
  <c r="AY86" i="20"/>
  <c r="AZ86" i="20"/>
  <c r="BA86" i="20"/>
  <c r="AB87" i="20"/>
  <c r="AC87" i="20"/>
  <c r="AD87" i="20"/>
  <c r="AF87" i="20"/>
  <c r="AG87" i="20"/>
  <c r="AI87" i="20"/>
  <c r="AJ87" i="20"/>
  <c r="AK87" i="20"/>
  <c r="AL87" i="20"/>
  <c r="AM87" i="20"/>
  <c r="AN87" i="20"/>
  <c r="AO87" i="20"/>
  <c r="AQ87" i="20"/>
  <c r="AS87" i="20"/>
  <c r="AT87" i="20" a="1"/>
  <c r="AT87" i="20" s="1"/>
  <c r="AU87" i="20" a="1"/>
  <c r="AU87" i="20" s="1"/>
  <c r="AV87" i="20"/>
  <c r="AW87" i="20"/>
  <c r="AX87" i="20"/>
  <c r="AY87" i="20"/>
  <c r="AZ87" i="20"/>
  <c r="BA87" i="20"/>
  <c r="AB88" i="20"/>
  <c r="AC88" i="20"/>
  <c r="AD88" i="20"/>
  <c r="AF88" i="20"/>
  <c r="AG88" i="20"/>
  <c r="AI88" i="20"/>
  <c r="AJ88" i="20"/>
  <c r="AK88" i="20"/>
  <c r="AL88" i="20"/>
  <c r="AM88" i="20"/>
  <c r="AN88" i="20"/>
  <c r="AO88" i="20"/>
  <c r="AQ88" i="20"/>
  <c r="AS88" i="20"/>
  <c r="AT88" i="20" a="1"/>
  <c r="AT88" i="20" s="1"/>
  <c r="AU88" i="20" a="1"/>
  <c r="AU88" i="20" s="1"/>
  <c r="AV88" i="20"/>
  <c r="AW88" i="20"/>
  <c r="AX88" i="20"/>
  <c r="AY88" i="20"/>
  <c r="AZ88" i="20"/>
  <c r="BA88" i="20"/>
  <c r="AB89" i="20"/>
  <c r="AC89" i="20"/>
  <c r="AD89" i="20"/>
  <c r="AF89" i="20"/>
  <c r="AG89" i="20"/>
  <c r="AI89" i="20"/>
  <c r="AJ89" i="20"/>
  <c r="AK89" i="20"/>
  <c r="AL89" i="20"/>
  <c r="AM89" i="20"/>
  <c r="AN89" i="20"/>
  <c r="AO89" i="20"/>
  <c r="AQ89" i="20"/>
  <c r="AS89" i="20"/>
  <c r="AT89" i="20" a="1"/>
  <c r="AT89" i="20" s="1"/>
  <c r="AU89" i="20" a="1"/>
  <c r="AU89" i="20" s="1"/>
  <c r="AV89" i="20"/>
  <c r="AW89" i="20"/>
  <c r="AX89" i="20"/>
  <c r="AY89" i="20"/>
  <c r="AZ89" i="20"/>
  <c r="BA89" i="20"/>
  <c r="AB90" i="20"/>
  <c r="AC90" i="20"/>
  <c r="AD90" i="20"/>
  <c r="AF90" i="20"/>
  <c r="AG90" i="20"/>
  <c r="AI90" i="20"/>
  <c r="AJ90" i="20"/>
  <c r="AK90" i="20"/>
  <c r="AL90" i="20"/>
  <c r="AM90" i="20"/>
  <c r="AN90" i="20"/>
  <c r="AO90" i="20"/>
  <c r="AQ90" i="20"/>
  <c r="AS90" i="20"/>
  <c r="AT90" i="20" a="1"/>
  <c r="AT90" i="20" s="1"/>
  <c r="AU90" i="20" a="1"/>
  <c r="AU90" i="20" s="1"/>
  <c r="AV90" i="20"/>
  <c r="AW90" i="20"/>
  <c r="AX90" i="20"/>
  <c r="AY90" i="20"/>
  <c r="AZ90" i="20"/>
  <c r="BA90" i="20"/>
  <c r="AB91" i="20"/>
  <c r="AC91" i="20"/>
  <c r="AD91" i="20"/>
  <c r="AF91" i="20"/>
  <c r="AG91" i="20"/>
  <c r="AI91" i="20"/>
  <c r="AJ91" i="20"/>
  <c r="AK91" i="20"/>
  <c r="AL91" i="20"/>
  <c r="AM91" i="20"/>
  <c r="AN91" i="20"/>
  <c r="AO91" i="20"/>
  <c r="AQ91" i="20"/>
  <c r="AS91" i="20"/>
  <c r="AT91" i="20" a="1"/>
  <c r="AT91" i="20" s="1"/>
  <c r="AU91" i="20" a="1"/>
  <c r="AU91" i="20" s="1"/>
  <c r="AV91" i="20"/>
  <c r="AW91" i="20"/>
  <c r="AX91" i="20"/>
  <c r="AY91" i="20"/>
  <c r="AZ91" i="20"/>
  <c r="BA91" i="20"/>
  <c r="AB92" i="20"/>
  <c r="AC92" i="20"/>
  <c r="AD92" i="20"/>
  <c r="AF92" i="20"/>
  <c r="AG92" i="20"/>
  <c r="AI92" i="20"/>
  <c r="AJ92" i="20"/>
  <c r="AK92" i="20"/>
  <c r="AL92" i="20"/>
  <c r="AM92" i="20"/>
  <c r="AN92" i="20"/>
  <c r="AO92" i="20"/>
  <c r="AQ92" i="20"/>
  <c r="AS92" i="20"/>
  <c r="AT92" i="20" a="1"/>
  <c r="AT92" i="20" s="1"/>
  <c r="AU92" i="20" a="1"/>
  <c r="AU92" i="20" s="1"/>
  <c r="AV92" i="20"/>
  <c r="AW92" i="20"/>
  <c r="AX92" i="20"/>
  <c r="AY92" i="20"/>
  <c r="AZ92" i="20"/>
  <c r="BA92" i="20"/>
  <c r="AB93" i="20"/>
  <c r="AC93" i="20"/>
  <c r="AD93" i="20"/>
  <c r="AF93" i="20"/>
  <c r="AG93" i="20"/>
  <c r="AI93" i="20"/>
  <c r="AJ93" i="20"/>
  <c r="AK93" i="20"/>
  <c r="AL93" i="20"/>
  <c r="AM93" i="20"/>
  <c r="AN93" i="20"/>
  <c r="AO93" i="20"/>
  <c r="AQ93" i="20"/>
  <c r="AS93" i="20"/>
  <c r="AT93" i="20" a="1"/>
  <c r="AT93" i="20" s="1"/>
  <c r="AU93" i="20" a="1"/>
  <c r="AU93" i="20" s="1"/>
  <c r="AV93" i="20"/>
  <c r="AW93" i="20"/>
  <c r="AX93" i="20"/>
  <c r="AY93" i="20"/>
  <c r="AZ93" i="20"/>
  <c r="BA93" i="20"/>
  <c r="AB94" i="20"/>
  <c r="AC94" i="20"/>
  <c r="AD94" i="20"/>
  <c r="AF94" i="20"/>
  <c r="AG94" i="20"/>
  <c r="AI94" i="20"/>
  <c r="AJ94" i="20"/>
  <c r="AK94" i="20"/>
  <c r="AL94" i="20"/>
  <c r="AM94" i="20"/>
  <c r="AN94" i="20"/>
  <c r="AO94" i="20"/>
  <c r="AQ94" i="20"/>
  <c r="AS94" i="20"/>
  <c r="AT94" i="20" a="1"/>
  <c r="AT94" i="20" s="1"/>
  <c r="AU94" i="20" a="1"/>
  <c r="AU94" i="20" s="1"/>
  <c r="AV94" i="20"/>
  <c r="AW94" i="20"/>
  <c r="AX94" i="20"/>
  <c r="AY94" i="20"/>
  <c r="AZ94" i="20"/>
  <c r="BA94" i="20"/>
  <c r="AB95" i="20"/>
  <c r="AC95" i="20"/>
  <c r="AD95" i="20"/>
  <c r="AF95" i="20"/>
  <c r="AG95" i="20"/>
  <c r="AI95" i="20"/>
  <c r="AJ95" i="20"/>
  <c r="AK95" i="20"/>
  <c r="AL95" i="20"/>
  <c r="AM95" i="20"/>
  <c r="AN95" i="20"/>
  <c r="AO95" i="20"/>
  <c r="AQ95" i="20"/>
  <c r="AS95" i="20"/>
  <c r="AT95" i="20" a="1"/>
  <c r="AT95" i="20" s="1"/>
  <c r="AU95" i="20" a="1"/>
  <c r="AU95" i="20" s="1"/>
  <c r="AV95" i="20"/>
  <c r="AW95" i="20"/>
  <c r="AX95" i="20"/>
  <c r="AY95" i="20"/>
  <c r="AZ95" i="20"/>
  <c r="BA95" i="20"/>
  <c r="AB96" i="20"/>
  <c r="AC96" i="20"/>
  <c r="AD96" i="20"/>
  <c r="AF96" i="20"/>
  <c r="AG96" i="20"/>
  <c r="AI96" i="20"/>
  <c r="AJ96" i="20"/>
  <c r="AK96" i="20"/>
  <c r="AL96" i="20"/>
  <c r="AM96" i="20"/>
  <c r="AN96" i="20"/>
  <c r="AO96" i="20"/>
  <c r="AQ96" i="20"/>
  <c r="AS96" i="20"/>
  <c r="AT96" i="20" a="1"/>
  <c r="AT96" i="20" s="1"/>
  <c r="AU96" i="20" a="1"/>
  <c r="AU96" i="20" s="1"/>
  <c r="AV96" i="20"/>
  <c r="AW96" i="20"/>
  <c r="AX96" i="20"/>
  <c r="AY96" i="20"/>
  <c r="AZ96" i="20"/>
  <c r="BA96" i="20"/>
  <c r="AB97" i="20"/>
  <c r="AC97" i="20"/>
  <c r="AD97" i="20"/>
  <c r="AF97" i="20"/>
  <c r="AG97" i="20"/>
  <c r="AI97" i="20"/>
  <c r="AJ97" i="20"/>
  <c r="AK97" i="20"/>
  <c r="AL97" i="20"/>
  <c r="AM97" i="20"/>
  <c r="AN97" i="20"/>
  <c r="AO97" i="20"/>
  <c r="AQ97" i="20"/>
  <c r="AS97" i="20"/>
  <c r="AT97" i="20" a="1"/>
  <c r="AT97" i="20" s="1"/>
  <c r="AU97" i="20" a="1"/>
  <c r="AU97" i="20" s="1"/>
  <c r="AV97" i="20"/>
  <c r="AW97" i="20"/>
  <c r="AX97" i="20"/>
  <c r="AY97" i="20"/>
  <c r="AZ97" i="20"/>
  <c r="BA97" i="20"/>
  <c r="AB98" i="20"/>
  <c r="AC98" i="20"/>
  <c r="AD98" i="20"/>
  <c r="AF98" i="20"/>
  <c r="AG98" i="20"/>
  <c r="AI98" i="20"/>
  <c r="AJ98" i="20"/>
  <c r="AK98" i="20"/>
  <c r="AL98" i="20"/>
  <c r="AM98" i="20"/>
  <c r="AN98" i="20"/>
  <c r="AO98" i="20"/>
  <c r="AQ98" i="20"/>
  <c r="AS98" i="20"/>
  <c r="AT98" i="20" a="1"/>
  <c r="AT98" i="20" s="1"/>
  <c r="AU98" i="20" a="1"/>
  <c r="AU98" i="20" s="1"/>
  <c r="AV98" i="20"/>
  <c r="AW98" i="20"/>
  <c r="AX98" i="20"/>
  <c r="AY98" i="20"/>
  <c r="AZ98" i="20"/>
  <c r="BA98" i="20"/>
  <c r="AB99" i="20"/>
  <c r="AC99" i="20"/>
  <c r="AD99" i="20"/>
  <c r="AF99" i="20"/>
  <c r="AG99" i="20"/>
  <c r="AI99" i="20"/>
  <c r="AJ99" i="20"/>
  <c r="AK99" i="20"/>
  <c r="AL99" i="20"/>
  <c r="AM99" i="20"/>
  <c r="AN99" i="20"/>
  <c r="AO99" i="20"/>
  <c r="AQ99" i="20"/>
  <c r="AS99" i="20"/>
  <c r="AT99" i="20" a="1"/>
  <c r="AT99" i="20" s="1"/>
  <c r="AU99" i="20" a="1"/>
  <c r="AU99" i="20" s="1"/>
  <c r="AV99" i="20"/>
  <c r="AW99" i="20"/>
  <c r="AX99" i="20"/>
  <c r="AY99" i="20"/>
  <c r="AZ99" i="20"/>
  <c r="BA99" i="20"/>
  <c r="AB100" i="20"/>
  <c r="AC100" i="20"/>
  <c r="AD100" i="20"/>
  <c r="AF100" i="20"/>
  <c r="AG100" i="20"/>
  <c r="AI100" i="20"/>
  <c r="AJ100" i="20"/>
  <c r="AK100" i="20"/>
  <c r="AL100" i="20"/>
  <c r="AM100" i="20"/>
  <c r="AN100" i="20"/>
  <c r="AO100" i="20"/>
  <c r="AQ100" i="20"/>
  <c r="AS100" i="20"/>
  <c r="AT100" i="20" a="1"/>
  <c r="AT100" i="20" s="1"/>
  <c r="AU100" i="20" a="1"/>
  <c r="AU100" i="20" s="1"/>
  <c r="AV100" i="20"/>
  <c r="AW100" i="20"/>
  <c r="AX100" i="20"/>
  <c r="AY100" i="20"/>
  <c r="AZ100" i="20"/>
  <c r="BA100" i="20"/>
  <c r="AB101" i="20"/>
  <c r="AC101" i="20"/>
  <c r="AD101" i="20"/>
  <c r="AF101" i="20"/>
  <c r="AG101" i="20"/>
  <c r="AI101" i="20"/>
  <c r="AJ101" i="20"/>
  <c r="AK101" i="20"/>
  <c r="AL101" i="20"/>
  <c r="AM101" i="20"/>
  <c r="AN101" i="20"/>
  <c r="AO101" i="20"/>
  <c r="AQ101" i="20"/>
  <c r="AS101" i="20"/>
  <c r="AT101" i="20" a="1"/>
  <c r="AT101" i="20" s="1"/>
  <c r="AU101" i="20" a="1"/>
  <c r="AU101" i="20" s="1"/>
  <c r="AV101" i="20"/>
  <c r="AW101" i="20"/>
  <c r="AX101" i="20"/>
  <c r="AY101" i="20"/>
  <c r="AZ101" i="20"/>
  <c r="BA101" i="20"/>
  <c r="AB102" i="20"/>
  <c r="AC102" i="20"/>
  <c r="AD102" i="20"/>
  <c r="AF102" i="20"/>
  <c r="AG102" i="20"/>
  <c r="AI102" i="20"/>
  <c r="AJ102" i="20"/>
  <c r="AK102" i="20"/>
  <c r="AL102" i="20"/>
  <c r="AM102" i="20"/>
  <c r="AN102" i="20"/>
  <c r="AO102" i="20"/>
  <c r="AQ102" i="20"/>
  <c r="AS102" i="20"/>
  <c r="AT102" i="20" a="1"/>
  <c r="AT102" i="20" s="1"/>
  <c r="AU102" i="20" a="1"/>
  <c r="AU102" i="20" s="1"/>
  <c r="AV102" i="20"/>
  <c r="AW102" i="20"/>
  <c r="AX102" i="20"/>
  <c r="AY102" i="20"/>
  <c r="AZ102" i="20"/>
  <c r="BA102" i="20"/>
  <c r="AB103" i="20"/>
  <c r="AC103" i="20"/>
  <c r="AD103" i="20"/>
  <c r="AF103" i="20"/>
  <c r="AG103" i="20"/>
  <c r="AI103" i="20"/>
  <c r="AJ103" i="20"/>
  <c r="AK103" i="20"/>
  <c r="AL103" i="20"/>
  <c r="AM103" i="20"/>
  <c r="AN103" i="20"/>
  <c r="AO103" i="20"/>
  <c r="AQ103" i="20"/>
  <c r="AS103" i="20"/>
  <c r="AT103" i="20" a="1"/>
  <c r="AT103" i="20" s="1"/>
  <c r="AU103" i="20" a="1"/>
  <c r="AU103" i="20" s="1"/>
  <c r="AV103" i="20"/>
  <c r="AW103" i="20"/>
  <c r="AX103" i="20"/>
  <c r="AY103" i="20"/>
  <c r="AZ103" i="20"/>
  <c r="BA103" i="20"/>
  <c r="AB104" i="20"/>
  <c r="AC104" i="20"/>
  <c r="AD104" i="20"/>
  <c r="AF104" i="20"/>
  <c r="AG104" i="20"/>
  <c r="AI104" i="20"/>
  <c r="AJ104" i="20"/>
  <c r="AK104" i="20"/>
  <c r="AL104" i="20"/>
  <c r="AM104" i="20"/>
  <c r="AN104" i="20"/>
  <c r="AO104" i="20"/>
  <c r="AQ104" i="20"/>
  <c r="AS104" i="20"/>
  <c r="AT104" i="20" a="1"/>
  <c r="AT104" i="20" s="1"/>
  <c r="AU104" i="20" a="1"/>
  <c r="AU104" i="20" s="1"/>
  <c r="AV104" i="20"/>
  <c r="AW104" i="20"/>
  <c r="AX104" i="20"/>
  <c r="AY104" i="20"/>
  <c r="AZ104" i="20"/>
  <c r="BA104" i="20"/>
  <c r="AB105" i="20"/>
  <c r="AC105" i="20"/>
  <c r="AD105" i="20"/>
  <c r="AF105" i="20"/>
  <c r="AG105" i="20"/>
  <c r="AI105" i="20"/>
  <c r="AJ105" i="20"/>
  <c r="AK105" i="20"/>
  <c r="AL105" i="20"/>
  <c r="AM105" i="20"/>
  <c r="AN105" i="20"/>
  <c r="AO105" i="20"/>
  <c r="AQ105" i="20"/>
  <c r="AS105" i="20"/>
  <c r="AT105" i="20" a="1"/>
  <c r="AT105" i="20" s="1"/>
  <c r="AU105" i="20" a="1"/>
  <c r="AU105" i="20" s="1"/>
  <c r="AV105" i="20"/>
  <c r="AW105" i="20"/>
  <c r="AX105" i="20"/>
  <c r="AY105" i="20"/>
  <c r="AZ105" i="20"/>
  <c r="BA105" i="20"/>
  <c r="AB106" i="20"/>
  <c r="AC106" i="20"/>
  <c r="AD106" i="20"/>
  <c r="AF106" i="20"/>
  <c r="AG106" i="20"/>
  <c r="AI106" i="20"/>
  <c r="AJ106" i="20"/>
  <c r="AK106" i="20"/>
  <c r="AL106" i="20"/>
  <c r="AM106" i="20"/>
  <c r="AN106" i="20"/>
  <c r="AO106" i="20"/>
  <c r="AQ106" i="20"/>
  <c r="AS106" i="20"/>
  <c r="AT106" i="20" a="1"/>
  <c r="AT106" i="20" s="1"/>
  <c r="AU106" i="20" a="1"/>
  <c r="AU106" i="20" s="1"/>
  <c r="AV106" i="20"/>
  <c r="AW106" i="20"/>
  <c r="AX106" i="20"/>
  <c r="AY106" i="20"/>
  <c r="AZ106" i="20"/>
  <c r="BA106" i="20"/>
  <c r="AB107" i="20"/>
  <c r="AC107" i="20"/>
  <c r="AD107" i="20"/>
  <c r="AF107" i="20"/>
  <c r="AG107" i="20"/>
  <c r="AI107" i="20"/>
  <c r="AJ107" i="20"/>
  <c r="AK107" i="20"/>
  <c r="AL107" i="20"/>
  <c r="AM107" i="20"/>
  <c r="AN107" i="20"/>
  <c r="AO107" i="20"/>
  <c r="AQ107" i="20"/>
  <c r="AS107" i="20"/>
  <c r="AT107" i="20" a="1"/>
  <c r="AT107" i="20" s="1"/>
  <c r="AU107" i="20" a="1"/>
  <c r="AU107" i="20" s="1"/>
  <c r="AV107" i="20"/>
  <c r="AW107" i="20"/>
  <c r="AX107" i="20"/>
  <c r="AY107" i="20"/>
  <c r="AZ107" i="20"/>
  <c r="BA107" i="20"/>
  <c r="AB108" i="20"/>
  <c r="AC108" i="20"/>
  <c r="AD108" i="20"/>
  <c r="AF108" i="20"/>
  <c r="AG108" i="20"/>
  <c r="AI108" i="20"/>
  <c r="AJ108" i="20"/>
  <c r="AK108" i="20"/>
  <c r="AL108" i="20"/>
  <c r="AM108" i="20"/>
  <c r="AN108" i="20"/>
  <c r="AO108" i="20"/>
  <c r="AQ108" i="20"/>
  <c r="AS108" i="20"/>
  <c r="AT108" i="20" a="1"/>
  <c r="AT108" i="20" s="1"/>
  <c r="AU108" i="20" a="1"/>
  <c r="AU108" i="20" s="1"/>
  <c r="AV108" i="20"/>
  <c r="AW108" i="20"/>
  <c r="AX108" i="20"/>
  <c r="AY108" i="20"/>
  <c r="AZ108" i="20"/>
  <c r="BA108" i="20"/>
  <c r="AB109" i="20"/>
  <c r="AC109" i="20"/>
  <c r="AD109" i="20"/>
  <c r="AF109" i="20"/>
  <c r="AG109" i="20"/>
  <c r="AI109" i="20"/>
  <c r="AJ109" i="20"/>
  <c r="AK109" i="20"/>
  <c r="AL109" i="20"/>
  <c r="AM109" i="20"/>
  <c r="AN109" i="20"/>
  <c r="AO109" i="20"/>
  <c r="AQ109" i="20"/>
  <c r="AS109" i="20"/>
  <c r="AT109" i="20" a="1"/>
  <c r="AT109" i="20" s="1"/>
  <c r="AU109" i="20" a="1"/>
  <c r="AU109" i="20" s="1"/>
  <c r="AV109" i="20"/>
  <c r="AW109" i="20"/>
  <c r="AX109" i="20"/>
  <c r="AY109" i="20"/>
  <c r="AZ109" i="20"/>
  <c r="BA109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0" i="20"/>
  <c r="AL166" i="20"/>
  <c r="AL164" i="20"/>
  <c r="AB10" i="20"/>
  <c r="AH167" i="20"/>
  <c r="AG167" i="20"/>
  <c r="AG20" i="20" s="1"/>
  <c r="AG29" i="20" l="1"/>
  <c r="AG21" i="20"/>
  <c r="AG28" i="20"/>
  <c r="AG25" i="20"/>
  <c r="E101" i="20"/>
  <c r="AI30" i="20"/>
  <c r="AI26" i="20"/>
  <c r="AG30" i="20"/>
  <c r="AG26" i="20"/>
  <c r="AG22" i="20"/>
  <c r="E85" i="20"/>
  <c r="E37" i="20"/>
  <c r="AG27" i="20"/>
  <c r="AG23" i="20"/>
  <c r="AG19" i="20"/>
  <c r="AK29" i="20"/>
  <c r="AG24" i="20"/>
  <c r="E45" i="20"/>
  <c r="AI18" i="20"/>
  <c r="AK26" i="20"/>
  <c r="E68" i="20"/>
  <c r="E109" i="20"/>
  <c r="E105" i="20"/>
  <c r="E97" i="20"/>
  <c r="E81" i="20"/>
  <c r="E77" i="20"/>
  <c r="E57" i="20"/>
  <c r="E53" i="20"/>
  <c r="E49" i="20"/>
  <c r="E41" i="20"/>
  <c r="E69" i="20"/>
  <c r="E61" i="20"/>
  <c r="E93" i="20"/>
  <c r="E89" i="20"/>
  <c r="E73" i="20"/>
  <c r="E65" i="20"/>
  <c r="E33" i="20"/>
  <c r="E60" i="20"/>
  <c r="E52" i="20"/>
  <c r="E44" i="20"/>
  <c r="E36" i="20"/>
  <c r="E32" i="20"/>
  <c r="E98" i="20"/>
  <c r="E94" i="20"/>
  <c r="E90" i="20"/>
  <c r="E86" i="20"/>
  <c r="E82" i="20"/>
  <c r="E102" i="20"/>
  <c r="E78" i="20"/>
  <c r="E74" i="20"/>
  <c r="E70" i="20"/>
  <c r="E66" i="20"/>
  <c r="E62" i="20"/>
  <c r="E58" i="20"/>
  <c r="E54" i="20"/>
  <c r="E50" i="20"/>
  <c r="E46" i="20"/>
  <c r="E42" i="20"/>
  <c r="E38" i="20"/>
  <c r="E34" i="20"/>
  <c r="E106" i="20"/>
  <c r="E103" i="20"/>
  <c r="E99" i="20"/>
  <c r="E95" i="20"/>
  <c r="E87" i="20"/>
  <c r="E83" i="20"/>
  <c r="E79" i="20"/>
  <c r="E75" i="20"/>
  <c r="E71" i="20"/>
  <c r="E67" i="20"/>
  <c r="E63" i="20"/>
  <c r="E59" i="20"/>
  <c r="E55" i="20"/>
  <c r="E51" i="20"/>
  <c r="E47" i="20"/>
  <c r="E43" i="20"/>
  <c r="E39" i="20"/>
  <c r="E35" i="20"/>
  <c r="E31" i="20"/>
  <c r="E107" i="20"/>
  <c r="E91" i="20"/>
  <c r="E108" i="20"/>
  <c r="E104" i="20"/>
  <c r="E100" i="20"/>
  <c r="E96" i="20"/>
  <c r="E88" i="20"/>
  <c r="E84" i="20"/>
  <c r="E80" i="20"/>
  <c r="E76" i="20"/>
  <c r="E72" i="20"/>
  <c r="E64" i="20"/>
  <c r="E56" i="20"/>
  <c r="E48" i="20"/>
  <c r="E40" i="20"/>
  <c r="E92" i="20"/>
  <c r="AQ15" i="20"/>
  <c r="AO15" i="20"/>
  <c r="AN15" i="20"/>
  <c r="AL15" i="20"/>
  <c r="AI15" i="20"/>
  <c r="AM15" i="20"/>
  <c r="AQ14" i="20"/>
  <c r="AL14" i="20"/>
  <c r="AG18" i="20"/>
  <c r="AQ18" i="20"/>
  <c r="AO18" i="20"/>
  <c r="AN18" i="20"/>
  <c r="AK18" i="20"/>
  <c r="AJ18" i="20"/>
  <c r="AP18" i="20"/>
  <c r="AQ17" i="20"/>
  <c r="AO17" i="20"/>
  <c r="AN17" i="20"/>
  <c r="AM17" i="20"/>
  <c r="AL17" i="20"/>
  <c r="AI17" i="20"/>
  <c r="AP17" i="20"/>
  <c r="AN16" i="20"/>
  <c r="AO16" i="20"/>
  <c r="AM16" i="20"/>
  <c r="AL16" i="20"/>
  <c r="AI16" i="20"/>
  <c r="AP16" i="20"/>
  <c r="AQ16" i="20"/>
  <c r="AN14" i="20"/>
  <c r="AL13" i="20"/>
  <c r="AL12" i="20"/>
  <c r="AL11" i="20"/>
  <c r="AP14" i="20"/>
  <c r="AM14" i="20"/>
  <c r="AI14" i="20"/>
  <c r="AJ13" i="20"/>
  <c r="AL10" i="20"/>
  <c r="AK166" i="20"/>
  <c r="AK22" i="20" s="1"/>
  <c r="AJ166" i="20"/>
  <c r="AJ26" i="20" s="1"/>
  <c r="AI166" i="20"/>
  <c r="AK164" i="20"/>
  <c r="AK12" i="20" s="1"/>
  <c r="AJ164" i="20"/>
  <c r="AI164" i="20"/>
  <c r="AI13" i="20" s="1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V12" i="22"/>
  <c r="W12" i="22"/>
  <c r="AA12" i="22"/>
  <c r="AB12" i="22"/>
  <c r="AC12" i="22"/>
  <c r="AP12" i="22"/>
  <c r="V13" i="22"/>
  <c r="W13" i="22"/>
  <c r="Y13" i="22"/>
  <c r="AA13" i="22"/>
  <c r="AB13" i="22"/>
  <c r="AC13" i="22"/>
  <c r="AG13" i="22"/>
  <c r="AP13" i="22"/>
  <c r="V14" i="22"/>
  <c r="AN14" i="22" s="1"/>
  <c r="W14" i="22"/>
  <c r="Y14" i="22"/>
  <c r="AA14" i="22"/>
  <c r="AB14" i="22"/>
  <c r="AC14" i="22"/>
  <c r="AG14" i="22"/>
  <c r="AP14" i="22"/>
  <c r="V15" i="22"/>
  <c r="W15" i="22"/>
  <c r="X15" i="22"/>
  <c r="Y15" i="22"/>
  <c r="Z15" i="22"/>
  <c r="AA15" i="22"/>
  <c r="AB15" i="22"/>
  <c r="AC15" i="22"/>
  <c r="AG15" i="22"/>
  <c r="AP15" i="22"/>
  <c r="V16" i="22"/>
  <c r="W16" i="22"/>
  <c r="X16" i="22"/>
  <c r="Y16" i="22"/>
  <c r="Z16" i="22"/>
  <c r="AA16" i="22"/>
  <c r="AB16" i="22"/>
  <c r="AC16" i="22"/>
  <c r="AG16" i="22"/>
  <c r="AP16" i="22"/>
  <c r="V17" i="22"/>
  <c r="W17" i="22"/>
  <c r="X17" i="22"/>
  <c r="Y17" i="22"/>
  <c r="Z17" i="22"/>
  <c r="AA17" i="22"/>
  <c r="AB17" i="22"/>
  <c r="AC17" i="22"/>
  <c r="AG17" i="22"/>
  <c r="AP17" i="22"/>
  <c r="V18" i="22"/>
  <c r="W18" i="22"/>
  <c r="X18" i="22"/>
  <c r="Y18" i="22"/>
  <c r="Z18" i="22"/>
  <c r="AA18" i="22"/>
  <c r="AB18" i="22"/>
  <c r="AC18" i="22"/>
  <c r="AG18" i="22"/>
  <c r="AP18" i="22"/>
  <c r="V19" i="22"/>
  <c r="W19" i="22"/>
  <c r="X19" i="22"/>
  <c r="Y19" i="22"/>
  <c r="Z19" i="22"/>
  <c r="AA19" i="22"/>
  <c r="AB19" i="22"/>
  <c r="AC19" i="22"/>
  <c r="AG19" i="22"/>
  <c r="AP19" i="22"/>
  <c r="V20" i="22"/>
  <c r="AN20" i="22" s="1"/>
  <c r="W20" i="22"/>
  <c r="X20" i="22"/>
  <c r="Y20" i="22"/>
  <c r="Z20" i="22"/>
  <c r="AA20" i="22"/>
  <c r="AB20" i="22"/>
  <c r="AC20" i="22"/>
  <c r="AG20" i="22"/>
  <c r="AP20" i="22"/>
  <c r="V21" i="22"/>
  <c r="W21" i="22"/>
  <c r="X21" i="22"/>
  <c r="Y21" i="22"/>
  <c r="Z21" i="22"/>
  <c r="AA21" i="22"/>
  <c r="AB21" i="22"/>
  <c r="AC21" i="22"/>
  <c r="AG21" i="22"/>
  <c r="AP21" i="22"/>
  <c r="V22" i="22"/>
  <c r="AN22" i="22" s="1"/>
  <c r="W22" i="22"/>
  <c r="X22" i="22"/>
  <c r="Y22" i="22"/>
  <c r="Z22" i="22"/>
  <c r="AA22" i="22"/>
  <c r="AB22" i="22"/>
  <c r="AC22" i="22"/>
  <c r="AG22" i="22"/>
  <c r="AP22" i="22"/>
  <c r="V23" i="22"/>
  <c r="W23" i="22"/>
  <c r="X23" i="22"/>
  <c r="Y23" i="22"/>
  <c r="Z23" i="22"/>
  <c r="AA23" i="22"/>
  <c r="AB23" i="22"/>
  <c r="AC23" i="22"/>
  <c r="AG23" i="22"/>
  <c r="AP23" i="22"/>
  <c r="V24" i="22"/>
  <c r="W24" i="22"/>
  <c r="X24" i="22"/>
  <c r="Y24" i="22"/>
  <c r="Z24" i="22"/>
  <c r="AA24" i="22"/>
  <c r="AB24" i="22"/>
  <c r="AC24" i="22"/>
  <c r="AG24" i="22"/>
  <c r="AP24" i="22"/>
  <c r="V25" i="22"/>
  <c r="W25" i="22"/>
  <c r="X25" i="22"/>
  <c r="Y25" i="22"/>
  <c r="Z25" i="22"/>
  <c r="AA25" i="22"/>
  <c r="AB25" i="22"/>
  <c r="AC25" i="22"/>
  <c r="AG25" i="22"/>
  <c r="AP25" i="22"/>
  <c r="V26" i="22"/>
  <c r="AN26" i="22" s="1"/>
  <c r="W26" i="22"/>
  <c r="X26" i="22"/>
  <c r="Y26" i="22"/>
  <c r="Z26" i="22"/>
  <c r="AA26" i="22"/>
  <c r="AB26" i="22"/>
  <c r="AC26" i="22"/>
  <c r="AG26" i="22"/>
  <c r="AP26" i="22"/>
  <c r="V27" i="22"/>
  <c r="W27" i="22"/>
  <c r="X27" i="22"/>
  <c r="Y27" i="22"/>
  <c r="Z27" i="22"/>
  <c r="AA27" i="22"/>
  <c r="AB27" i="22"/>
  <c r="AC27" i="22"/>
  <c r="AG27" i="22"/>
  <c r="AP27" i="22"/>
  <c r="V28" i="22"/>
  <c r="W28" i="22"/>
  <c r="X28" i="22"/>
  <c r="Y28" i="22"/>
  <c r="Z28" i="22"/>
  <c r="AA28" i="22"/>
  <c r="AB28" i="22"/>
  <c r="AC28" i="22"/>
  <c r="AG28" i="22"/>
  <c r="AP28" i="22"/>
  <c r="V29" i="22"/>
  <c r="W29" i="22"/>
  <c r="X29" i="22"/>
  <c r="Y29" i="22"/>
  <c r="Z29" i="22"/>
  <c r="AA29" i="22"/>
  <c r="AB29" i="22"/>
  <c r="AC29" i="22"/>
  <c r="AG29" i="22"/>
  <c r="AP29" i="22"/>
  <c r="V30" i="22"/>
  <c r="W30" i="22"/>
  <c r="X30" i="22"/>
  <c r="Y30" i="22"/>
  <c r="Z30" i="22"/>
  <c r="AA30" i="22"/>
  <c r="AB30" i="22"/>
  <c r="AC30" i="22"/>
  <c r="AG30" i="22"/>
  <c r="AP30" i="22"/>
  <c r="V31" i="22"/>
  <c r="W31" i="22"/>
  <c r="X31" i="22"/>
  <c r="Y31" i="22"/>
  <c r="Z31" i="22"/>
  <c r="AA31" i="22"/>
  <c r="AB31" i="22"/>
  <c r="AC31" i="22"/>
  <c r="AG31" i="22"/>
  <c r="AP31" i="22"/>
  <c r="V32" i="22"/>
  <c r="AN32" i="22" s="1"/>
  <c r="W32" i="22"/>
  <c r="X32" i="22"/>
  <c r="Y32" i="22"/>
  <c r="Z32" i="22"/>
  <c r="AA32" i="22"/>
  <c r="AB32" i="22"/>
  <c r="AC32" i="22"/>
  <c r="AG32" i="22"/>
  <c r="AP32" i="22"/>
  <c r="V33" i="22"/>
  <c r="W33" i="22"/>
  <c r="X33" i="22"/>
  <c r="Y33" i="22"/>
  <c r="Z33" i="22"/>
  <c r="AA33" i="22"/>
  <c r="AB33" i="22"/>
  <c r="AC33" i="22"/>
  <c r="AG33" i="22"/>
  <c r="AP33" i="22"/>
  <c r="V34" i="22"/>
  <c r="AN34" i="22" s="1"/>
  <c r="W34" i="22"/>
  <c r="X34" i="22"/>
  <c r="Y34" i="22"/>
  <c r="Z34" i="22"/>
  <c r="AA34" i="22"/>
  <c r="AB34" i="22"/>
  <c r="AC34" i="22"/>
  <c r="AG34" i="22"/>
  <c r="AP34" i="22"/>
  <c r="V35" i="22"/>
  <c r="W35" i="22"/>
  <c r="X35" i="22"/>
  <c r="Y35" i="22"/>
  <c r="Z35" i="22"/>
  <c r="AA35" i="22"/>
  <c r="AB35" i="22"/>
  <c r="AC35" i="22"/>
  <c r="AG35" i="22"/>
  <c r="AP35" i="22"/>
  <c r="V36" i="22"/>
  <c r="W36" i="22"/>
  <c r="X36" i="22"/>
  <c r="Y36" i="22"/>
  <c r="Z36" i="22"/>
  <c r="AA36" i="22"/>
  <c r="AB36" i="22"/>
  <c r="AC36" i="22"/>
  <c r="AG36" i="22"/>
  <c r="AP36" i="22"/>
  <c r="V37" i="22"/>
  <c r="W37" i="22"/>
  <c r="X37" i="22"/>
  <c r="Y37" i="22"/>
  <c r="Z37" i="22"/>
  <c r="AA37" i="22"/>
  <c r="AB37" i="22"/>
  <c r="AC37" i="22"/>
  <c r="AG37" i="22"/>
  <c r="AP37" i="22"/>
  <c r="V38" i="22"/>
  <c r="AN38" i="22" s="1"/>
  <c r="W38" i="22"/>
  <c r="X38" i="22"/>
  <c r="Y38" i="22"/>
  <c r="Z38" i="22"/>
  <c r="AA38" i="22"/>
  <c r="AB38" i="22"/>
  <c r="AC38" i="22"/>
  <c r="AG38" i="22"/>
  <c r="AP38" i="22"/>
  <c r="V39" i="22"/>
  <c r="W39" i="22"/>
  <c r="X39" i="22"/>
  <c r="Y39" i="22"/>
  <c r="Z39" i="22"/>
  <c r="AA39" i="22"/>
  <c r="AB39" i="22"/>
  <c r="AC39" i="22"/>
  <c r="AG39" i="22"/>
  <c r="AP39" i="22"/>
  <c r="V40" i="22"/>
  <c r="W40" i="22"/>
  <c r="X40" i="22"/>
  <c r="Y40" i="22"/>
  <c r="Z40" i="22"/>
  <c r="AA40" i="22"/>
  <c r="AB40" i="22"/>
  <c r="AC40" i="22"/>
  <c r="AG40" i="22"/>
  <c r="AP40" i="22"/>
  <c r="V41" i="22"/>
  <c r="W41" i="22"/>
  <c r="X41" i="22"/>
  <c r="Y41" i="22"/>
  <c r="Z41" i="22"/>
  <c r="AA41" i="22"/>
  <c r="AB41" i="22"/>
  <c r="AC41" i="22"/>
  <c r="AG41" i="22"/>
  <c r="AP41" i="22"/>
  <c r="V42" i="22"/>
  <c r="W42" i="22"/>
  <c r="X42" i="22"/>
  <c r="Y42" i="22"/>
  <c r="Z42" i="22"/>
  <c r="AA42" i="22"/>
  <c r="AB42" i="22"/>
  <c r="AC42" i="22"/>
  <c r="AG42" i="22"/>
  <c r="AP42" i="22"/>
  <c r="V43" i="22"/>
  <c r="W43" i="22"/>
  <c r="X43" i="22"/>
  <c r="Y43" i="22"/>
  <c r="Z43" i="22"/>
  <c r="AA43" i="22"/>
  <c r="AB43" i="22"/>
  <c r="AC43" i="22"/>
  <c r="AG43" i="22"/>
  <c r="AP43" i="22"/>
  <c r="V44" i="22"/>
  <c r="AN44" i="22" s="1"/>
  <c r="W44" i="22"/>
  <c r="X44" i="22"/>
  <c r="Y44" i="22"/>
  <c r="Z44" i="22"/>
  <c r="AA44" i="22"/>
  <c r="AB44" i="22"/>
  <c r="AC44" i="22"/>
  <c r="AG44" i="22"/>
  <c r="AP44" i="22"/>
  <c r="V45" i="22"/>
  <c r="W45" i="22"/>
  <c r="X45" i="22"/>
  <c r="Y45" i="22"/>
  <c r="Z45" i="22"/>
  <c r="AA45" i="22"/>
  <c r="AB45" i="22"/>
  <c r="AC45" i="22"/>
  <c r="AG45" i="22"/>
  <c r="AP45" i="22"/>
  <c r="V46" i="22"/>
  <c r="W46" i="22"/>
  <c r="X46" i="22"/>
  <c r="Y46" i="22"/>
  <c r="Z46" i="22"/>
  <c r="AA46" i="22"/>
  <c r="AB46" i="22"/>
  <c r="AC46" i="22"/>
  <c r="AG46" i="22"/>
  <c r="AP46" i="22"/>
  <c r="V47" i="22"/>
  <c r="W47" i="22"/>
  <c r="X47" i="22"/>
  <c r="Y47" i="22"/>
  <c r="Z47" i="22"/>
  <c r="AA47" i="22"/>
  <c r="AB47" i="22"/>
  <c r="AC47" i="22"/>
  <c r="AG47" i="22"/>
  <c r="AP47" i="22"/>
  <c r="V48" i="22"/>
  <c r="W48" i="22"/>
  <c r="X48" i="22"/>
  <c r="Y48" i="22"/>
  <c r="Z48" i="22"/>
  <c r="AA48" i="22"/>
  <c r="AB48" i="22"/>
  <c r="AC48" i="22"/>
  <c r="AG48" i="22"/>
  <c r="AP48" i="22"/>
  <c r="V49" i="22"/>
  <c r="W49" i="22"/>
  <c r="X49" i="22"/>
  <c r="Y49" i="22"/>
  <c r="Z49" i="22"/>
  <c r="AA49" i="22"/>
  <c r="AB49" i="22"/>
  <c r="AC49" i="22"/>
  <c r="AG49" i="22"/>
  <c r="AP49" i="22"/>
  <c r="V50" i="22"/>
  <c r="AN50" i="22" s="1"/>
  <c r="W50" i="22"/>
  <c r="X50" i="22"/>
  <c r="Y50" i="22"/>
  <c r="Z50" i="22"/>
  <c r="AA50" i="22"/>
  <c r="AB50" i="22"/>
  <c r="AC50" i="22"/>
  <c r="AG50" i="22"/>
  <c r="AP50" i="22"/>
  <c r="V51" i="22"/>
  <c r="W51" i="22"/>
  <c r="X51" i="22"/>
  <c r="Y51" i="22"/>
  <c r="Z51" i="22"/>
  <c r="AA51" i="22"/>
  <c r="AB51" i="22"/>
  <c r="AC51" i="22"/>
  <c r="AG51" i="22"/>
  <c r="AP51" i="22"/>
  <c r="V52" i="22"/>
  <c r="W52" i="22"/>
  <c r="X52" i="22"/>
  <c r="Y52" i="22"/>
  <c r="Z52" i="22"/>
  <c r="AA52" i="22"/>
  <c r="AB52" i="22"/>
  <c r="AC52" i="22"/>
  <c r="AG52" i="22"/>
  <c r="AP52" i="22"/>
  <c r="V53" i="22"/>
  <c r="W53" i="22"/>
  <c r="X53" i="22"/>
  <c r="Y53" i="22"/>
  <c r="Z53" i="22"/>
  <c r="AA53" i="22"/>
  <c r="AB53" i="22"/>
  <c r="AC53" i="22"/>
  <c r="AG53" i="22"/>
  <c r="AP53" i="22"/>
  <c r="V54" i="22"/>
  <c r="W54" i="22"/>
  <c r="X54" i="22"/>
  <c r="Y54" i="22"/>
  <c r="Z54" i="22"/>
  <c r="AA54" i="22"/>
  <c r="AB54" i="22"/>
  <c r="AC54" i="22"/>
  <c r="AG54" i="22"/>
  <c r="AP54" i="22"/>
  <c r="V55" i="22"/>
  <c r="W55" i="22"/>
  <c r="X55" i="22"/>
  <c r="Y55" i="22"/>
  <c r="Z55" i="22"/>
  <c r="AA55" i="22"/>
  <c r="AB55" i="22"/>
  <c r="AC55" i="22"/>
  <c r="AG55" i="22"/>
  <c r="AP55" i="22"/>
  <c r="V56" i="22"/>
  <c r="W56" i="22"/>
  <c r="X56" i="22"/>
  <c r="Y56" i="22"/>
  <c r="Z56" i="22"/>
  <c r="AA56" i="22"/>
  <c r="AB56" i="22"/>
  <c r="AC56" i="22"/>
  <c r="AG56" i="22"/>
  <c r="AP56" i="22"/>
  <c r="V57" i="22"/>
  <c r="W57" i="22"/>
  <c r="X57" i="22"/>
  <c r="Y57" i="22"/>
  <c r="Z57" i="22"/>
  <c r="AA57" i="22"/>
  <c r="AB57" i="22"/>
  <c r="AC57" i="22"/>
  <c r="AG57" i="22"/>
  <c r="AP57" i="22"/>
  <c r="V58" i="22"/>
  <c r="AN58" i="22" s="1"/>
  <c r="W58" i="22"/>
  <c r="X58" i="22"/>
  <c r="Y58" i="22"/>
  <c r="Z58" i="22"/>
  <c r="AA58" i="22"/>
  <c r="AB58" i="22"/>
  <c r="AC58" i="22"/>
  <c r="AG58" i="22"/>
  <c r="AP58" i="22"/>
  <c r="V59" i="22"/>
  <c r="AN59" i="22" s="1"/>
  <c r="W59" i="22"/>
  <c r="X59" i="22"/>
  <c r="Y59" i="22"/>
  <c r="Z59" i="22"/>
  <c r="AA59" i="22"/>
  <c r="AB59" i="22"/>
  <c r="AC59" i="22"/>
  <c r="AG59" i="22"/>
  <c r="AP59" i="22"/>
  <c r="V60" i="22"/>
  <c r="W60" i="22"/>
  <c r="X60" i="22"/>
  <c r="Y60" i="22"/>
  <c r="Z60" i="22"/>
  <c r="AA60" i="22"/>
  <c r="AB60" i="22"/>
  <c r="AC60" i="22"/>
  <c r="AG60" i="22"/>
  <c r="AP60" i="22"/>
  <c r="V61" i="22"/>
  <c r="W61" i="22"/>
  <c r="X61" i="22"/>
  <c r="Y61" i="22"/>
  <c r="Z61" i="22"/>
  <c r="AA61" i="22"/>
  <c r="AB61" i="22"/>
  <c r="AC61" i="22"/>
  <c r="AG61" i="22"/>
  <c r="AP61" i="22"/>
  <c r="V62" i="22"/>
  <c r="AN62" i="22" s="1"/>
  <c r="W62" i="22"/>
  <c r="X62" i="22"/>
  <c r="Y62" i="22"/>
  <c r="Z62" i="22"/>
  <c r="AA62" i="22"/>
  <c r="AB62" i="22"/>
  <c r="AC62" i="22"/>
  <c r="AG62" i="22"/>
  <c r="AP62" i="22"/>
  <c r="V63" i="22"/>
  <c r="W63" i="22"/>
  <c r="X63" i="22"/>
  <c r="Y63" i="22"/>
  <c r="Z63" i="22"/>
  <c r="AA63" i="22"/>
  <c r="AB63" i="22"/>
  <c r="AC63" i="22"/>
  <c r="AG63" i="22"/>
  <c r="AP63" i="22"/>
  <c r="V64" i="22"/>
  <c r="W64" i="22"/>
  <c r="X64" i="22"/>
  <c r="Y64" i="22"/>
  <c r="Z64" i="22"/>
  <c r="AA64" i="22"/>
  <c r="AB64" i="22"/>
  <c r="AC64" i="22"/>
  <c r="AG64" i="22"/>
  <c r="AP64" i="22"/>
  <c r="V65" i="22"/>
  <c r="W65" i="22"/>
  <c r="X65" i="22"/>
  <c r="Y65" i="22"/>
  <c r="Z65" i="22"/>
  <c r="AA65" i="22"/>
  <c r="AB65" i="22"/>
  <c r="AC65" i="22"/>
  <c r="AG65" i="22"/>
  <c r="AP65" i="22"/>
  <c r="V66" i="22"/>
  <c r="W66" i="22"/>
  <c r="X66" i="22"/>
  <c r="Y66" i="22"/>
  <c r="Z66" i="22"/>
  <c r="AA66" i="22"/>
  <c r="AB66" i="22"/>
  <c r="AC66" i="22"/>
  <c r="AG66" i="22"/>
  <c r="AP66" i="22"/>
  <c r="V67" i="22"/>
  <c r="W67" i="22"/>
  <c r="X67" i="22"/>
  <c r="Y67" i="22"/>
  <c r="Z67" i="22"/>
  <c r="AA67" i="22"/>
  <c r="AB67" i="22"/>
  <c r="AC67" i="22"/>
  <c r="AG67" i="22"/>
  <c r="AP67" i="22"/>
  <c r="V68" i="22"/>
  <c r="W68" i="22"/>
  <c r="X68" i="22"/>
  <c r="Y68" i="22"/>
  <c r="Z68" i="22"/>
  <c r="AA68" i="22"/>
  <c r="AB68" i="22"/>
  <c r="AC68" i="22"/>
  <c r="AG68" i="22"/>
  <c r="AP68" i="22"/>
  <c r="V69" i="22"/>
  <c r="W69" i="22"/>
  <c r="X69" i="22"/>
  <c r="Y69" i="22"/>
  <c r="Z69" i="22"/>
  <c r="AA69" i="22"/>
  <c r="AB69" i="22"/>
  <c r="AC69" i="22"/>
  <c r="AG69" i="22"/>
  <c r="AP69" i="22"/>
  <c r="V70" i="22"/>
  <c r="AN70" i="22" s="1"/>
  <c r="W70" i="22"/>
  <c r="X70" i="22"/>
  <c r="Y70" i="22"/>
  <c r="Z70" i="22"/>
  <c r="AA70" i="22"/>
  <c r="AB70" i="22"/>
  <c r="AC70" i="22"/>
  <c r="AG70" i="22"/>
  <c r="AP70" i="22"/>
  <c r="V71" i="22"/>
  <c r="AN71" i="22" s="1"/>
  <c r="W71" i="22"/>
  <c r="X71" i="22"/>
  <c r="Y71" i="22"/>
  <c r="Z71" i="22"/>
  <c r="AA71" i="22"/>
  <c r="AB71" i="22"/>
  <c r="AC71" i="22"/>
  <c r="AG71" i="22"/>
  <c r="AP71" i="22"/>
  <c r="V72" i="22"/>
  <c r="W72" i="22"/>
  <c r="X72" i="22"/>
  <c r="Y72" i="22"/>
  <c r="Z72" i="22"/>
  <c r="AA72" i="22"/>
  <c r="AB72" i="22"/>
  <c r="AC72" i="22"/>
  <c r="AG72" i="22"/>
  <c r="AP72" i="22"/>
  <c r="V73" i="22"/>
  <c r="W73" i="22"/>
  <c r="X73" i="22"/>
  <c r="Y73" i="22"/>
  <c r="Z73" i="22"/>
  <c r="AA73" i="22"/>
  <c r="AB73" i="22"/>
  <c r="AC73" i="22"/>
  <c r="AG73" i="22"/>
  <c r="AP73" i="22"/>
  <c r="V74" i="22"/>
  <c r="AN74" i="22" s="1"/>
  <c r="W74" i="22"/>
  <c r="X74" i="22"/>
  <c r="Y74" i="22"/>
  <c r="Z74" i="22"/>
  <c r="AA74" i="22"/>
  <c r="AB74" i="22"/>
  <c r="AC74" i="22"/>
  <c r="AG74" i="22"/>
  <c r="AP74" i="22"/>
  <c r="V75" i="22"/>
  <c r="W75" i="22"/>
  <c r="X75" i="22"/>
  <c r="Y75" i="22"/>
  <c r="Z75" i="22"/>
  <c r="AA75" i="22"/>
  <c r="AB75" i="22"/>
  <c r="AC75" i="22"/>
  <c r="AG75" i="22"/>
  <c r="AP75" i="22"/>
  <c r="V76" i="22"/>
  <c r="W76" i="22"/>
  <c r="X76" i="22"/>
  <c r="Y76" i="22"/>
  <c r="Z76" i="22"/>
  <c r="AA76" i="22"/>
  <c r="AB76" i="22"/>
  <c r="AC76" i="22"/>
  <c r="AG76" i="22"/>
  <c r="AP76" i="22"/>
  <c r="V77" i="22"/>
  <c r="W77" i="22"/>
  <c r="X77" i="22"/>
  <c r="Y77" i="22"/>
  <c r="Z77" i="22"/>
  <c r="AA77" i="22"/>
  <c r="AB77" i="22"/>
  <c r="AC77" i="22"/>
  <c r="AG77" i="22"/>
  <c r="AP77" i="22"/>
  <c r="V78" i="22"/>
  <c r="W78" i="22"/>
  <c r="X78" i="22"/>
  <c r="Y78" i="22"/>
  <c r="Z78" i="22"/>
  <c r="AA78" i="22"/>
  <c r="AB78" i="22"/>
  <c r="AC78" i="22"/>
  <c r="AG78" i="22"/>
  <c r="AP78" i="22"/>
  <c r="V79" i="22"/>
  <c r="W79" i="22"/>
  <c r="X79" i="22"/>
  <c r="Y79" i="22"/>
  <c r="Z79" i="22"/>
  <c r="AA79" i="22"/>
  <c r="AB79" i="22"/>
  <c r="AC79" i="22"/>
  <c r="AG79" i="22"/>
  <c r="AP79" i="22"/>
  <c r="V80" i="22"/>
  <c r="W80" i="22"/>
  <c r="X80" i="22"/>
  <c r="Y80" i="22"/>
  <c r="Z80" i="22"/>
  <c r="AA80" i="22"/>
  <c r="AB80" i="22"/>
  <c r="AC80" i="22"/>
  <c r="AG80" i="22"/>
  <c r="AP80" i="22"/>
  <c r="V81" i="22"/>
  <c r="W81" i="22"/>
  <c r="X81" i="22"/>
  <c r="Y81" i="22"/>
  <c r="Z81" i="22"/>
  <c r="AA81" i="22"/>
  <c r="AB81" i="22"/>
  <c r="AC81" i="22"/>
  <c r="AG81" i="22"/>
  <c r="AP81" i="22"/>
  <c r="V82" i="22"/>
  <c r="W82" i="22"/>
  <c r="X82" i="22"/>
  <c r="Y82" i="22"/>
  <c r="Z82" i="22"/>
  <c r="AA82" i="22"/>
  <c r="AB82" i="22"/>
  <c r="AC82" i="22"/>
  <c r="AG82" i="22"/>
  <c r="AP82" i="22"/>
  <c r="V83" i="22"/>
  <c r="AN83" i="22" s="1"/>
  <c r="W83" i="22"/>
  <c r="X83" i="22"/>
  <c r="Y83" i="22"/>
  <c r="Z83" i="22"/>
  <c r="AA83" i="22"/>
  <c r="AB83" i="22"/>
  <c r="AC83" i="22"/>
  <c r="AG83" i="22"/>
  <c r="AP83" i="22"/>
  <c r="V84" i="22"/>
  <c r="W84" i="22"/>
  <c r="X84" i="22"/>
  <c r="Y84" i="22"/>
  <c r="Z84" i="22"/>
  <c r="AA84" i="22"/>
  <c r="AB84" i="22"/>
  <c r="AC84" i="22"/>
  <c r="AG84" i="22"/>
  <c r="AP84" i="22"/>
  <c r="V85" i="22"/>
  <c r="W85" i="22"/>
  <c r="X85" i="22"/>
  <c r="Y85" i="22"/>
  <c r="Z85" i="22"/>
  <c r="AA85" i="22"/>
  <c r="AB85" i="22"/>
  <c r="AC85" i="22"/>
  <c r="AG85" i="22"/>
  <c r="AP85" i="22"/>
  <c r="V86" i="22"/>
  <c r="AN86" i="22" s="1"/>
  <c r="W86" i="22"/>
  <c r="X86" i="22"/>
  <c r="Y86" i="22"/>
  <c r="Z86" i="22"/>
  <c r="AA86" i="22"/>
  <c r="AB86" i="22"/>
  <c r="AC86" i="22"/>
  <c r="AG86" i="22"/>
  <c r="AP86" i="22"/>
  <c r="V87" i="22"/>
  <c r="W87" i="22"/>
  <c r="X87" i="22"/>
  <c r="Y87" i="22"/>
  <c r="Z87" i="22"/>
  <c r="AA87" i="22"/>
  <c r="AB87" i="22"/>
  <c r="AC87" i="22"/>
  <c r="AG87" i="22"/>
  <c r="AP87" i="22"/>
  <c r="V88" i="22"/>
  <c r="W88" i="22"/>
  <c r="X88" i="22"/>
  <c r="Y88" i="22"/>
  <c r="Z88" i="22"/>
  <c r="AA88" i="22"/>
  <c r="AB88" i="22"/>
  <c r="AC88" i="22"/>
  <c r="AG88" i="22"/>
  <c r="AP88" i="22"/>
  <c r="V89" i="22"/>
  <c r="W89" i="22"/>
  <c r="X89" i="22"/>
  <c r="Y89" i="22"/>
  <c r="Z89" i="22"/>
  <c r="AA89" i="22"/>
  <c r="AB89" i="22"/>
  <c r="AC89" i="22"/>
  <c r="AG89" i="22"/>
  <c r="AP89" i="22"/>
  <c r="V90" i="22"/>
  <c r="W90" i="22"/>
  <c r="X90" i="22"/>
  <c r="Y90" i="22"/>
  <c r="Z90" i="22"/>
  <c r="AA90" i="22"/>
  <c r="AB90" i="22"/>
  <c r="AC90" i="22"/>
  <c r="AG90" i="22"/>
  <c r="AP90" i="22"/>
  <c r="V91" i="22"/>
  <c r="AN91" i="22" s="1"/>
  <c r="W91" i="22"/>
  <c r="X91" i="22"/>
  <c r="Y91" i="22"/>
  <c r="Z91" i="22"/>
  <c r="AA91" i="22"/>
  <c r="AB91" i="22"/>
  <c r="AC91" i="22"/>
  <c r="AG91" i="22"/>
  <c r="AP91" i="22"/>
  <c r="V92" i="22"/>
  <c r="W92" i="22"/>
  <c r="X92" i="22"/>
  <c r="Y92" i="22"/>
  <c r="Z92" i="22"/>
  <c r="AA92" i="22"/>
  <c r="AB92" i="22"/>
  <c r="AC92" i="22"/>
  <c r="AG92" i="22"/>
  <c r="AP92" i="22"/>
  <c r="V93" i="22"/>
  <c r="W93" i="22"/>
  <c r="X93" i="22"/>
  <c r="Y93" i="22"/>
  <c r="Z93" i="22"/>
  <c r="AA93" i="22"/>
  <c r="AB93" i="22"/>
  <c r="AC93" i="22"/>
  <c r="AG93" i="22"/>
  <c r="AP93" i="22"/>
  <c r="V94" i="22"/>
  <c r="W94" i="22"/>
  <c r="X94" i="22"/>
  <c r="Y94" i="22"/>
  <c r="Z94" i="22"/>
  <c r="AA94" i="22"/>
  <c r="AB94" i="22"/>
  <c r="AC94" i="22"/>
  <c r="AG94" i="22"/>
  <c r="AP94" i="22"/>
  <c r="V95" i="22"/>
  <c r="AN95" i="22" s="1"/>
  <c r="W95" i="22"/>
  <c r="X95" i="22"/>
  <c r="Y95" i="22"/>
  <c r="Z95" i="22"/>
  <c r="AA95" i="22"/>
  <c r="AB95" i="22"/>
  <c r="AC95" i="22"/>
  <c r="AG95" i="22"/>
  <c r="AP95" i="22"/>
  <c r="V96" i="22"/>
  <c r="W96" i="22"/>
  <c r="X96" i="22"/>
  <c r="Y96" i="22"/>
  <c r="Z96" i="22"/>
  <c r="AA96" i="22"/>
  <c r="AB96" i="22"/>
  <c r="AC96" i="22"/>
  <c r="AG96" i="22"/>
  <c r="AP96" i="22"/>
  <c r="V97" i="22"/>
  <c r="W97" i="22"/>
  <c r="X97" i="22"/>
  <c r="Y97" i="22"/>
  <c r="Z97" i="22"/>
  <c r="AA97" i="22"/>
  <c r="AB97" i="22"/>
  <c r="AC97" i="22"/>
  <c r="AG97" i="22"/>
  <c r="AP97" i="22"/>
  <c r="V98" i="22"/>
  <c r="AN98" i="22" s="1"/>
  <c r="W98" i="22"/>
  <c r="X98" i="22"/>
  <c r="Y98" i="22"/>
  <c r="Z98" i="22"/>
  <c r="AA98" i="22"/>
  <c r="AB98" i="22"/>
  <c r="AC98" i="22"/>
  <c r="AG98" i="22"/>
  <c r="AP98" i="22"/>
  <c r="V99" i="22"/>
  <c r="W99" i="22"/>
  <c r="X99" i="22"/>
  <c r="Y99" i="22"/>
  <c r="Z99" i="22"/>
  <c r="AA99" i="22"/>
  <c r="AB99" i="22"/>
  <c r="AC99" i="22"/>
  <c r="AG99" i="22"/>
  <c r="AP99" i="22"/>
  <c r="V100" i="22"/>
  <c r="W100" i="22"/>
  <c r="X100" i="22"/>
  <c r="Y100" i="22"/>
  <c r="Z100" i="22"/>
  <c r="AA100" i="22"/>
  <c r="AB100" i="22"/>
  <c r="AC100" i="22"/>
  <c r="AG100" i="22"/>
  <c r="AP100" i="22"/>
  <c r="V101" i="22"/>
  <c r="W101" i="22"/>
  <c r="X101" i="22"/>
  <c r="Y101" i="22"/>
  <c r="Z101" i="22"/>
  <c r="AA101" i="22"/>
  <c r="AB101" i="22"/>
  <c r="AC101" i="22"/>
  <c r="AG101" i="22"/>
  <c r="AP101" i="22"/>
  <c r="V102" i="22"/>
  <c r="W102" i="22"/>
  <c r="X102" i="22"/>
  <c r="Y102" i="22"/>
  <c r="Z102" i="22"/>
  <c r="AA102" i="22"/>
  <c r="AB102" i="22"/>
  <c r="AC102" i="22"/>
  <c r="AG102" i="22"/>
  <c r="AP102" i="22"/>
  <c r="V103" i="22"/>
  <c r="W103" i="22"/>
  <c r="X103" i="22"/>
  <c r="Y103" i="22"/>
  <c r="Z103" i="22"/>
  <c r="AA103" i="22"/>
  <c r="AB103" i="22"/>
  <c r="AC103" i="22"/>
  <c r="AG103" i="22"/>
  <c r="AP103" i="22"/>
  <c r="V104" i="22"/>
  <c r="AN104" i="22" s="1"/>
  <c r="W104" i="22"/>
  <c r="X104" i="22"/>
  <c r="Y104" i="22"/>
  <c r="Z104" i="22"/>
  <c r="AA104" i="22"/>
  <c r="AB104" i="22"/>
  <c r="AC104" i="22"/>
  <c r="AG104" i="22"/>
  <c r="AP104" i="22"/>
  <c r="V105" i="22"/>
  <c r="W105" i="22"/>
  <c r="X105" i="22"/>
  <c r="Y105" i="22"/>
  <c r="Z105" i="22"/>
  <c r="AA105" i="22"/>
  <c r="AB105" i="22"/>
  <c r="AC105" i="22"/>
  <c r="AG105" i="22"/>
  <c r="AP105" i="22"/>
  <c r="V106" i="22"/>
  <c r="W106" i="22"/>
  <c r="X106" i="22"/>
  <c r="Y106" i="22"/>
  <c r="Z106" i="22"/>
  <c r="AA106" i="22"/>
  <c r="AB106" i="22"/>
  <c r="AC106" i="22"/>
  <c r="AG106" i="22"/>
  <c r="AP106" i="22"/>
  <c r="V107" i="22"/>
  <c r="AN107" i="22" s="1"/>
  <c r="W107" i="22"/>
  <c r="X107" i="22"/>
  <c r="Y107" i="22"/>
  <c r="Z107" i="22"/>
  <c r="AA107" i="22"/>
  <c r="AB107" i="22"/>
  <c r="AC107" i="22"/>
  <c r="AG107" i="22"/>
  <c r="AP107" i="22"/>
  <c r="V108" i="22"/>
  <c r="W108" i="22"/>
  <c r="X108" i="22"/>
  <c r="Y108" i="22"/>
  <c r="Z108" i="22"/>
  <c r="AA108" i="22"/>
  <c r="AB108" i="22"/>
  <c r="AC108" i="22"/>
  <c r="AG108" i="22"/>
  <c r="AP108" i="22"/>
  <c r="V109" i="22"/>
  <c r="W109" i="22"/>
  <c r="X109" i="22"/>
  <c r="Y109" i="22"/>
  <c r="Z109" i="22"/>
  <c r="AA109" i="22"/>
  <c r="AB109" i="22"/>
  <c r="AC109" i="22"/>
  <c r="AG109" i="22"/>
  <c r="AP109" i="22"/>
  <c r="V110" i="22"/>
  <c r="AN110" i="22" s="1"/>
  <c r="W110" i="22"/>
  <c r="X110" i="22"/>
  <c r="Y110" i="22"/>
  <c r="Z110" i="22"/>
  <c r="AA110" i="22"/>
  <c r="AB110" i="22"/>
  <c r="AC110" i="22"/>
  <c r="AG110" i="22"/>
  <c r="AP110" i="22"/>
  <c r="AC11" i="22"/>
  <c r="AA7" i="19"/>
  <c r="AB7" i="19"/>
  <c r="AI7" i="19"/>
  <c r="AA8" i="19"/>
  <c r="AB8" i="19"/>
  <c r="AI8" i="19"/>
  <c r="AA9" i="19"/>
  <c r="AB9" i="19"/>
  <c r="AI9" i="19"/>
  <c r="AA10" i="19"/>
  <c r="AB10" i="19"/>
  <c r="AI10" i="19"/>
  <c r="AA11" i="19"/>
  <c r="AB11" i="19"/>
  <c r="AI11" i="19"/>
  <c r="AA12" i="19"/>
  <c r="AB12" i="19"/>
  <c r="AG12" i="19" s="1"/>
  <c r="AI12" i="19"/>
  <c r="AA13" i="19"/>
  <c r="AB13" i="19"/>
  <c r="AG13" i="19" s="1"/>
  <c r="AI13" i="19"/>
  <c r="AA14" i="19"/>
  <c r="AB14" i="19"/>
  <c r="AG14" i="19" s="1"/>
  <c r="AI14" i="19"/>
  <c r="AA15" i="19"/>
  <c r="AB15" i="19"/>
  <c r="AG15" i="19" s="1"/>
  <c r="AI15" i="19"/>
  <c r="U7" i="19"/>
  <c r="U8" i="19"/>
  <c r="U9" i="19"/>
  <c r="U10" i="19"/>
  <c r="U11" i="19"/>
  <c r="U12" i="19"/>
  <c r="U13" i="19"/>
  <c r="T27" i="19" s="1"/>
  <c r="U14" i="19"/>
  <c r="T28" i="19" s="1"/>
  <c r="U15" i="19"/>
  <c r="T29" i="19"/>
  <c r="T6" i="19"/>
  <c r="Y7" i="19"/>
  <c r="Y8" i="19"/>
  <c r="Y9" i="19"/>
  <c r="Y10" i="19"/>
  <c r="Y11" i="19"/>
  <c r="Y12" i="19"/>
  <c r="Y13" i="19"/>
  <c r="Y27" i="19" s="1"/>
  <c r="Y14" i="19"/>
  <c r="Y28" i="19" s="1"/>
  <c r="Y15" i="19"/>
  <c r="Y29" i="19" s="1"/>
  <c r="V15" i="19"/>
  <c r="V29" i="19" s="1"/>
  <c r="S7" i="19"/>
  <c r="S8" i="19"/>
  <c r="S9" i="19"/>
  <c r="S10" i="19"/>
  <c r="S11" i="19"/>
  <c r="S12" i="19"/>
  <c r="S26" i="19" s="1"/>
  <c r="S13" i="19"/>
  <c r="S27" i="19" s="1"/>
  <c r="S14" i="19"/>
  <c r="S15" i="19"/>
  <c r="S29" i="19" s="1"/>
  <c r="R7" i="19"/>
  <c r="R8" i="19"/>
  <c r="R9" i="19"/>
  <c r="R10" i="19"/>
  <c r="R11" i="19"/>
  <c r="R12" i="19"/>
  <c r="R26" i="19" s="1"/>
  <c r="R13" i="19"/>
  <c r="R27" i="19" s="1"/>
  <c r="R14" i="19"/>
  <c r="R15" i="19"/>
  <c r="Q7" i="19"/>
  <c r="Q8" i="19"/>
  <c r="Q9" i="19"/>
  <c r="Q10" i="19"/>
  <c r="Q11" i="19"/>
  <c r="Q12" i="19"/>
  <c r="Q13" i="19"/>
  <c r="Q14" i="19"/>
  <c r="Q28" i="19" s="1"/>
  <c r="Q15" i="19"/>
  <c r="Q29" i="19" s="1"/>
  <c r="P7" i="19"/>
  <c r="P8" i="19"/>
  <c r="P9" i="19"/>
  <c r="P10" i="19"/>
  <c r="P11" i="19"/>
  <c r="P12" i="19"/>
  <c r="P13" i="19"/>
  <c r="P14" i="19"/>
  <c r="P28" i="19" s="1"/>
  <c r="P15" i="19"/>
  <c r="P27" i="19"/>
  <c r="P29" i="19"/>
  <c r="L7" i="19"/>
  <c r="L8" i="19"/>
  <c r="L9" i="19"/>
  <c r="L10" i="19"/>
  <c r="L11" i="19"/>
  <c r="L12" i="19"/>
  <c r="L13" i="19"/>
  <c r="L14" i="19"/>
  <c r="L15" i="19"/>
  <c r="L6" i="19"/>
  <c r="AH4" i="19"/>
  <c r="AE4" i="19"/>
  <c r="AB6" i="19"/>
  <c r="V11" i="22"/>
  <c r="AC3" i="19"/>
  <c r="AA6" i="19"/>
  <c r="J144" i="12"/>
  <c r="AB11" i="22"/>
  <c r="AO8" i="22"/>
  <c r="AO58" i="22" s="1"/>
  <c r="AL8" i="22"/>
  <c r="AL55" i="22" l="1"/>
  <c r="AJ11" i="20"/>
  <c r="AJ14" i="20"/>
  <c r="AJ17" i="20"/>
  <c r="AJ15" i="20"/>
  <c r="AK14" i="20"/>
  <c r="AK17" i="20"/>
  <c r="AK15" i="20"/>
  <c r="AK21" i="20"/>
  <c r="AJ22" i="20"/>
  <c r="AO54" i="22"/>
  <c r="AJ12" i="20"/>
  <c r="AK25" i="20"/>
  <c r="AJ16" i="20"/>
  <c r="AI21" i="20"/>
  <c r="AI25" i="20"/>
  <c r="AI29" i="20"/>
  <c r="AI28" i="20"/>
  <c r="AI20" i="20"/>
  <c r="AI24" i="20"/>
  <c r="AI19" i="20"/>
  <c r="AI23" i="20"/>
  <c r="AI27" i="20"/>
  <c r="AK16" i="20"/>
  <c r="AJ21" i="20"/>
  <c r="AJ25" i="20"/>
  <c r="AJ29" i="20"/>
  <c r="AJ20" i="20"/>
  <c r="AJ24" i="20"/>
  <c r="AJ28" i="20"/>
  <c r="AJ19" i="20"/>
  <c r="AJ23" i="20"/>
  <c r="AJ27" i="20"/>
  <c r="AO68" i="22"/>
  <c r="AK20" i="20"/>
  <c r="AK24" i="20"/>
  <c r="AK28" i="20"/>
  <c r="AK19" i="20"/>
  <c r="AK23" i="20"/>
  <c r="AK27" i="20"/>
  <c r="AK30" i="20"/>
  <c r="AI22" i="20"/>
  <c r="AJ30" i="20"/>
  <c r="AL25" i="22"/>
  <c r="AO103" i="22"/>
  <c r="AK13" i="20"/>
  <c r="AK11" i="20"/>
  <c r="AK10" i="20"/>
  <c r="AJ10" i="20"/>
  <c r="AI12" i="20"/>
  <c r="AI10" i="20"/>
  <c r="AI11" i="20"/>
  <c r="AO48" i="22"/>
  <c r="AO105" i="22"/>
  <c r="AO33" i="22"/>
  <c r="AL32" i="22"/>
  <c r="AO93" i="22"/>
  <c r="AL35" i="22"/>
  <c r="AO81" i="22"/>
  <c r="AO32" i="22"/>
  <c r="AO31" i="22"/>
  <c r="AO30" i="22"/>
  <c r="AL82" i="22"/>
  <c r="AO36" i="22"/>
  <c r="AO35" i="22"/>
  <c r="AO34" i="22"/>
  <c r="AO19" i="22"/>
  <c r="AL18" i="22"/>
  <c r="AO82" i="22"/>
  <c r="AO56" i="22"/>
  <c r="AO21" i="22"/>
  <c r="AO44" i="22"/>
  <c r="AO57" i="22"/>
  <c r="AO23" i="22"/>
  <c r="AL19" i="22"/>
  <c r="AO18" i="22"/>
  <c r="AO69" i="22"/>
  <c r="AO43" i="22"/>
  <c r="AN35" i="22"/>
  <c r="AO72" i="22"/>
  <c r="AO71" i="22"/>
  <c r="AO45" i="22"/>
  <c r="AO22" i="22"/>
  <c r="AO104" i="22"/>
  <c r="AO46" i="22"/>
  <c r="AL71" i="22"/>
  <c r="AL67" i="22"/>
  <c r="AL34" i="22"/>
  <c r="AL17" i="22"/>
  <c r="AL16" i="22"/>
  <c r="AL87" i="22"/>
  <c r="AL30" i="22"/>
  <c r="AL85" i="22"/>
  <c r="AL44" i="22"/>
  <c r="AL104" i="22"/>
  <c r="AL109" i="22"/>
  <c r="AL107" i="22"/>
  <c r="AL92" i="22"/>
  <c r="AL61" i="22"/>
  <c r="AE14" i="19"/>
  <c r="AL90" i="22"/>
  <c r="AL58" i="22"/>
  <c r="AL83" i="22"/>
  <c r="AO83" i="22"/>
  <c r="AL70" i="22"/>
  <c r="AL13" i="22"/>
  <c r="AN43" i="22"/>
  <c r="AL45" i="22"/>
  <c r="AO92" i="22"/>
  <c r="AL68" i="22"/>
  <c r="AL54" i="22"/>
  <c r="AN103" i="22"/>
  <c r="AO106" i="22"/>
  <c r="AL33" i="22"/>
  <c r="AL93" i="22"/>
  <c r="AL106" i="22"/>
  <c r="AL97" i="22"/>
  <c r="AO91" i="22"/>
  <c r="AO90" i="22"/>
  <c r="AO67" i="22"/>
  <c r="AL53" i="22"/>
  <c r="AL52" i="22"/>
  <c r="AL51" i="22"/>
  <c r="AL23" i="22"/>
  <c r="AN92" i="22"/>
  <c r="AN23" i="22"/>
  <c r="AN80" i="22"/>
  <c r="AL80" i="22"/>
  <c r="AL78" i="22"/>
  <c r="AN79" i="22"/>
  <c r="AN19" i="22"/>
  <c r="AO78" i="22"/>
  <c r="AL77" i="22"/>
  <c r="AL76" i="22"/>
  <c r="AL75" i="22"/>
  <c r="AL72" i="22"/>
  <c r="AL43" i="22"/>
  <c r="AL22" i="22"/>
  <c r="AN68" i="22"/>
  <c r="AN16" i="22"/>
  <c r="AL103" i="22"/>
  <c r="AO42" i="22"/>
  <c r="AN67" i="22"/>
  <c r="AO24" i="22"/>
  <c r="AL41" i="22"/>
  <c r="AL40" i="22"/>
  <c r="AL39" i="22"/>
  <c r="AL36" i="22"/>
  <c r="AN55" i="22"/>
  <c r="AO70" i="22"/>
  <c r="AN52" i="22"/>
  <c r="AO107" i="22"/>
  <c r="AL102" i="22"/>
  <c r="AL91" i="22"/>
  <c r="AO80" i="22"/>
  <c r="AL65" i="22"/>
  <c r="AL64" i="22"/>
  <c r="AL63" i="22"/>
  <c r="AO55" i="22"/>
  <c r="AL31" i="22"/>
  <c r="AL21" i="22"/>
  <c r="AN102" i="22"/>
  <c r="AN90" i="22"/>
  <c r="AN78" i="22"/>
  <c r="AN66" i="22"/>
  <c r="AN54" i="22"/>
  <c r="AN42" i="22"/>
  <c r="AN30" i="22"/>
  <c r="AN18" i="22"/>
  <c r="AO60" i="22"/>
  <c r="AL46" i="22"/>
  <c r="AL15" i="22"/>
  <c r="AO12" i="22"/>
  <c r="AN31" i="22"/>
  <c r="AL96" i="22"/>
  <c r="AO95" i="22"/>
  <c r="AL60" i="22"/>
  <c r="AO59" i="22"/>
  <c r="AO20" i="22"/>
  <c r="AL12" i="22"/>
  <c r="AN101" i="22"/>
  <c r="AN89" i="22"/>
  <c r="AN77" i="22"/>
  <c r="AN65" i="22"/>
  <c r="AN53" i="22"/>
  <c r="AN41" i="22"/>
  <c r="AN29" i="22"/>
  <c r="AN17" i="22"/>
  <c r="AN56" i="22"/>
  <c r="AO108" i="22"/>
  <c r="AO102" i="22"/>
  <c r="AN100" i="22"/>
  <c r="AN88" i="22"/>
  <c r="AN76" i="22"/>
  <c r="AN64" i="22"/>
  <c r="AN40" i="22"/>
  <c r="AN28" i="22"/>
  <c r="AO84" i="22"/>
  <c r="AL95" i="22"/>
  <c r="AO79" i="22"/>
  <c r="AL69" i="22"/>
  <c r="AL59" i="22"/>
  <c r="AL20" i="22"/>
  <c r="AN99" i="22"/>
  <c r="AN87" i="22"/>
  <c r="AN75" i="22"/>
  <c r="AN63" i="22"/>
  <c r="AN51" i="22"/>
  <c r="AN39" i="22"/>
  <c r="AN27" i="22"/>
  <c r="AN15" i="22"/>
  <c r="AL66" i="22"/>
  <c r="AL56" i="22"/>
  <c r="AO94" i="22"/>
  <c r="AL88" i="22"/>
  <c r="AL49" i="22"/>
  <c r="AL29" i="22"/>
  <c r="AL28" i="22"/>
  <c r="AL27" i="22"/>
  <c r="AL79" i="22"/>
  <c r="AL24" i="22"/>
  <c r="AN109" i="22"/>
  <c r="AN97" i="22"/>
  <c r="AN85" i="22"/>
  <c r="AN73" i="22"/>
  <c r="AN61" i="22"/>
  <c r="AN49" i="22"/>
  <c r="AN37" i="22"/>
  <c r="AN25" i="22"/>
  <c r="AN13" i="22"/>
  <c r="AO66" i="22"/>
  <c r="AL81" i="22"/>
  <c r="AL84" i="22"/>
  <c r="AL94" i="22"/>
  <c r="AL48" i="22"/>
  <c r="AO47" i="22"/>
  <c r="AN108" i="22"/>
  <c r="AN96" i="22"/>
  <c r="AN84" i="22"/>
  <c r="AN72" i="22"/>
  <c r="AN60" i="22"/>
  <c r="AN48" i="22"/>
  <c r="AN36" i="22"/>
  <c r="AN24" i="22"/>
  <c r="AN12" i="22"/>
  <c r="AN47" i="22"/>
  <c r="AO96" i="22"/>
  <c r="AL57" i="22"/>
  <c r="AL47" i="22"/>
  <c r="AN106" i="22"/>
  <c r="AN94" i="22"/>
  <c r="AN82" i="22"/>
  <c r="AN46" i="22"/>
  <c r="AL42" i="22"/>
  <c r="AL37" i="22"/>
  <c r="AN105" i="22"/>
  <c r="AN93" i="22"/>
  <c r="AN81" i="22"/>
  <c r="AN69" i="22"/>
  <c r="AN57" i="22"/>
  <c r="AN45" i="22"/>
  <c r="AN33" i="22"/>
  <c r="AN21" i="22"/>
  <c r="AL101" i="22"/>
  <c r="AO98" i="22"/>
  <c r="AO86" i="22"/>
  <c r="AL108" i="22"/>
  <c r="AO100" i="22"/>
  <c r="AO88" i="22"/>
  <c r="AO76" i="22"/>
  <c r="AO64" i="22"/>
  <c r="AO52" i="22"/>
  <c r="AO40" i="22"/>
  <c r="AO28" i="22"/>
  <c r="AO16" i="22"/>
  <c r="AL26" i="22"/>
  <c r="AL105" i="22"/>
  <c r="AO85" i="22"/>
  <c r="AO73" i="22"/>
  <c r="AO61" i="22"/>
  <c r="AO49" i="22"/>
  <c r="AO37" i="22"/>
  <c r="AO25" i="22"/>
  <c r="AO13" i="22"/>
  <c r="AL62" i="22"/>
  <c r="AO109" i="22"/>
  <c r="AL100" i="22"/>
  <c r="AO97" i="22"/>
  <c r="AL14" i="22"/>
  <c r="AO99" i="22"/>
  <c r="AO87" i="22"/>
  <c r="AO75" i="22"/>
  <c r="AO63" i="22"/>
  <c r="AO51" i="22"/>
  <c r="AO39" i="22"/>
  <c r="AO27" i="22"/>
  <c r="AO15" i="22"/>
  <c r="AL74" i="22"/>
  <c r="AL38" i="22"/>
  <c r="AL73" i="22"/>
  <c r="AL86" i="22"/>
  <c r="AL50" i="22"/>
  <c r="AO101" i="22"/>
  <c r="AO89" i="22"/>
  <c r="AO77" i="22"/>
  <c r="AO65" i="22"/>
  <c r="AO53" i="22"/>
  <c r="AO41" i="22"/>
  <c r="AO29" i="22"/>
  <c r="AO17" i="22"/>
  <c r="AL99" i="22"/>
  <c r="AL110" i="22"/>
  <c r="AL98" i="22"/>
  <c r="AL89" i="22"/>
  <c r="AO74" i="22"/>
  <c r="AO62" i="22"/>
  <c r="AO50" i="22"/>
  <c r="AO38" i="22"/>
  <c r="AO26" i="22"/>
  <c r="AO14" i="22"/>
  <c r="AO110" i="22"/>
  <c r="AH14" i="19"/>
  <c r="AE13" i="19"/>
  <c r="AE10" i="19"/>
  <c r="AH10" i="19"/>
  <c r="AE9" i="19"/>
  <c r="AH9" i="19"/>
  <c r="AH13" i="19"/>
  <c r="AH7" i="19"/>
  <c r="AH11" i="19"/>
  <c r="AE15" i="19"/>
  <c r="AH12" i="19"/>
  <c r="AE11" i="19"/>
  <c r="AH8" i="19"/>
  <c r="AE7" i="19"/>
  <c r="AH15" i="19"/>
  <c r="AE12" i="19"/>
  <c r="AE8" i="19"/>
  <c r="AH6" i="19"/>
  <c r="AE6" i="19"/>
  <c r="AI162" i="22" l="1"/>
  <c r="AI8" i="22" s="1"/>
  <c r="B80" i="12"/>
  <c r="H80" i="12" s="1"/>
  <c r="I80" i="12" s="1"/>
  <c r="M80" i="12" s="1"/>
  <c r="B79" i="12"/>
  <c r="H79" i="12" s="1"/>
  <c r="I79" i="12" s="1"/>
  <c r="M79" i="12" s="1"/>
  <c r="B78" i="12"/>
  <c r="H78" i="12" s="1"/>
  <c r="I78" i="12" s="1"/>
  <c r="M78" i="12" s="1"/>
  <c r="P78" i="12" s="1"/>
  <c r="B77" i="12"/>
  <c r="H77" i="12" s="1"/>
  <c r="P11" i="22"/>
  <c r="R11" i="22"/>
  <c r="N11" i="22"/>
  <c r="O11" i="22" s="1"/>
  <c r="AP11" i="22"/>
  <c r="I77" i="12" l="1"/>
  <c r="M77" i="12"/>
  <c r="AI11" i="22"/>
  <c r="AI22" i="22"/>
  <c r="AI23" i="22"/>
  <c r="AI42" i="22"/>
  <c r="AI57" i="22"/>
  <c r="AI71" i="22"/>
  <c r="AI72" i="22"/>
  <c r="AI73" i="22"/>
  <c r="AI86" i="22"/>
  <c r="AI98" i="22"/>
  <c r="AI99" i="22"/>
  <c r="AI21" i="22"/>
  <c r="AI41" i="22"/>
  <c r="AI56" i="22"/>
  <c r="AI70" i="22"/>
  <c r="AI85" i="22"/>
  <c r="AI97" i="22"/>
  <c r="AI110" i="22"/>
  <c r="AI18" i="22"/>
  <c r="AI19" i="22"/>
  <c r="AI20" i="22"/>
  <c r="AI40" i="22"/>
  <c r="AI54" i="22"/>
  <c r="AI55" i="22"/>
  <c r="AI68" i="22"/>
  <c r="AI69" i="22"/>
  <c r="AI84" i="22"/>
  <c r="AI96" i="22"/>
  <c r="AI109" i="22"/>
  <c r="AI17" i="22"/>
  <c r="AI39" i="22"/>
  <c r="AI53" i="22"/>
  <c r="AI67" i="22"/>
  <c r="AI82" i="22"/>
  <c r="AI83" i="22"/>
  <c r="AI95" i="22"/>
  <c r="AI108" i="22"/>
  <c r="AI80" i="22"/>
  <c r="AI45" i="22"/>
  <c r="AI60" i="22"/>
  <c r="AI16" i="22"/>
  <c r="AI38" i="22"/>
  <c r="AI52" i="22"/>
  <c r="AI66" i="22"/>
  <c r="AI81" i="22"/>
  <c r="AI94" i="22"/>
  <c r="AI107" i="22"/>
  <c r="AI93" i="22"/>
  <c r="AI106" i="22"/>
  <c r="AI24" i="22"/>
  <c r="AI59" i="22"/>
  <c r="AI15" i="22"/>
  <c r="AI34" i="22"/>
  <c r="AI35" i="22"/>
  <c r="AI36" i="22"/>
  <c r="AI37" i="22"/>
  <c r="AI51" i="22"/>
  <c r="AI65" i="22"/>
  <c r="AI58" i="22"/>
  <c r="AI14" i="22"/>
  <c r="AI30" i="22"/>
  <c r="AI31" i="22"/>
  <c r="AI32" i="22"/>
  <c r="AI33" i="22"/>
  <c r="AI50" i="22"/>
  <c r="AI64" i="22"/>
  <c r="AI79" i="22"/>
  <c r="AI92" i="22"/>
  <c r="AI105" i="22"/>
  <c r="AI43" i="22"/>
  <c r="AI13" i="22"/>
  <c r="AI29" i="22"/>
  <c r="AI48" i="22"/>
  <c r="AI49" i="22"/>
  <c r="AI63" i="22"/>
  <c r="AI78" i="22"/>
  <c r="AI91" i="22"/>
  <c r="AI103" i="22"/>
  <c r="AI104" i="22"/>
  <c r="AI12" i="22"/>
  <c r="AI74" i="22"/>
  <c r="AI28" i="22"/>
  <c r="AI47" i="22"/>
  <c r="AI62" i="22"/>
  <c r="AI77" i="22"/>
  <c r="AI90" i="22"/>
  <c r="AI102" i="22"/>
  <c r="AI75" i="22"/>
  <c r="AI27" i="22"/>
  <c r="AI46" i="22"/>
  <c r="AI61" i="22"/>
  <c r="AI76" i="22"/>
  <c r="AI89" i="22"/>
  <c r="AI101" i="22"/>
  <c r="AI25" i="22"/>
  <c r="AI26" i="22"/>
  <c r="AI44" i="22"/>
  <c r="AI88" i="22"/>
  <c r="AI100" i="22"/>
  <c r="AI87" i="22"/>
  <c r="T77" i="12"/>
  <c r="U77" i="12" s="1"/>
  <c r="P77" i="12"/>
  <c r="T79" i="12"/>
  <c r="U79" i="12" s="1"/>
  <c r="V79" i="12" s="1"/>
  <c r="P79" i="12"/>
  <c r="Q79" i="12" s="1"/>
  <c r="R79" i="12" s="1"/>
  <c r="P80" i="12"/>
  <c r="Q80" i="12" s="1"/>
  <c r="T80" i="12"/>
  <c r="Q78" i="12"/>
  <c r="R78" i="12" s="1"/>
  <c r="T78" i="12"/>
  <c r="W11" i="22"/>
  <c r="AO11" i="22"/>
  <c r="AL11" i="22"/>
  <c r="E162" i="22"/>
  <c r="R80" i="12" l="1"/>
  <c r="V77" i="12"/>
  <c r="AH77" i="12" s="1"/>
  <c r="Q77" i="12"/>
  <c r="R77" i="12" s="1"/>
  <c r="U80" i="12"/>
  <c r="V80" i="12" s="1"/>
  <c r="AF79" i="12"/>
  <c r="X79" i="12"/>
  <c r="Z79" i="12"/>
  <c r="AD79" i="12"/>
  <c r="AE79" i="12"/>
  <c r="AI79" i="12"/>
  <c r="AJ79" i="12"/>
  <c r="AP79" i="12"/>
  <c r="AL79" i="12"/>
  <c r="AK79" i="12"/>
  <c r="Y79" i="12"/>
  <c r="AM79" i="12"/>
  <c r="AA79" i="12"/>
  <c r="AH79" i="12"/>
  <c r="AC79" i="12"/>
  <c r="AB79" i="12"/>
  <c r="AO79" i="12"/>
  <c r="AG79" i="12"/>
  <c r="AN79" i="12"/>
  <c r="U78" i="12"/>
  <c r="V78" i="12" s="1"/>
  <c r="AM77" i="12" l="1"/>
  <c r="AB77" i="12"/>
  <c r="AN77" i="12"/>
  <c r="AE80" i="12"/>
  <c r="AJ80" i="12"/>
  <c r="AO80" i="12"/>
  <c r="AG80" i="12"/>
  <c r="AN80" i="12"/>
  <c r="AB80" i="12"/>
  <c r="AA80" i="12"/>
  <c r="AL80" i="12"/>
  <c r="AK80" i="12"/>
  <c r="X80" i="12"/>
  <c r="AH80" i="12"/>
  <c r="AC80" i="12"/>
  <c r="AF80" i="12"/>
  <c r="AM80" i="12"/>
  <c r="AP80" i="12"/>
  <c r="AI80" i="12"/>
  <c r="Z80" i="12"/>
  <c r="AD80" i="12"/>
  <c r="Y80" i="12"/>
  <c r="AA77" i="12"/>
  <c r="AL77" i="12"/>
  <c r="Z77" i="12"/>
  <c r="AK77" i="12"/>
  <c r="Y77" i="12"/>
  <c r="AP77" i="12"/>
  <c r="AD77" i="12"/>
  <c r="AG77" i="12"/>
  <c r="AF77" i="12"/>
  <c r="AE77" i="12"/>
  <c r="AJ77" i="12"/>
  <c r="X77" i="12"/>
  <c r="AO77" i="12"/>
  <c r="AI77" i="12"/>
  <c r="AC77" i="12"/>
  <c r="AG78" i="12"/>
  <c r="Y78" i="12"/>
  <c r="AA78" i="12"/>
  <c r="AE78" i="12"/>
  <c r="AF78" i="12"/>
  <c r="AI78" i="12"/>
  <c r="AJ78" i="12"/>
  <c r="AM78" i="12"/>
  <c r="AK78" i="12"/>
  <c r="AP78" i="12"/>
  <c r="X78" i="12"/>
  <c r="AD78" i="12"/>
  <c r="AO78" i="12"/>
  <c r="AC78" i="12"/>
  <c r="AL78" i="12"/>
  <c r="Z78" i="12"/>
  <c r="AN78" i="12"/>
  <c r="AB78" i="12"/>
  <c r="AH78" i="12"/>
  <c r="I143" i="12"/>
  <c r="J143" i="12" s="1"/>
  <c r="M143" i="12" s="1"/>
  <c r="AG9" i="22" s="1"/>
  <c r="I142" i="12"/>
  <c r="J142" i="12" s="1"/>
  <c r="M142" i="12" s="1"/>
  <c r="S11" i="22"/>
  <c r="I128" i="12"/>
  <c r="I137" i="12"/>
  <c r="I139" i="12"/>
  <c r="L11" i="22"/>
  <c r="M139" i="12" l="1"/>
  <c r="T139" i="12" s="1"/>
  <c r="U139" i="12" s="1"/>
  <c r="V139" i="12" s="1"/>
  <c r="F139" i="12"/>
  <c r="M128" i="12"/>
  <c r="AH181" i="22" s="1"/>
  <c r="F128" i="12"/>
  <c r="J137" i="12"/>
  <c r="M137" i="12" s="1"/>
  <c r="P137" i="12" s="1"/>
  <c r="Q137" i="12" s="1"/>
  <c r="R137" i="12" s="1"/>
  <c r="F137" i="12"/>
  <c r="AG12" i="22"/>
  <c r="AG11" i="22"/>
  <c r="DL181" i="22"/>
  <c r="EJ181" i="22"/>
  <c r="ES181" i="22"/>
  <c r="FH181" i="22"/>
  <c r="T143" i="12"/>
  <c r="U143" i="12" s="1"/>
  <c r="CZ181" i="22"/>
  <c r="P142" i="12"/>
  <c r="Q142" i="12" s="1"/>
  <c r="R142" i="12" s="1"/>
  <c r="AC8" i="22"/>
  <c r="BO181" i="22"/>
  <c r="FF181" i="22"/>
  <c r="CW181" i="22"/>
  <c r="AQ181" i="22"/>
  <c r="AP181" i="22"/>
  <c r="AD181" i="22"/>
  <c r="CK181" i="22"/>
  <c r="BY181" i="22"/>
  <c r="BA181" i="22"/>
  <c r="FD181" i="22"/>
  <c r="ER181" i="22"/>
  <c r="EF181" i="22"/>
  <c r="DH181" i="22"/>
  <c r="CV181" i="22"/>
  <c r="CU181" i="22"/>
  <c r="BW181" i="22"/>
  <c r="BK181" i="22"/>
  <c r="AY181" i="22"/>
  <c r="AM181" i="22"/>
  <c r="DR181" i="22"/>
  <c r="BV181" i="22"/>
  <c r="Z181" i="22"/>
  <c r="FA181" i="22"/>
  <c r="DQ181" i="22"/>
  <c r="BU181" i="22"/>
  <c r="AK181" i="22"/>
  <c r="DP181" i="22"/>
  <c r="CR181" i="22"/>
  <c r="BH181" i="22"/>
  <c r="AV181" i="22"/>
  <c r="AJ181" i="22"/>
  <c r="X181" i="22"/>
  <c r="FK181" i="22"/>
  <c r="EY181" i="22"/>
  <c r="EM181" i="22"/>
  <c r="EA181" i="22"/>
  <c r="DO181" i="22"/>
  <c r="DC181" i="22"/>
  <c r="CQ181" i="22"/>
  <c r="DN181" i="22"/>
  <c r="DB181" i="22"/>
  <c r="CP181" i="22"/>
  <c r="BR181" i="22"/>
  <c r="P143" i="12"/>
  <c r="Q143" i="12" s="1"/>
  <c r="T128" i="12"/>
  <c r="U128" i="12" s="1"/>
  <c r="V128" i="12" s="1"/>
  <c r="FI181" i="22"/>
  <c r="EW181" i="22"/>
  <c r="EK181" i="22"/>
  <c r="DY181" i="22"/>
  <c r="DM181" i="22"/>
  <c r="DA181" i="22"/>
  <c r="CC181" i="22"/>
  <c r="BE181" i="22"/>
  <c r="AS181" i="22"/>
  <c r="T142" i="12"/>
  <c r="U142" i="12" s="1"/>
  <c r="AB27" i="26"/>
  <c r="AB11" i="26" s="1"/>
  <c r="J164" i="12"/>
  <c r="J163" i="12"/>
  <c r="J162" i="12"/>
  <c r="J161" i="12"/>
  <c r="J160" i="12"/>
  <c r="J159" i="12"/>
  <c r="Y27" i="26"/>
  <c r="Z18" i="26" s="1"/>
  <c r="V27" i="26"/>
  <c r="W18" i="26" s="1"/>
  <c r="S27" i="26"/>
  <c r="T18" i="26" s="1"/>
  <c r="L18" i="26"/>
  <c r="V12" i="26" l="1"/>
  <c r="AB16" i="26"/>
  <c r="BN181" i="22"/>
  <c r="BG181" i="22"/>
  <c r="AL181" i="22"/>
  <c r="CM181" i="22"/>
  <c r="CE181" i="22"/>
  <c r="BJ181" i="22"/>
  <c r="ED181" i="22"/>
  <c r="CH181" i="22"/>
  <c r="AF181" i="22"/>
  <c r="BC181" i="22"/>
  <c r="FJ181" i="22"/>
  <c r="DE181" i="22"/>
  <c r="BX181" i="22"/>
  <c r="FC181" i="22"/>
  <c r="DZ181" i="22"/>
  <c r="EB181" i="22"/>
  <c r="DG181" i="22"/>
  <c r="CN181" i="22"/>
  <c r="EL181" i="22"/>
  <c r="EN181" i="22"/>
  <c r="DS181" i="22"/>
  <c r="DX181" i="22"/>
  <c r="P128" i="12"/>
  <c r="Q128" i="12" s="1"/>
  <c r="R128" i="12" s="1"/>
  <c r="EX181" i="22"/>
  <c r="EZ181" i="22"/>
  <c r="AZ181" i="22"/>
  <c r="FB181" i="22"/>
  <c r="AG181" i="22"/>
  <c r="EC181" i="22"/>
  <c r="Y181" i="22"/>
  <c r="CJ181" i="22"/>
  <c r="BD181" i="22"/>
  <c r="FE181" i="22"/>
  <c r="FG181" i="22"/>
  <c r="DV181" i="22"/>
  <c r="BP181" i="22"/>
  <c r="CA181" i="22"/>
  <c r="CL181" i="22"/>
  <c r="W218" i="22"/>
  <c r="Y218" i="22" s="1"/>
  <c r="P139" i="12"/>
  <c r="Q139" i="12" s="1"/>
  <c r="R139" i="12" s="1"/>
  <c r="W221" i="22"/>
  <c r="X221" i="22" s="1"/>
  <c r="W208" i="22"/>
  <c r="Y208" i="22" s="1"/>
  <c r="DK181" i="22"/>
  <c r="EP181" i="22"/>
  <c r="W181" i="22"/>
  <c r="AX181" i="22"/>
  <c r="CI181" i="22"/>
  <c r="DT181" i="22"/>
  <c r="BB181" i="22"/>
  <c r="EV181" i="22"/>
  <c r="AR181" i="22"/>
  <c r="DU181" i="22"/>
  <c r="ET181" i="22"/>
  <c r="AE181" i="22"/>
  <c r="CX181" i="22"/>
  <c r="CB181" i="22"/>
  <c r="AT181" i="22"/>
  <c r="AI181" i="22"/>
  <c r="CS181" i="22"/>
  <c r="BT181" i="22"/>
  <c r="AW181" i="22"/>
  <c r="CT181" i="22"/>
  <c r="AB181" i="22"/>
  <c r="AC181" i="22"/>
  <c r="DW181" i="22"/>
  <c r="CY181" i="22"/>
  <c r="EQ181" i="22"/>
  <c r="W217" i="22"/>
  <c r="Y217" i="22" s="1"/>
  <c r="BQ181" i="22"/>
  <c r="BF181" i="22"/>
  <c r="AU181" i="22"/>
  <c r="EO181" i="22"/>
  <c r="CF181" i="22"/>
  <c r="BI181" i="22"/>
  <c r="DF181" i="22"/>
  <c r="AN181" i="22"/>
  <c r="AO181" i="22"/>
  <c r="EU181" i="22"/>
  <c r="EG181" i="22"/>
  <c r="DI181" i="22"/>
  <c r="BZ181" i="22"/>
  <c r="W211" i="22"/>
  <c r="X211" i="22" s="1"/>
  <c r="CO181" i="22"/>
  <c r="CD181" i="22"/>
  <c r="BS181" i="22"/>
  <c r="W213" i="22"/>
  <c r="X213" i="22" s="1"/>
  <c r="DD181" i="22"/>
  <c r="CG181" i="22"/>
  <c r="AA181" i="22"/>
  <c r="BL181" i="22"/>
  <c r="BM181" i="22"/>
  <c r="EE181" i="22"/>
  <c r="EH181" i="22"/>
  <c r="DJ181" i="22"/>
  <c r="EI181" i="22"/>
  <c r="W220" i="22"/>
  <c r="Y220" i="22" s="1"/>
  <c r="W210" i="22"/>
  <c r="X210" i="22" s="1"/>
  <c r="W214" i="22"/>
  <c r="X214" i="22" s="1"/>
  <c r="W222" i="22"/>
  <c r="Y222" i="22" s="1"/>
  <c r="W207" i="22"/>
  <c r="X207" i="22" s="1"/>
  <c r="W219" i="22"/>
  <c r="Y219" i="22" s="1"/>
  <c r="W215" i="22"/>
  <c r="X215" i="22" s="1"/>
  <c r="Z14" i="22" s="1"/>
  <c r="W212" i="22"/>
  <c r="Y212" i="22" s="1"/>
  <c r="W216" i="22"/>
  <c r="X216" i="22" s="1"/>
  <c r="W203" i="22"/>
  <c r="X203" i="22" s="1"/>
  <c r="W204" i="22"/>
  <c r="Y204" i="22" s="1"/>
  <c r="W209" i="22"/>
  <c r="Y209" i="22" s="1"/>
  <c r="W205" i="22"/>
  <c r="X205" i="22" s="1"/>
  <c r="T137" i="12"/>
  <c r="U137" i="12" s="1"/>
  <c r="V137" i="12" s="1"/>
  <c r="W206" i="22"/>
  <c r="Y206" i="22" s="1"/>
  <c r="V15" i="26"/>
  <c r="S12" i="26"/>
  <c r="Y15" i="26"/>
  <c r="V143" i="12"/>
  <c r="Z143" i="12" s="1"/>
  <c r="R143" i="12"/>
  <c r="V142" i="12"/>
  <c r="AH142" i="12" s="1"/>
  <c r="AG128" i="12"/>
  <c r="AH128" i="12"/>
  <c r="AI128" i="12"/>
  <c r="X128" i="12"/>
  <c r="AJ128" i="12"/>
  <c r="Y128" i="12"/>
  <c r="AK128" i="12"/>
  <c r="Z128" i="12"/>
  <c r="AL128" i="12"/>
  <c r="AA128" i="12"/>
  <c r="AM128" i="12"/>
  <c r="AC128" i="12"/>
  <c r="AO128" i="12"/>
  <c r="AD128" i="12"/>
  <c r="AP128" i="12"/>
  <c r="AE128" i="12"/>
  <c r="AF128" i="12"/>
  <c r="AB128" i="12"/>
  <c r="AN128" i="12"/>
  <c r="AF139" i="12"/>
  <c r="AG139" i="12"/>
  <c r="AH139" i="12"/>
  <c r="AI139" i="12"/>
  <c r="X139" i="12"/>
  <c r="AJ139" i="12"/>
  <c r="Y139" i="12"/>
  <c r="AK139" i="12"/>
  <c r="Z139" i="12"/>
  <c r="AL139" i="12"/>
  <c r="AA139" i="12"/>
  <c r="AM139" i="12"/>
  <c r="AN139" i="12"/>
  <c r="AC139" i="12"/>
  <c r="AO139" i="12"/>
  <c r="AD139" i="12"/>
  <c r="AP139" i="12"/>
  <c r="AE139" i="12"/>
  <c r="AB139" i="12"/>
  <c r="AB12" i="26"/>
  <c r="AC18" i="26"/>
  <c r="AB15" i="26"/>
  <c r="AB13" i="26"/>
  <c r="AB14" i="26"/>
  <c r="Y12" i="26"/>
  <c r="S11" i="26"/>
  <c r="V14" i="26"/>
  <c r="S14" i="26"/>
  <c r="Y14" i="26"/>
  <c r="V13" i="26"/>
  <c r="V11" i="26"/>
  <c r="Y11" i="26"/>
  <c r="V16" i="26"/>
  <c r="S13" i="26"/>
  <c r="Y16" i="26"/>
  <c r="Y13" i="26"/>
  <c r="S16" i="26"/>
  <c r="S15" i="26"/>
  <c r="X219" i="22" l="1"/>
  <c r="Y221" i="22"/>
  <c r="X218" i="22"/>
  <c r="Y216" i="22"/>
  <c r="Z12" i="22" s="1"/>
  <c r="Y203" i="22"/>
  <c r="X208" i="22"/>
  <c r="Y205" i="22"/>
  <c r="Y211" i="22"/>
  <c r="Y213" i="22"/>
  <c r="Y210" i="22"/>
  <c r="X220" i="22"/>
  <c r="Y214" i="22"/>
  <c r="X206" i="22"/>
  <c r="X222" i="22"/>
  <c r="X217" i="22"/>
  <c r="Y207" i="22"/>
  <c r="X204" i="22"/>
  <c r="X212" i="22"/>
  <c r="Z11" i="22" s="1"/>
  <c r="X209" i="22"/>
  <c r="Y215" i="22"/>
  <c r="AN142" i="12"/>
  <c r="AI143" i="12"/>
  <c r="X143" i="12"/>
  <c r="AK143" i="12"/>
  <c r="Y143" i="12"/>
  <c r="AP143" i="12"/>
  <c r="AO143" i="12"/>
  <c r="AH143" i="12"/>
  <c r="AN143" i="12"/>
  <c r="AB143" i="12"/>
  <c r="AE143" i="12"/>
  <c r="AM143" i="12"/>
  <c r="AD143" i="12"/>
  <c r="AC143" i="12"/>
  <c r="AJ143" i="12"/>
  <c r="AG143" i="12"/>
  <c r="AA143" i="12"/>
  <c r="AL143" i="12"/>
  <c r="AF143" i="12"/>
  <c r="AA11" i="22"/>
  <c r="Z13" i="22"/>
  <c r="AM142" i="12"/>
  <c r="AA142" i="12"/>
  <c r="AL142" i="12"/>
  <c r="AE142" i="12"/>
  <c r="Z142" i="12"/>
  <c r="AK142" i="12"/>
  <c r="AP142" i="12"/>
  <c r="AF142" i="12"/>
  <c r="X142" i="12"/>
  <c r="Y142" i="12"/>
  <c r="AJ142" i="12"/>
  <c r="AI142" i="12"/>
  <c r="AB142" i="12"/>
  <c r="AD142" i="12"/>
  <c r="AG142" i="12"/>
  <c r="AO142" i="12"/>
  <c r="AC142" i="12"/>
  <c r="AC137" i="12"/>
  <c r="AO137" i="12"/>
  <c r="AP137" i="12"/>
  <c r="AE137" i="12"/>
  <c r="AL137" i="12"/>
  <c r="AB137" i="12"/>
  <c r="AD137" i="12"/>
  <c r="AF137" i="12"/>
  <c r="AG137" i="12"/>
  <c r="AH137" i="12"/>
  <c r="AI137" i="12"/>
  <c r="X137" i="12"/>
  <c r="AJ137" i="12"/>
  <c r="Y137" i="12"/>
  <c r="AK137" i="12"/>
  <c r="AA137" i="12"/>
  <c r="AN137" i="12"/>
  <c r="AM137" i="12"/>
  <c r="Z137" i="12"/>
  <c r="AI6" i="19"/>
  <c r="AC4" i="19"/>
  <c r="AR162" i="25"/>
  <c r="K109" i="25"/>
  <c r="C109" i="25"/>
  <c r="B109" i="25" s="1"/>
  <c r="K108" i="25"/>
  <c r="C108" i="25"/>
  <c r="B108" i="25"/>
  <c r="AW107" i="25"/>
  <c r="C107" i="25" s="1"/>
  <c r="B107" i="25" s="1"/>
  <c r="K107" i="25"/>
  <c r="AW106" i="25"/>
  <c r="C106" i="25" s="1"/>
  <c r="B106" i="25" s="1"/>
  <c r="K106" i="25"/>
  <c r="AW105" i="25"/>
  <c r="C105" i="25" s="1"/>
  <c r="B105" i="25" s="1"/>
  <c r="K105" i="25"/>
  <c r="AW104" i="25"/>
  <c r="C104" i="25" s="1"/>
  <c r="B104" i="25" s="1"/>
  <c r="K104" i="25"/>
  <c r="AW103" i="25"/>
  <c r="C103" i="25" s="1"/>
  <c r="B103" i="25" s="1"/>
  <c r="K103" i="25"/>
  <c r="AW102" i="25"/>
  <c r="C102" i="25" s="1"/>
  <c r="B102" i="25" s="1"/>
  <c r="K102" i="25"/>
  <c r="AW101" i="25"/>
  <c r="C101" i="25" s="1"/>
  <c r="B101" i="25" s="1"/>
  <c r="K101" i="25"/>
  <c r="AW100" i="25"/>
  <c r="C100" i="25" s="1"/>
  <c r="B100" i="25" s="1"/>
  <c r="K100" i="25"/>
  <c r="AW99" i="25"/>
  <c r="C99" i="25" s="1"/>
  <c r="B99" i="25" s="1"/>
  <c r="K99" i="25"/>
  <c r="AW98" i="25"/>
  <c r="C98" i="25" s="1"/>
  <c r="B98" i="25" s="1"/>
  <c r="K98" i="25"/>
  <c r="AW97" i="25"/>
  <c r="C97" i="25" s="1"/>
  <c r="B97" i="25" s="1"/>
  <c r="K97" i="25"/>
  <c r="AW96" i="25"/>
  <c r="C96" i="25" s="1"/>
  <c r="B96" i="25" s="1"/>
  <c r="K96" i="25"/>
  <c r="AW95" i="25"/>
  <c r="C95" i="25" s="1"/>
  <c r="B95" i="25" s="1"/>
  <c r="K95" i="25"/>
  <c r="AW94" i="25"/>
  <c r="C94" i="25" s="1"/>
  <c r="B94" i="25" s="1"/>
  <c r="K94" i="25"/>
  <c r="AW93" i="25"/>
  <c r="C93" i="25" s="1"/>
  <c r="B93" i="25" s="1"/>
  <c r="K93" i="25"/>
  <c r="AW92" i="25"/>
  <c r="C92" i="25" s="1"/>
  <c r="B92" i="25" s="1"/>
  <c r="K92" i="25"/>
  <c r="AW91" i="25"/>
  <c r="C91" i="25" s="1"/>
  <c r="B91" i="25" s="1"/>
  <c r="K91" i="25"/>
  <c r="AW90" i="25"/>
  <c r="C90" i="25" s="1"/>
  <c r="B90" i="25" s="1"/>
  <c r="K90" i="25"/>
  <c r="AW89" i="25"/>
  <c r="C89" i="25" s="1"/>
  <c r="B89" i="25" s="1"/>
  <c r="K89" i="25"/>
  <c r="AW88" i="25"/>
  <c r="C88" i="25" s="1"/>
  <c r="B88" i="25" s="1"/>
  <c r="K88" i="25"/>
  <c r="AW87" i="25"/>
  <c r="C87" i="25" s="1"/>
  <c r="B87" i="25" s="1"/>
  <c r="K87" i="25"/>
  <c r="AW86" i="25"/>
  <c r="C86" i="25" s="1"/>
  <c r="B86" i="25" s="1"/>
  <c r="K86" i="25"/>
  <c r="AW85" i="25"/>
  <c r="C85" i="25" s="1"/>
  <c r="B85" i="25" s="1"/>
  <c r="K85" i="25"/>
  <c r="AW84" i="25"/>
  <c r="C84" i="25" s="1"/>
  <c r="B84" i="25" s="1"/>
  <c r="K84" i="25"/>
  <c r="AW83" i="25"/>
  <c r="C83" i="25" s="1"/>
  <c r="B83" i="25" s="1"/>
  <c r="K83" i="25"/>
  <c r="AW82" i="25"/>
  <c r="C82" i="25" s="1"/>
  <c r="B82" i="25" s="1"/>
  <c r="K82" i="25"/>
  <c r="AW81" i="25"/>
  <c r="C81" i="25" s="1"/>
  <c r="B81" i="25" s="1"/>
  <c r="K81" i="25"/>
  <c r="AW80" i="25"/>
  <c r="C80" i="25" s="1"/>
  <c r="B80" i="25" s="1"/>
  <c r="K80" i="25"/>
  <c r="AW79" i="25"/>
  <c r="C79" i="25" s="1"/>
  <c r="B79" i="25" s="1"/>
  <c r="K79" i="25"/>
  <c r="AW78" i="25"/>
  <c r="C78" i="25" s="1"/>
  <c r="B78" i="25" s="1"/>
  <c r="K78" i="25"/>
  <c r="AW77" i="25"/>
  <c r="C77" i="25" s="1"/>
  <c r="B77" i="25" s="1"/>
  <c r="K77" i="25"/>
  <c r="AW76" i="25"/>
  <c r="C76" i="25" s="1"/>
  <c r="B76" i="25" s="1"/>
  <c r="K76" i="25"/>
  <c r="AW75" i="25"/>
  <c r="C75" i="25" s="1"/>
  <c r="B75" i="25" s="1"/>
  <c r="K75" i="25"/>
  <c r="AW74" i="25"/>
  <c r="C74" i="25" s="1"/>
  <c r="B74" i="25" s="1"/>
  <c r="K74" i="25"/>
  <c r="AW73" i="25"/>
  <c r="C73" i="25" s="1"/>
  <c r="B73" i="25" s="1"/>
  <c r="K73" i="25"/>
  <c r="AW72" i="25"/>
  <c r="C72" i="25" s="1"/>
  <c r="B72" i="25" s="1"/>
  <c r="K72" i="25"/>
  <c r="AW71" i="25"/>
  <c r="C71" i="25" s="1"/>
  <c r="B71" i="25" s="1"/>
  <c r="K71" i="25"/>
  <c r="AW70" i="25"/>
  <c r="C70" i="25" s="1"/>
  <c r="B70" i="25" s="1"/>
  <c r="K70" i="25"/>
  <c r="AW69" i="25"/>
  <c r="C69" i="25" s="1"/>
  <c r="B69" i="25" s="1"/>
  <c r="K69" i="25"/>
  <c r="AW68" i="25"/>
  <c r="C68" i="25" s="1"/>
  <c r="B68" i="25" s="1"/>
  <c r="K68" i="25"/>
  <c r="AW67" i="25"/>
  <c r="C67" i="25" s="1"/>
  <c r="B67" i="25" s="1"/>
  <c r="K67" i="25"/>
  <c r="AW66" i="25"/>
  <c r="C66" i="25" s="1"/>
  <c r="B66" i="25" s="1"/>
  <c r="K66" i="25"/>
  <c r="AW65" i="25"/>
  <c r="C65" i="25" s="1"/>
  <c r="B65" i="25" s="1"/>
  <c r="K65" i="25"/>
  <c r="AW64" i="25"/>
  <c r="C64" i="25" s="1"/>
  <c r="B64" i="25" s="1"/>
  <c r="K64" i="25"/>
  <c r="AW63" i="25"/>
  <c r="C63" i="25" s="1"/>
  <c r="B63" i="25" s="1"/>
  <c r="K63" i="25"/>
  <c r="AW62" i="25"/>
  <c r="C62" i="25" s="1"/>
  <c r="B62" i="25" s="1"/>
  <c r="K62" i="25"/>
  <c r="AW61" i="25"/>
  <c r="C61" i="25" s="1"/>
  <c r="B61" i="25" s="1"/>
  <c r="K61" i="25"/>
  <c r="AW60" i="25"/>
  <c r="C60" i="25" s="1"/>
  <c r="B60" i="25" s="1"/>
  <c r="K60" i="25"/>
  <c r="AW59" i="25"/>
  <c r="C59" i="25" s="1"/>
  <c r="B59" i="25" s="1"/>
  <c r="K59" i="25"/>
  <c r="AW58" i="25"/>
  <c r="C58" i="25" s="1"/>
  <c r="B58" i="25" s="1"/>
  <c r="K58" i="25"/>
  <c r="AW57" i="25"/>
  <c r="C57" i="25" s="1"/>
  <c r="B57" i="25" s="1"/>
  <c r="K57" i="25"/>
  <c r="AW56" i="25"/>
  <c r="C56" i="25" s="1"/>
  <c r="B56" i="25" s="1"/>
  <c r="K56" i="25"/>
  <c r="AW55" i="25"/>
  <c r="C55" i="25" s="1"/>
  <c r="B55" i="25" s="1"/>
  <c r="K55" i="25"/>
  <c r="AW54" i="25"/>
  <c r="C54" i="25" s="1"/>
  <c r="B54" i="25" s="1"/>
  <c r="K54" i="25"/>
  <c r="AW53" i="25"/>
  <c r="C53" i="25" s="1"/>
  <c r="B53" i="25" s="1"/>
  <c r="K53" i="25"/>
  <c r="AW52" i="25"/>
  <c r="C52" i="25" s="1"/>
  <c r="B52" i="25" s="1"/>
  <c r="K52" i="25"/>
  <c r="AW51" i="25"/>
  <c r="C51" i="25" s="1"/>
  <c r="B51" i="25" s="1"/>
  <c r="K51" i="25"/>
  <c r="AW50" i="25"/>
  <c r="C50" i="25" s="1"/>
  <c r="B50" i="25" s="1"/>
  <c r="K50" i="25"/>
  <c r="AW49" i="25"/>
  <c r="C49" i="25" s="1"/>
  <c r="B49" i="25" s="1"/>
  <c r="K49" i="25"/>
  <c r="AW48" i="25"/>
  <c r="C48" i="25" s="1"/>
  <c r="B48" i="25" s="1"/>
  <c r="K48" i="25"/>
  <c r="AW47" i="25"/>
  <c r="C47" i="25" s="1"/>
  <c r="B47" i="25" s="1"/>
  <c r="K47" i="25"/>
  <c r="AW46" i="25"/>
  <c r="C46" i="25" s="1"/>
  <c r="B46" i="25" s="1"/>
  <c r="K46" i="25"/>
  <c r="AW45" i="25"/>
  <c r="C45" i="25" s="1"/>
  <c r="B45" i="25" s="1"/>
  <c r="K45" i="25"/>
  <c r="AW44" i="25"/>
  <c r="C44" i="25" s="1"/>
  <c r="B44" i="25" s="1"/>
  <c r="K44" i="25"/>
  <c r="AW43" i="25"/>
  <c r="C43" i="25" s="1"/>
  <c r="B43" i="25" s="1"/>
  <c r="K43" i="25"/>
  <c r="AW42" i="25"/>
  <c r="C42" i="25" s="1"/>
  <c r="B42" i="25" s="1"/>
  <c r="K42" i="25"/>
  <c r="AW41" i="25"/>
  <c r="C41" i="25" s="1"/>
  <c r="B41" i="25" s="1"/>
  <c r="K41" i="25"/>
  <c r="AW40" i="25"/>
  <c r="K40" i="25"/>
  <c r="C40" i="25"/>
  <c r="B40" i="25" s="1"/>
  <c r="AW39" i="25"/>
  <c r="C39" i="25" s="1"/>
  <c r="B39" i="25" s="1"/>
  <c r="K39" i="25"/>
  <c r="AW38" i="25"/>
  <c r="C38" i="25" s="1"/>
  <c r="B38" i="25" s="1"/>
  <c r="K38" i="25"/>
  <c r="AW37" i="25"/>
  <c r="C37" i="25" s="1"/>
  <c r="B37" i="25" s="1"/>
  <c r="K37" i="25"/>
  <c r="AW36" i="25"/>
  <c r="C36" i="25" s="1"/>
  <c r="B36" i="25" s="1"/>
  <c r="K36" i="25"/>
  <c r="AW35" i="25"/>
  <c r="C35" i="25" s="1"/>
  <c r="B35" i="25" s="1"/>
  <c r="K35" i="25"/>
  <c r="AW34" i="25"/>
  <c r="C34" i="25" s="1"/>
  <c r="B34" i="25" s="1"/>
  <c r="K34" i="25"/>
  <c r="AW33" i="25"/>
  <c r="C33" i="25" s="1"/>
  <c r="B33" i="25" s="1"/>
  <c r="K33" i="25"/>
  <c r="AW32" i="25"/>
  <c r="C32" i="25" s="1"/>
  <c r="B32" i="25" s="1"/>
  <c r="K32" i="25"/>
  <c r="AW31" i="25"/>
  <c r="C31" i="25" s="1"/>
  <c r="B31" i="25" s="1"/>
  <c r="K31" i="25"/>
  <c r="AW30" i="25"/>
  <c r="C30" i="25" s="1"/>
  <c r="B30" i="25" s="1"/>
  <c r="K30" i="25"/>
  <c r="AW29" i="25"/>
  <c r="C29" i="25" s="1"/>
  <c r="B29" i="25" s="1"/>
  <c r="K29" i="25"/>
  <c r="AW28" i="25"/>
  <c r="C28" i="25" s="1"/>
  <c r="B28" i="25" s="1"/>
  <c r="K28" i="25"/>
  <c r="AW27" i="25"/>
  <c r="C27" i="25" s="1"/>
  <c r="B27" i="25" s="1"/>
  <c r="K27" i="25"/>
  <c r="AW26" i="25"/>
  <c r="C26" i="25" s="1"/>
  <c r="B26" i="25" s="1"/>
  <c r="K26" i="25"/>
  <c r="AW25" i="25"/>
  <c r="C25" i="25" s="1"/>
  <c r="B25" i="25" s="1"/>
  <c r="K25" i="25"/>
  <c r="AW24" i="25"/>
  <c r="C24" i="25" s="1"/>
  <c r="B24" i="25" s="1"/>
  <c r="K24" i="25"/>
  <c r="AW23" i="25"/>
  <c r="C23" i="25" s="1"/>
  <c r="B23" i="25" s="1"/>
  <c r="K23" i="25"/>
  <c r="AW22" i="25"/>
  <c r="C22" i="25" s="1"/>
  <c r="B22" i="25" s="1"/>
  <c r="K22" i="25"/>
  <c r="AW21" i="25"/>
  <c r="C21" i="25" s="1"/>
  <c r="B21" i="25" s="1"/>
  <c r="K21" i="25"/>
  <c r="AW20" i="25"/>
  <c r="C20" i="25" s="1"/>
  <c r="B20" i="25" s="1"/>
  <c r="K20" i="25"/>
  <c r="AW19" i="25"/>
  <c r="C19" i="25" s="1"/>
  <c r="B19" i="25" s="1"/>
  <c r="K19" i="25"/>
  <c r="AW18" i="25"/>
  <c r="C18" i="25" s="1"/>
  <c r="B18" i="25" s="1"/>
  <c r="K18" i="25"/>
  <c r="AW17" i="25"/>
  <c r="C17" i="25" s="1"/>
  <c r="B17" i="25" s="1"/>
  <c r="K17" i="25"/>
  <c r="AW16" i="25"/>
  <c r="C16" i="25" s="1"/>
  <c r="B16" i="25" s="1"/>
  <c r="K16" i="25"/>
  <c r="AW15" i="25"/>
  <c r="C15" i="25" s="1"/>
  <c r="B15" i="25" s="1"/>
  <c r="K15" i="25"/>
  <c r="AW14" i="25"/>
  <c r="AJ14" i="25"/>
  <c r="AH14" i="25"/>
  <c r="AG14" i="25"/>
  <c r="AF14" i="25"/>
  <c r="K14" i="25"/>
  <c r="AW13" i="25"/>
  <c r="AJ13" i="25"/>
  <c r="C13" i="25" s="1"/>
  <c r="B13" i="25" s="1"/>
  <c r="AH13" i="25"/>
  <c r="AG13" i="25"/>
  <c r="AF13" i="25"/>
  <c r="K13" i="25"/>
  <c r="AJ12" i="25"/>
  <c r="C12" i="25" s="1"/>
  <c r="B12" i="25" s="1"/>
  <c r="AH12" i="25"/>
  <c r="AG12" i="25"/>
  <c r="AF12" i="25"/>
  <c r="K12" i="25"/>
  <c r="AJ11" i="25"/>
  <c r="C11" i="25" s="1"/>
  <c r="B11" i="25" s="1"/>
  <c r="AH11" i="25"/>
  <c r="AG11" i="25"/>
  <c r="AF11" i="25"/>
  <c r="K11" i="25"/>
  <c r="BE10" i="25"/>
  <c r="BD10" i="25"/>
  <c r="BC10" i="25"/>
  <c r="BB10" i="25"/>
  <c r="BA10" i="25"/>
  <c r="AZ10" i="25"/>
  <c r="AY10" i="25" a="1"/>
  <c r="AY10" i="25" s="1"/>
  <c r="AX10" i="25" a="1"/>
  <c r="AX10" i="25" s="1"/>
  <c r="AW10" i="25"/>
  <c r="AV10" i="25"/>
  <c r="AU10" i="25"/>
  <c r="AT10" i="25"/>
  <c r="AS10" i="25"/>
  <c r="AR10" i="25"/>
  <c r="AQ10" i="25"/>
  <c r="AP10" i="25"/>
  <c r="AO10" i="25"/>
  <c r="AN10" i="25"/>
  <c r="AM10" i="25"/>
  <c r="AL10" i="25"/>
  <c r="AK10" i="25"/>
  <c r="AJ10" i="25"/>
  <c r="AH10" i="25"/>
  <c r="AG10" i="25"/>
  <c r="AF10" i="25"/>
  <c r="K10" i="25"/>
  <c r="AI9" i="25"/>
  <c r="Z8" i="25"/>
  <c r="Y8" i="25"/>
  <c r="X8" i="25"/>
  <c r="AU7" i="25"/>
  <c r="AS7" i="25"/>
  <c r="AR7" i="25"/>
  <c r="AP7" i="25"/>
  <c r="AO7" i="25"/>
  <c r="C14" i="25" l="1"/>
  <c r="B14" i="25" s="1"/>
  <c r="D109" i="20"/>
  <c r="B109" i="20"/>
  <c r="C109" i="20"/>
  <c r="B108" i="20"/>
  <c r="C108" i="20"/>
  <c r="D108" i="20"/>
  <c r="AC6" i="19"/>
  <c r="AC10" i="19"/>
  <c r="AC12" i="19"/>
  <c r="AC8" i="19"/>
  <c r="AC14" i="19"/>
  <c r="AC9" i="19"/>
  <c r="AC11" i="19"/>
  <c r="AC15" i="19"/>
  <c r="AC13" i="19"/>
  <c r="AC7" i="19"/>
  <c r="C10" i="25"/>
  <c r="I48" i="12"/>
  <c r="M48" i="12"/>
  <c r="T48" i="12" s="1"/>
  <c r="M16" i="12"/>
  <c r="D26" i="21" s="1"/>
  <c r="F26" i="21" s="1"/>
  <c r="G26" i="21" s="1"/>
  <c r="I16" i="12"/>
  <c r="M15" i="12"/>
  <c r="D25" i="21" s="1"/>
  <c r="F25" i="21" s="1"/>
  <c r="G25" i="21" s="1"/>
  <c r="I15" i="12"/>
  <c r="F41" i="21"/>
  <c r="F39" i="21"/>
  <c r="D40" i="21"/>
  <c r="F40" i="21" s="1"/>
  <c r="E22" i="21"/>
  <c r="M29" i="21"/>
  <c r="M30" i="21"/>
  <c r="M28" i="21"/>
  <c r="M26" i="21" s="1"/>
  <c r="L29" i="21"/>
  <c r="L30" i="21"/>
  <c r="L28" i="21"/>
  <c r="F3" i="21"/>
  <c r="F2" i="2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49" i="11"/>
  <c r="K16" i="11"/>
  <c r="J21" i="1"/>
  <c r="H52" i="1"/>
  <c r="N21" i="1" l="1"/>
  <c r="M21" i="1"/>
  <c r="N26" i="21"/>
  <c r="B22" i="11"/>
  <c r="L26" i="21"/>
  <c r="H40" i="21" s="1"/>
  <c r="D27" i="21"/>
  <c r="F27" i="21" s="1"/>
  <c r="G27" i="21" s="1"/>
  <c r="B10" i="25"/>
  <c r="J4" i="25" s="1"/>
  <c r="U48" i="12"/>
  <c r="V48" i="12" s="1"/>
  <c r="P48" i="12"/>
  <c r="F42" i="21"/>
  <c r="G39" i="21"/>
  <c r="G41" i="21"/>
  <c r="G40" i="21"/>
  <c r="I155" i="12"/>
  <c r="I156" i="12"/>
  <c r="I154" i="12"/>
  <c r="I147" i="12"/>
  <c r="H39" i="21" l="1"/>
  <c r="H41" i="21"/>
  <c r="O2" i="25"/>
  <c r="AF48" i="12"/>
  <c r="AG48" i="12"/>
  <c r="AH48" i="12"/>
  <c r="AI48" i="12"/>
  <c r="X48" i="12"/>
  <c r="AJ48" i="12"/>
  <c r="Y48" i="12"/>
  <c r="AK48" i="12"/>
  <c r="Z48" i="12"/>
  <c r="AL48" i="12"/>
  <c r="AB48" i="12"/>
  <c r="AN48" i="12"/>
  <c r="AA48" i="12"/>
  <c r="AM48" i="12"/>
  <c r="AC48" i="12"/>
  <c r="AO48" i="12"/>
  <c r="AD48" i="12"/>
  <c r="AP48" i="12"/>
  <c r="AE48" i="12"/>
  <c r="Q48" i="12"/>
  <c r="R48" i="12" s="1"/>
  <c r="H42" i="21"/>
  <c r="G42" i="21"/>
  <c r="AU10" i="20" a="1"/>
  <c r="AU10" i="20" s="1"/>
  <c r="AE9" i="20"/>
  <c r="AS10" i="20"/>
  <c r="BA10" i="20"/>
  <c r="AZ10" i="20"/>
  <c r="AY10" i="20"/>
  <c r="AX10" i="20"/>
  <c r="AV10" i="20"/>
  <c r="F62" i="18"/>
  <c r="F63" i="18"/>
  <c r="K63" i="18" s="1"/>
  <c r="M63" i="18" s="1"/>
  <c r="F64" i="18"/>
  <c r="F65" i="18"/>
  <c r="I153" i="12"/>
  <c r="K153" i="12"/>
  <c r="J153" i="12"/>
  <c r="U65" i="18"/>
  <c r="V65" i="18" s="1"/>
  <c r="U66" i="18"/>
  <c r="V66" i="18" s="1"/>
  <c r="U67" i="18"/>
  <c r="V67" i="18" s="1"/>
  <c r="U68" i="18"/>
  <c r="V68" i="18" s="1"/>
  <c r="U69" i="18"/>
  <c r="V69" i="18" s="1"/>
  <c r="U70" i="18"/>
  <c r="V70" i="18" s="1"/>
  <c r="U71" i="18"/>
  <c r="V71" i="18" s="1"/>
  <c r="U72" i="18"/>
  <c r="V72" i="18" s="1"/>
  <c r="U73" i="18"/>
  <c r="V73" i="18" s="1"/>
  <c r="U74" i="18"/>
  <c r="V74" i="18" s="1"/>
  <c r="U75" i="18"/>
  <c r="V75" i="18" s="1"/>
  <c r="U76" i="18"/>
  <c r="V76" i="18" s="1"/>
  <c r="U77" i="18"/>
  <c r="V77" i="18" s="1"/>
  <c r="U78" i="18"/>
  <c r="V78" i="18" s="1"/>
  <c r="U79" i="18"/>
  <c r="V79" i="18" s="1"/>
  <c r="U80" i="18"/>
  <c r="V80" i="18" s="1"/>
  <c r="U81" i="18"/>
  <c r="V81" i="18" s="1"/>
  <c r="U82" i="18"/>
  <c r="V82" i="18" s="1"/>
  <c r="U83" i="18"/>
  <c r="V83" i="18" s="1"/>
  <c r="U84" i="18"/>
  <c r="V84" i="18" s="1"/>
  <c r="U85" i="18"/>
  <c r="V85" i="18" s="1"/>
  <c r="U86" i="18"/>
  <c r="V86" i="18" s="1"/>
  <c r="U87" i="18"/>
  <c r="V87" i="18" s="1"/>
  <c r="U88" i="18"/>
  <c r="V88" i="18" s="1"/>
  <c r="U89" i="18"/>
  <c r="V89" i="18" s="1"/>
  <c r="U90" i="18"/>
  <c r="V90" i="18" s="1"/>
  <c r="U91" i="18"/>
  <c r="V91" i="18" s="1"/>
  <c r="U92" i="18"/>
  <c r="V92" i="18" s="1"/>
  <c r="U64" i="18"/>
  <c r="V64" i="18" s="1"/>
  <c r="AN162" i="20"/>
  <c r="F61" i="18"/>
  <c r="F60" i="18"/>
  <c r="V25" i="18"/>
  <c r="V26" i="18"/>
  <c r="T8" i="20"/>
  <c r="U8" i="20"/>
  <c r="V8" i="20"/>
  <c r="AN164" i="20" l="1"/>
  <c r="AN166" i="20"/>
  <c r="V93" i="18"/>
  <c r="U93" i="18"/>
  <c r="N25" i="18"/>
  <c r="N58" i="18" s="1"/>
  <c r="H24" i="18"/>
  <c r="F58" i="18"/>
  <c r="L58" i="18" s="1"/>
  <c r="F56" i="18"/>
  <c r="M69" i="13"/>
  <c r="M70" i="13"/>
  <c r="M98" i="13"/>
  <c r="M140" i="13"/>
  <c r="M152" i="13"/>
  <c r="Q112" i="12"/>
  <c r="U50" i="18"/>
  <c r="U49" i="18"/>
  <c r="F50" i="18"/>
  <c r="L50" i="18" s="1"/>
  <c r="F49" i="18"/>
  <c r="L49" i="18" s="1"/>
  <c r="M152" i="12"/>
  <c r="I152" i="12"/>
  <c r="J151" i="12"/>
  <c r="F41" i="13"/>
  <c r="M50" i="12"/>
  <c r="I50" i="12"/>
  <c r="U48" i="18"/>
  <c r="F48" i="18"/>
  <c r="L48" i="18" s="1"/>
  <c r="P50" i="12" l="1"/>
  <c r="K33" i="11"/>
  <c r="AN10" i="20"/>
  <c r="AN12" i="20"/>
  <c r="AQ10" i="20"/>
  <c r="AQ13" i="20"/>
  <c r="AQ12" i="20"/>
  <c r="AN13" i="20"/>
  <c r="AQ11" i="20"/>
  <c r="AN11" i="20"/>
  <c r="D94" i="20"/>
  <c r="B94" i="20"/>
  <c r="C94" i="20"/>
  <c r="D106" i="20"/>
  <c r="B106" i="20"/>
  <c r="C106" i="20"/>
  <c r="D103" i="20"/>
  <c r="B103" i="20"/>
  <c r="C103" i="20"/>
  <c r="B107" i="20"/>
  <c r="C107" i="20"/>
  <c r="D107" i="20"/>
  <c r="B101" i="20"/>
  <c r="C101" i="20"/>
  <c r="D101" i="20"/>
  <c r="D100" i="20"/>
  <c r="B100" i="20"/>
  <c r="C100" i="20"/>
  <c r="B99" i="20"/>
  <c r="C99" i="20"/>
  <c r="D99" i="20"/>
  <c r="B98" i="20"/>
  <c r="C98" i="20"/>
  <c r="D98" i="20"/>
  <c r="B95" i="20"/>
  <c r="C95" i="20"/>
  <c r="D95" i="20"/>
  <c r="B104" i="20"/>
  <c r="C104" i="20"/>
  <c r="D104" i="20"/>
  <c r="B102" i="20"/>
  <c r="C102" i="20"/>
  <c r="D102" i="20"/>
  <c r="D97" i="20"/>
  <c r="B97" i="20"/>
  <c r="C97" i="20"/>
  <c r="B105" i="20"/>
  <c r="C105" i="20"/>
  <c r="D105" i="20"/>
  <c r="B96" i="20"/>
  <c r="C96" i="20"/>
  <c r="D96" i="20"/>
  <c r="C71" i="20"/>
  <c r="B71" i="20"/>
  <c r="D71" i="20"/>
  <c r="B70" i="20"/>
  <c r="C70" i="20"/>
  <c r="D70" i="20"/>
  <c r="B69" i="20"/>
  <c r="C69" i="20"/>
  <c r="D69" i="20"/>
  <c r="C80" i="20"/>
  <c r="B80" i="20"/>
  <c r="D80" i="20"/>
  <c r="C32" i="20"/>
  <c r="B32" i="20"/>
  <c r="D32" i="20"/>
  <c r="B91" i="20"/>
  <c r="C91" i="20"/>
  <c r="D91" i="20"/>
  <c r="B43" i="20"/>
  <c r="C43" i="20"/>
  <c r="D43" i="20"/>
  <c r="B54" i="20"/>
  <c r="C54" i="20"/>
  <c r="D54" i="20"/>
  <c r="B42" i="20"/>
  <c r="C42" i="20"/>
  <c r="D42" i="20"/>
  <c r="C47" i="20"/>
  <c r="B47" i="20"/>
  <c r="D47" i="20"/>
  <c r="B46" i="20"/>
  <c r="C46" i="20"/>
  <c r="D46" i="20"/>
  <c r="B45" i="20"/>
  <c r="C45" i="20"/>
  <c r="D45" i="20"/>
  <c r="C44" i="20"/>
  <c r="B44" i="20"/>
  <c r="D44" i="20"/>
  <c r="B79" i="20"/>
  <c r="C79" i="20"/>
  <c r="D79" i="20"/>
  <c r="B31" i="20"/>
  <c r="C31" i="20"/>
  <c r="D31" i="20"/>
  <c r="B66" i="20"/>
  <c r="C66" i="20"/>
  <c r="D66" i="20"/>
  <c r="C89" i="20"/>
  <c r="B89" i="20"/>
  <c r="D89" i="20"/>
  <c r="C77" i="20"/>
  <c r="B77" i="20"/>
  <c r="D77" i="20"/>
  <c r="C65" i="20"/>
  <c r="B65" i="20"/>
  <c r="D65" i="20"/>
  <c r="C53" i="20"/>
  <c r="B53" i="20"/>
  <c r="D53" i="20"/>
  <c r="C41" i="20"/>
  <c r="B41" i="20"/>
  <c r="D41" i="20"/>
  <c r="B83" i="20"/>
  <c r="D83" i="20"/>
  <c r="C83" i="20"/>
  <c r="B35" i="20"/>
  <c r="D35" i="20"/>
  <c r="C35" i="20"/>
  <c r="B82" i="20"/>
  <c r="C82" i="20"/>
  <c r="D82" i="20"/>
  <c r="B34" i="20"/>
  <c r="C34" i="20"/>
  <c r="D34" i="20"/>
  <c r="B93" i="20"/>
  <c r="C93" i="20"/>
  <c r="D93" i="20"/>
  <c r="B57" i="20"/>
  <c r="C57" i="20"/>
  <c r="D57" i="20"/>
  <c r="C92" i="20"/>
  <c r="B92" i="20"/>
  <c r="D92" i="20"/>
  <c r="C56" i="20"/>
  <c r="B56" i="20"/>
  <c r="D56" i="20"/>
  <c r="B67" i="20"/>
  <c r="C67" i="20"/>
  <c r="D67" i="20"/>
  <c r="B78" i="20"/>
  <c r="C78" i="20"/>
  <c r="D78" i="20"/>
  <c r="B88" i="20"/>
  <c r="C88" i="20"/>
  <c r="D88" i="20"/>
  <c r="B76" i="20"/>
  <c r="C76" i="20"/>
  <c r="D76" i="20"/>
  <c r="B64" i="20"/>
  <c r="C64" i="20"/>
  <c r="D64" i="20"/>
  <c r="B52" i="20"/>
  <c r="C52" i="20"/>
  <c r="D52" i="20"/>
  <c r="B40" i="20"/>
  <c r="C40" i="20"/>
  <c r="D40" i="20"/>
  <c r="C59" i="20"/>
  <c r="B59" i="20"/>
  <c r="D59" i="20"/>
  <c r="B58" i="20"/>
  <c r="C58" i="20"/>
  <c r="D58" i="20"/>
  <c r="B81" i="20"/>
  <c r="C81" i="20"/>
  <c r="D81" i="20"/>
  <c r="B33" i="20"/>
  <c r="C33" i="20"/>
  <c r="D33" i="20"/>
  <c r="C68" i="20"/>
  <c r="B68" i="20"/>
  <c r="D68" i="20"/>
  <c r="B55" i="20"/>
  <c r="C55" i="20"/>
  <c r="D55" i="20"/>
  <c r="B90" i="20"/>
  <c r="C90" i="20"/>
  <c r="D90" i="20"/>
  <c r="B87" i="20"/>
  <c r="C87" i="20"/>
  <c r="D87" i="20"/>
  <c r="B75" i="20"/>
  <c r="C75" i="20"/>
  <c r="D75" i="20"/>
  <c r="B63" i="20"/>
  <c r="C63" i="20"/>
  <c r="D63" i="20"/>
  <c r="B51" i="20"/>
  <c r="C51" i="20"/>
  <c r="D51" i="20"/>
  <c r="B39" i="20"/>
  <c r="C39" i="20"/>
  <c r="D39" i="20"/>
  <c r="C86" i="20"/>
  <c r="B86" i="20"/>
  <c r="D86" i="20"/>
  <c r="C74" i="20"/>
  <c r="B74" i="20"/>
  <c r="D74" i="20"/>
  <c r="C62" i="20"/>
  <c r="B62" i="20"/>
  <c r="D62" i="20"/>
  <c r="C50" i="20"/>
  <c r="B50" i="20"/>
  <c r="D50" i="20"/>
  <c r="C38" i="20"/>
  <c r="B38" i="20"/>
  <c r="D38" i="20"/>
  <c r="B85" i="20"/>
  <c r="C85" i="20"/>
  <c r="D85" i="20"/>
  <c r="B73" i="20"/>
  <c r="C73" i="20"/>
  <c r="D73" i="20"/>
  <c r="B61" i="20"/>
  <c r="C61" i="20"/>
  <c r="D61" i="20"/>
  <c r="B49" i="20"/>
  <c r="C49" i="20"/>
  <c r="D49" i="20"/>
  <c r="B37" i="20"/>
  <c r="C37" i="20"/>
  <c r="D37" i="20"/>
  <c r="B84" i="20"/>
  <c r="C84" i="20"/>
  <c r="D84" i="20"/>
  <c r="B72" i="20"/>
  <c r="C72" i="20"/>
  <c r="D72" i="20"/>
  <c r="B60" i="20"/>
  <c r="C60" i="20"/>
  <c r="D60" i="20"/>
  <c r="B48" i="20"/>
  <c r="C48" i="20"/>
  <c r="D48" i="20"/>
  <c r="B36" i="20"/>
  <c r="C36" i="20"/>
  <c r="D36" i="20"/>
  <c r="T50" i="12"/>
  <c r="U50" i="12" s="1"/>
  <c r="AH161" i="20"/>
  <c r="AL161" i="25"/>
  <c r="H50" i="18"/>
  <c r="H27" i="18"/>
  <c r="N27" i="18"/>
  <c r="N24" i="18" s="1"/>
  <c r="H58" i="18"/>
  <c r="K50" i="18"/>
  <c r="M50" i="18" s="1"/>
  <c r="K49" i="18"/>
  <c r="M49" i="18" s="1"/>
  <c r="K48" i="18"/>
  <c r="M48" i="18" s="1"/>
  <c r="Q50" i="12"/>
  <c r="R50" i="12" s="1"/>
  <c r="AH30" i="20" l="1"/>
  <c r="AH25" i="20"/>
  <c r="AH27" i="20"/>
  <c r="AH22" i="20"/>
  <c r="AH29" i="20"/>
  <c r="AH17" i="20"/>
  <c r="AH24" i="20"/>
  <c r="AH28" i="20"/>
  <c r="AH23" i="20"/>
  <c r="AH20" i="20"/>
  <c r="AH21" i="20"/>
  <c r="AH19" i="20"/>
  <c r="AH18" i="20"/>
  <c r="AH15" i="20"/>
  <c r="AH14" i="20"/>
  <c r="AH16" i="20"/>
  <c r="AH26" i="20"/>
  <c r="AH13" i="20"/>
  <c r="AH12" i="20"/>
  <c r="AE4" i="29"/>
  <c r="AH11" i="20"/>
  <c r="AH10" i="20"/>
  <c r="AK8" i="22"/>
  <c r="AD4" i="19"/>
  <c r="V50" i="12"/>
  <c r="AM50" i="12" s="1"/>
  <c r="AE12" i="29" l="1"/>
  <c r="AE7" i="29"/>
  <c r="AE15" i="29"/>
  <c r="AE10" i="29"/>
  <c r="AE13" i="29"/>
  <c r="AE6" i="29"/>
  <c r="AE9" i="29"/>
  <c r="AE8" i="29"/>
  <c r="AE11" i="29"/>
  <c r="AE14" i="29"/>
  <c r="AD6" i="19"/>
  <c r="AD10" i="19"/>
  <c r="AD11" i="19"/>
  <c r="AD14" i="19"/>
  <c r="AD7" i="19"/>
  <c r="AD13" i="19"/>
  <c r="AD9" i="19"/>
  <c r="AD8" i="19"/>
  <c r="AD12" i="19"/>
  <c r="AD15" i="19"/>
  <c r="AK58" i="22"/>
  <c r="AK23" i="22"/>
  <c r="AK35" i="22"/>
  <c r="AK71" i="22"/>
  <c r="AK104" i="22"/>
  <c r="AK18" i="22"/>
  <c r="AK67" i="22"/>
  <c r="AK44" i="22"/>
  <c r="AK19" i="22"/>
  <c r="AK70" i="22"/>
  <c r="AK82" i="22"/>
  <c r="AK32" i="22"/>
  <c r="AK77" i="22"/>
  <c r="AK88" i="22"/>
  <c r="AK24" i="22"/>
  <c r="AK37" i="22"/>
  <c r="AK54" i="22"/>
  <c r="AK31" i="22"/>
  <c r="AK90" i="22"/>
  <c r="AK69" i="22"/>
  <c r="AK105" i="22"/>
  <c r="AK93" i="22"/>
  <c r="AK50" i="22"/>
  <c r="AK87" i="22"/>
  <c r="AK48" i="22"/>
  <c r="AK61" i="22"/>
  <c r="AK34" i="22"/>
  <c r="AK106" i="22"/>
  <c r="AK20" i="22"/>
  <c r="AK36" i="22"/>
  <c r="AK43" i="22"/>
  <c r="AK81" i="22"/>
  <c r="AK15" i="22"/>
  <c r="AK21" i="22"/>
  <c r="AK59" i="22"/>
  <c r="AK74" i="22"/>
  <c r="AK89" i="22"/>
  <c r="AK108" i="22"/>
  <c r="AK26" i="22"/>
  <c r="AK76" i="22"/>
  <c r="AK97" i="22"/>
  <c r="AK60" i="22"/>
  <c r="AK103" i="22"/>
  <c r="AK64" i="22"/>
  <c r="AK12" i="22"/>
  <c r="AK25" i="22"/>
  <c r="AK62" i="22"/>
  <c r="AK38" i="22"/>
  <c r="AK33" i="22"/>
  <c r="AK94" i="22"/>
  <c r="AK46" i="22"/>
  <c r="AK100" i="22"/>
  <c r="AK51" i="22"/>
  <c r="AK13" i="22"/>
  <c r="AK78" i="22"/>
  <c r="AK66" i="22"/>
  <c r="AK68" i="22"/>
  <c r="AK107" i="22"/>
  <c r="AK27" i="22"/>
  <c r="AK73" i="22"/>
  <c r="AK55" i="22"/>
  <c r="AK96" i="22"/>
  <c r="AK83" i="22"/>
  <c r="AK22" i="22"/>
  <c r="AK102" i="22"/>
  <c r="AK84" i="22"/>
  <c r="AK91" i="22"/>
  <c r="AK99" i="22"/>
  <c r="AK79" i="22"/>
  <c r="AK72" i="22"/>
  <c r="AK80" i="22"/>
  <c r="AK85" i="22"/>
  <c r="AK28" i="22"/>
  <c r="AK109" i="22"/>
  <c r="AK63" i="22"/>
  <c r="AK40" i="22"/>
  <c r="AK92" i="22"/>
  <c r="AK56" i="22"/>
  <c r="AK17" i="22"/>
  <c r="AK41" i="22"/>
  <c r="AK98" i="22"/>
  <c r="AK49" i="22"/>
  <c r="AK16" i="22"/>
  <c r="AK53" i="22"/>
  <c r="AK29" i="22"/>
  <c r="AK45" i="22"/>
  <c r="AK30" i="22"/>
  <c r="AK75" i="22"/>
  <c r="AK65" i="22"/>
  <c r="AK101" i="22"/>
  <c r="AK39" i="22"/>
  <c r="AK57" i="22"/>
  <c r="AK86" i="22"/>
  <c r="AK14" i="22"/>
  <c r="AK47" i="22"/>
  <c r="AK52" i="22"/>
  <c r="AK42" i="22"/>
  <c r="AK95" i="22"/>
  <c r="AK110" i="22"/>
  <c r="AK11" i="22"/>
  <c r="X50" i="12"/>
  <c r="AG50" i="12"/>
  <c r="AI50" i="12"/>
  <c r="AD50" i="12"/>
  <c r="Y50" i="12"/>
  <c r="AJ50" i="12"/>
  <c r="AF50" i="12"/>
  <c r="AE50" i="12"/>
  <c r="AN50" i="12"/>
  <c r="AB50" i="12"/>
  <c r="AO50" i="12"/>
  <c r="AL50" i="12"/>
  <c r="AH50" i="12"/>
  <c r="AP50" i="12"/>
  <c r="AA50" i="12"/>
  <c r="Z50" i="12"/>
  <c r="AK50" i="12"/>
  <c r="AC50" i="12"/>
  <c r="H5" i="18"/>
  <c r="M66" i="18"/>
  <c r="M67" i="18"/>
  <c r="M68" i="18"/>
  <c r="M69" i="18"/>
  <c r="M70" i="18"/>
  <c r="M71" i="18"/>
  <c r="M72" i="18"/>
  <c r="M73" i="18"/>
  <c r="M74" i="18"/>
  <c r="M75" i="18"/>
  <c r="H6" i="18"/>
  <c r="I6" i="18" s="1"/>
  <c r="H7" i="18"/>
  <c r="I7" i="18" s="1"/>
  <c r="H8" i="18"/>
  <c r="I8" i="18" s="1"/>
  <c r="H9" i="18"/>
  <c r="I9" i="18" s="1"/>
  <c r="H10" i="18"/>
  <c r="I10" i="18" s="1"/>
  <c r="H11" i="18"/>
  <c r="I11" i="18" s="1"/>
  <c r="H12" i="18"/>
  <c r="I12" i="18" s="1"/>
  <c r="H13" i="18"/>
  <c r="I13" i="18" s="1"/>
  <c r="H14" i="18"/>
  <c r="I14" i="18" s="1"/>
  <c r="H15" i="18"/>
  <c r="I15" i="18" s="1"/>
  <c r="H16" i="18"/>
  <c r="I16" i="18" s="1"/>
  <c r="H17" i="18"/>
  <c r="H18" i="18"/>
  <c r="I18" i="18" s="1"/>
  <c r="H19" i="18"/>
  <c r="I19" i="18" s="1"/>
  <c r="H20" i="18"/>
  <c r="I20" i="18" s="1"/>
  <c r="H21" i="18"/>
  <c r="I21" i="18" s="1"/>
  <c r="L56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K56" i="18"/>
  <c r="M56" i="18" s="1"/>
  <c r="K58" i="18"/>
  <c r="M58" i="18" s="1"/>
  <c r="K60" i="18"/>
  <c r="K62" i="18"/>
  <c r="M62" i="18" s="1"/>
  <c r="K64" i="18"/>
  <c r="M64" i="18" s="1"/>
  <c r="K65" i="18"/>
  <c r="M65" i="18" s="1"/>
  <c r="K66" i="18"/>
  <c r="K67" i="18"/>
  <c r="K68" i="18"/>
  <c r="K69" i="18"/>
  <c r="K70" i="18"/>
  <c r="K71" i="18"/>
  <c r="K72" i="18"/>
  <c r="K73" i="18"/>
  <c r="K74" i="18"/>
  <c r="K75" i="18"/>
  <c r="F55" i="18"/>
  <c r="L55" i="18" s="1"/>
  <c r="F54" i="18"/>
  <c r="K54" i="18" s="1"/>
  <c r="M54" i="18" s="1"/>
  <c r="F53" i="18"/>
  <c r="L53" i="18" s="1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51" i="18"/>
  <c r="U52" i="18"/>
  <c r="U53" i="18"/>
  <c r="U54" i="18"/>
  <c r="U55" i="18"/>
  <c r="U56" i="18"/>
  <c r="F52" i="18"/>
  <c r="L52" i="18" s="1"/>
  <c r="F51" i="18"/>
  <c r="K51" i="18" s="1"/>
  <c r="M51" i="18" s="1"/>
  <c r="F47" i="18"/>
  <c r="F46" i="18"/>
  <c r="F45" i="18"/>
  <c r="F44" i="18"/>
  <c r="L44" i="18" s="1"/>
  <c r="F43" i="18"/>
  <c r="L43" i="18" s="1"/>
  <c r="F42" i="18"/>
  <c r="L42" i="18" s="1"/>
  <c r="F41" i="18"/>
  <c r="L41" i="18" s="1"/>
  <c r="F40" i="18"/>
  <c r="L40" i="18" s="1"/>
  <c r="F39" i="18"/>
  <c r="L39" i="18" s="1"/>
  <c r="F38" i="18"/>
  <c r="L38" i="18" s="1"/>
  <c r="F37" i="18"/>
  <c r="L37" i="18" s="1"/>
  <c r="F36" i="18"/>
  <c r="L36" i="18" s="1"/>
  <c r="F35" i="18"/>
  <c r="L35" i="18" s="1"/>
  <c r="F34" i="18"/>
  <c r="L34" i="18" s="1"/>
  <c r="F33" i="18"/>
  <c r="L33" i="18" s="1"/>
  <c r="F32" i="18"/>
  <c r="L32" i="18" s="1"/>
  <c r="F31" i="18"/>
  <c r="L31" i="18" s="1"/>
  <c r="F30" i="18"/>
  <c r="L30" i="18" s="1"/>
  <c r="F29" i="18"/>
  <c r="L29" i="18" s="1"/>
  <c r="F28" i="18"/>
  <c r="L28" i="18" s="1"/>
  <c r="U29" i="18"/>
  <c r="U30" i="18"/>
  <c r="U31" i="18"/>
  <c r="U32" i="18"/>
  <c r="U33" i="18"/>
  <c r="U28" i="18"/>
  <c r="F27" i="18"/>
  <c r="K27" i="18" s="1"/>
  <c r="M27" i="18" s="1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5" i="18"/>
  <c r="Y6" i="19"/>
  <c r="S6" i="19"/>
  <c r="R6" i="19"/>
  <c r="O28" i="19"/>
  <c r="I28" i="19" s="1"/>
  <c r="G28" i="19" s="1"/>
  <c r="O29" i="19"/>
  <c r="I29" i="19" s="1"/>
  <c r="G29" i="19" s="1"/>
  <c r="Q6" i="19"/>
  <c r="P6" i="19"/>
  <c r="O7" i="19"/>
  <c r="O8" i="19"/>
  <c r="O9" i="19"/>
  <c r="O10" i="19"/>
  <c r="O11" i="19"/>
  <c r="O12" i="19"/>
  <c r="O13" i="19"/>
  <c r="O14" i="19"/>
  <c r="O15" i="19"/>
  <c r="O6" i="19"/>
  <c r="H149" i="12"/>
  <c r="I149" i="12" s="1"/>
  <c r="K34" i="18" l="1"/>
  <c r="M34" i="18" s="1"/>
  <c r="AH6" i="29"/>
  <c r="AN11" i="22"/>
  <c r="K33" i="18"/>
  <c r="M33" i="18" s="1"/>
  <c r="M60" i="18"/>
  <c r="AM162" i="20" s="1"/>
  <c r="K61" i="18"/>
  <c r="M61" i="18" s="1"/>
  <c r="AM8" i="22" s="1"/>
  <c r="K36" i="18"/>
  <c r="M36" i="18" s="1"/>
  <c r="K35" i="18"/>
  <c r="M35" i="18" s="1"/>
  <c r="K44" i="18"/>
  <c r="M44" i="18" s="1"/>
  <c r="K32" i="18"/>
  <c r="M32" i="18" s="1"/>
  <c r="K43" i="18"/>
  <c r="M43" i="18" s="1"/>
  <c r="K31" i="18"/>
  <c r="M31" i="18" s="1"/>
  <c r="K42" i="18"/>
  <c r="M42" i="18" s="1"/>
  <c r="K30" i="18"/>
  <c r="M30" i="18" s="1"/>
  <c r="L45" i="18"/>
  <c r="K45" i="18"/>
  <c r="M45" i="18" s="1"/>
  <c r="K41" i="18"/>
  <c r="M41" i="18" s="1"/>
  <c r="K29" i="18"/>
  <c r="M29" i="18" s="1"/>
  <c r="L46" i="18"/>
  <c r="K46" i="18"/>
  <c r="M46" i="18" s="1"/>
  <c r="K40" i="18"/>
  <c r="M40" i="18" s="1"/>
  <c r="K28" i="18"/>
  <c r="M28" i="18" s="1"/>
  <c r="L47" i="18"/>
  <c r="K47" i="18"/>
  <c r="M47" i="18" s="1"/>
  <c r="K39" i="18"/>
  <c r="M39" i="18" s="1"/>
  <c r="K38" i="18"/>
  <c r="M38" i="18" s="1"/>
  <c r="K37" i="18"/>
  <c r="M37" i="18" s="1"/>
  <c r="C15" i="19"/>
  <c r="C29" i="19" s="1"/>
  <c r="D15" i="19"/>
  <c r="D29" i="19" s="1"/>
  <c r="B15" i="19"/>
  <c r="B29" i="19" s="1"/>
  <c r="B14" i="19"/>
  <c r="B28" i="19" s="1"/>
  <c r="C14" i="19"/>
  <c r="C28" i="19" s="1"/>
  <c r="D14" i="19"/>
  <c r="D28" i="19" s="1"/>
  <c r="I17" i="18"/>
  <c r="H23" i="18"/>
  <c r="I5" i="18"/>
  <c r="U58" i="18"/>
  <c r="L27" i="18"/>
  <c r="K55" i="18"/>
  <c r="M55" i="18" s="1"/>
  <c r="K53" i="18"/>
  <c r="M53" i="18" s="1"/>
  <c r="L51" i="18"/>
  <c r="K52" i="18"/>
  <c r="M52" i="18" s="1"/>
  <c r="L54" i="18"/>
  <c r="K149" i="12"/>
  <c r="M149" i="12" s="1"/>
  <c r="I111" i="12"/>
  <c r="M111" i="12"/>
  <c r="T111" i="12" s="1"/>
  <c r="M110" i="12"/>
  <c r="T110" i="12" s="1"/>
  <c r="I110" i="12"/>
  <c r="M5" i="12"/>
  <c r="R114" i="5" s="1"/>
  <c r="M6" i="12"/>
  <c r="S119" i="32" s="1"/>
  <c r="S20" i="32" s="1"/>
  <c r="M7" i="12"/>
  <c r="U114" i="5" s="1"/>
  <c r="M8" i="12"/>
  <c r="M9" i="12"/>
  <c r="M10" i="12"/>
  <c r="M11" i="12"/>
  <c r="M12" i="12"/>
  <c r="M13" i="12"/>
  <c r="M14" i="12"/>
  <c r="M17" i="12"/>
  <c r="M18" i="12"/>
  <c r="M19" i="12"/>
  <c r="L118" i="1" s="1"/>
  <c r="L21" i="1" s="1"/>
  <c r="M25" i="12"/>
  <c r="N114" i="5" s="1"/>
  <c r="M26" i="12"/>
  <c r="M27" i="12"/>
  <c r="M28" i="12"/>
  <c r="M29" i="12"/>
  <c r="D28" i="21" s="1"/>
  <c r="F28" i="21" s="1"/>
  <c r="G28" i="21" s="1"/>
  <c r="M30" i="12"/>
  <c r="M31" i="12"/>
  <c r="M32" i="12"/>
  <c r="M33" i="12"/>
  <c r="M34" i="12"/>
  <c r="M35" i="12"/>
  <c r="M36" i="12"/>
  <c r="M43" i="12"/>
  <c r="M44" i="12"/>
  <c r="M45" i="12"/>
  <c r="M46" i="12"/>
  <c r="M47" i="12"/>
  <c r="M49" i="12"/>
  <c r="L33" i="11" s="1"/>
  <c r="O33" i="11" s="1"/>
  <c r="M53" i="12"/>
  <c r="M54" i="12"/>
  <c r="M55" i="12"/>
  <c r="M94" i="11" s="1"/>
  <c r="M56" i="12"/>
  <c r="L94" i="11" s="1"/>
  <c r="M67" i="12"/>
  <c r="M68" i="12"/>
  <c r="M69" i="12"/>
  <c r="M70" i="12"/>
  <c r="M71" i="12"/>
  <c r="M72" i="12"/>
  <c r="M73" i="12"/>
  <c r="M74" i="12"/>
  <c r="M75" i="12"/>
  <c r="M76" i="12"/>
  <c r="M81" i="12"/>
  <c r="M86" i="12"/>
  <c r="AO7" i="29" s="1"/>
  <c r="M87" i="12"/>
  <c r="M88" i="12"/>
  <c r="M89" i="12"/>
  <c r="M99" i="12"/>
  <c r="M100" i="12"/>
  <c r="M101" i="12"/>
  <c r="M102" i="12"/>
  <c r="M103" i="12"/>
  <c r="M104" i="12"/>
  <c r="M105" i="12"/>
  <c r="M106" i="12"/>
  <c r="M107" i="12"/>
  <c r="M108" i="12"/>
  <c r="M109" i="12"/>
  <c r="M113" i="12"/>
  <c r="M114" i="12"/>
  <c r="M115" i="12"/>
  <c r="M116" i="12"/>
  <c r="M117" i="12"/>
  <c r="M118" i="12"/>
  <c r="M120" i="12"/>
  <c r="M147" i="12"/>
  <c r="M150" i="12"/>
  <c r="M151" i="12"/>
  <c r="M153" i="12"/>
  <c r="F171" i="13" s="1"/>
  <c r="E171" i="13" s="1"/>
  <c r="M154" i="12"/>
  <c r="M155" i="12"/>
  <c r="M156" i="12"/>
  <c r="M157" i="12"/>
  <c r="M158" i="12"/>
  <c r="M159" i="12"/>
  <c r="AL11" i="26" s="1"/>
  <c r="M160" i="12"/>
  <c r="AL12" i="26" s="1"/>
  <c r="M161" i="12"/>
  <c r="AL13" i="26" s="1"/>
  <c r="M162" i="12"/>
  <c r="AL14" i="26" s="1"/>
  <c r="M163" i="12"/>
  <c r="AL15" i="26" s="1"/>
  <c r="M164" i="12"/>
  <c r="AL16" i="26" s="1"/>
  <c r="M165" i="12"/>
  <c r="M166" i="12"/>
  <c r="M167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1" i="12"/>
  <c r="M182" i="12"/>
  <c r="M183" i="12"/>
  <c r="M184" i="12"/>
  <c r="M185" i="12"/>
  <c r="M186" i="12"/>
  <c r="M4" i="12"/>
  <c r="O114" i="5" s="1"/>
  <c r="I6" i="12"/>
  <c r="I7" i="12"/>
  <c r="I8" i="12"/>
  <c r="I9" i="12"/>
  <c r="I10" i="12"/>
  <c r="I11" i="12"/>
  <c r="I12" i="12"/>
  <c r="I13" i="12"/>
  <c r="I14" i="12"/>
  <c r="I17" i="12"/>
  <c r="I18" i="12"/>
  <c r="I19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43" i="12"/>
  <c r="I44" i="12"/>
  <c r="I45" i="12"/>
  <c r="I46" i="12"/>
  <c r="I47" i="12"/>
  <c r="I53" i="12"/>
  <c r="I54" i="12"/>
  <c r="I55" i="12"/>
  <c r="I56" i="12"/>
  <c r="I67" i="12"/>
  <c r="I68" i="12"/>
  <c r="I69" i="12"/>
  <c r="I70" i="12"/>
  <c r="I71" i="12"/>
  <c r="I72" i="12"/>
  <c r="I73" i="12"/>
  <c r="I74" i="12"/>
  <c r="I75" i="12"/>
  <c r="I76" i="12"/>
  <c r="I81" i="12"/>
  <c r="I82" i="12"/>
  <c r="M82" i="12" s="1"/>
  <c r="I83" i="12"/>
  <c r="M83" i="12" s="1"/>
  <c r="I84" i="12"/>
  <c r="M84" i="12" s="1"/>
  <c r="I85" i="12"/>
  <c r="M85" i="12" s="1"/>
  <c r="I86" i="12"/>
  <c r="I87" i="12"/>
  <c r="I88" i="12"/>
  <c r="I89" i="12"/>
  <c r="I99" i="12"/>
  <c r="I100" i="12"/>
  <c r="I101" i="12"/>
  <c r="I102" i="12"/>
  <c r="I103" i="12"/>
  <c r="I104" i="12"/>
  <c r="I105" i="12"/>
  <c r="I106" i="12"/>
  <c r="I107" i="12"/>
  <c r="I108" i="12"/>
  <c r="I109" i="12"/>
  <c r="I113" i="12"/>
  <c r="I114" i="12"/>
  <c r="I115" i="12"/>
  <c r="I116" i="12"/>
  <c r="I117" i="12"/>
  <c r="I118" i="12"/>
  <c r="I119" i="12"/>
  <c r="I120" i="12"/>
  <c r="I121" i="12"/>
  <c r="C20" i="21" s="1"/>
  <c r="I122" i="12"/>
  <c r="M122" i="12" s="1"/>
  <c r="C21" i="21" s="1"/>
  <c r="D21" i="21" s="1"/>
  <c r="F21" i="21" s="1"/>
  <c r="G21" i="21" s="1"/>
  <c r="I123" i="12"/>
  <c r="C22" i="21" s="1"/>
  <c r="D22" i="21" s="1"/>
  <c r="F22" i="21" s="1"/>
  <c r="G22" i="21" s="1"/>
  <c r="I124" i="12"/>
  <c r="M124" i="12" s="1"/>
  <c r="C23" i="21" s="1"/>
  <c r="D23" i="21" s="1"/>
  <c r="F23" i="21" s="1"/>
  <c r="G23" i="21" s="1"/>
  <c r="I125" i="12"/>
  <c r="M125" i="12" s="1"/>
  <c r="C24" i="21" s="1"/>
  <c r="D24" i="21" s="1"/>
  <c r="F24" i="21" s="1"/>
  <c r="G24" i="21" s="1"/>
  <c r="I126" i="12"/>
  <c r="M126" i="12" s="1"/>
  <c r="I127" i="12"/>
  <c r="M127" i="12" s="1"/>
  <c r="I129" i="12"/>
  <c r="I130" i="12"/>
  <c r="I132" i="12"/>
  <c r="I133" i="12"/>
  <c r="I134" i="12"/>
  <c r="I135" i="12"/>
  <c r="I136" i="12"/>
  <c r="I140" i="12"/>
  <c r="I141" i="12"/>
  <c r="M141" i="12" s="1"/>
  <c r="I145" i="12"/>
  <c r="M145" i="12" s="1"/>
  <c r="T145" i="12" s="1"/>
  <c r="I146" i="12"/>
  <c r="M146" i="12" s="1"/>
  <c r="I4" i="12"/>
  <c r="AL17" i="26" l="1" a="1"/>
  <c r="AL17" i="26" s="1"/>
  <c r="AL19" i="26" s="1"/>
  <c r="AF13" i="26"/>
  <c r="AI13" i="26"/>
  <c r="AF16" i="26"/>
  <c r="AI16" i="26"/>
  <c r="AF12" i="26"/>
  <c r="AI12" i="26"/>
  <c r="AF11" i="26"/>
  <c r="AI11" i="26"/>
  <c r="AF15" i="26"/>
  <c r="AI15" i="26"/>
  <c r="AF14" i="26"/>
  <c r="AI14" i="26"/>
  <c r="V114" i="5"/>
  <c r="T119" i="32"/>
  <c r="T20" i="32" s="1"/>
  <c r="S114" i="5"/>
  <c r="O119" i="32"/>
  <c r="O20" i="32" s="1"/>
  <c r="D69" i="11"/>
  <c r="M78" i="11" s="1"/>
  <c r="D68" i="11"/>
  <c r="L78" i="11" s="1"/>
  <c r="F15" i="11" s="1"/>
  <c r="D31" i="21"/>
  <c r="F31" i="21" s="1"/>
  <c r="G31" i="21" s="1"/>
  <c r="P114" i="5"/>
  <c r="D29" i="21"/>
  <c r="F29" i="21" s="1"/>
  <c r="G29" i="21" s="1"/>
  <c r="Q114" i="5"/>
  <c r="D30" i="21"/>
  <c r="F30" i="21" s="1"/>
  <c r="G30" i="21" s="1"/>
  <c r="Q119" i="32"/>
  <c r="M140" i="12"/>
  <c r="T140" i="12" s="1"/>
  <c r="U140" i="12" s="1"/>
  <c r="V140" i="12" s="1"/>
  <c r="F140" i="12"/>
  <c r="J136" i="12"/>
  <c r="M136" i="12" s="1"/>
  <c r="AE8" i="22" s="1"/>
  <c r="F136" i="12"/>
  <c r="DC187" i="22"/>
  <c r="F130" i="12"/>
  <c r="M129" i="12"/>
  <c r="Y185" i="22" s="1"/>
  <c r="F129" i="12"/>
  <c r="J135" i="12"/>
  <c r="M135" i="12" s="1"/>
  <c r="F135" i="12"/>
  <c r="M134" i="12"/>
  <c r="F134" i="12"/>
  <c r="M132" i="12"/>
  <c r="F132" i="12"/>
  <c r="M133" i="12"/>
  <c r="T133" i="12" s="1"/>
  <c r="U133" i="12" s="1"/>
  <c r="F133" i="12"/>
  <c r="AF9" i="22"/>
  <c r="AF43" i="22" s="1"/>
  <c r="F131" i="12"/>
  <c r="AG6" i="19"/>
  <c r="AH11" i="29"/>
  <c r="AH10" i="29"/>
  <c r="AH9" i="29"/>
  <c r="AG8" i="19"/>
  <c r="AG10" i="19"/>
  <c r="AG11" i="19"/>
  <c r="AG9" i="19"/>
  <c r="U25" i="29"/>
  <c r="U24" i="29"/>
  <c r="AH8" i="29"/>
  <c r="AF4" i="19"/>
  <c r="AF9" i="19" s="1"/>
  <c r="AP12" i="20"/>
  <c r="AP11" i="20"/>
  <c r="AP13" i="20"/>
  <c r="AP10" i="20"/>
  <c r="AQ162" i="25"/>
  <c r="AH7" i="29"/>
  <c r="AG7" i="19"/>
  <c r="U20" i="29"/>
  <c r="U23" i="29"/>
  <c r="AN14" i="19"/>
  <c r="AO16" i="29"/>
  <c r="O20" i="29" s="1"/>
  <c r="AG4" i="29"/>
  <c r="AO14" i="29"/>
  <c r="AO162" i="20"/>
  <c r="AS162" i="25"/>
  <c r="U21" i="29"/>
  <c r="U22" i="29"/>
  <c r="AO6" i="29"/>
  <c r="AO5" i="29"/>
  <c r="AN11" i="19"/>
  <c r="AN10" i="19"/>
  <c r="AN9" i="19"/>
  <c r="AN8" i="19"/>
  <c r="P20" i="19" s="1"/>
  <c r="AN7" i="19"/>
  <c r="T20" i="19" s="1"/>
  <c r="AN6" i="19"/>
  <c r="AN5" i="19"/>
  <c r="AM166" i="20"/>
  <c r="AM164" i="20"/>
  <c r="AF11" i="19"/>
  <c r="AF10" i="19"/>
  <c r="AF7" i="19"/>
  <c r="AF6" i="19"/>
  <c r="AF8" i="19"/>
  <c r="AF14" i="19"/>
  <c r="AF12" i="19"/>
  <c r="AF13" i="19"/>
  <c r="AF15" i="19"/>
  <c r="AM57" i="22"/>
  <c r="AM71" i="22"/>
  <c r="AM69" i="22"/>
  <c r="AM70" i="22"/>
  <c r="AM55" i="22"/>
  <c r="AM103" i="22"/>
  <c r="AM58" i="22"/>
  <c r="AM35" i="22"/>
  <c r="AM59" i="22"/>
  <c r="AM107" i="22"/>
  <c r="AM43" i="22"/>
  <c r="AM104" i="22"/>
  <c r="AM47" i="22"/>
  <c r="AM44" i="22"/>
  <c r="AM80" i="22"/>
  <c r="AM81" i="22"/>
  <c r="AM17" i="22"/>
  <c r="AM22" i="22"/>
  <c r="AM19" i="22"/>
  <c r="AM23" i="22"/>
  <c r="AM30" i="22"/>
  <c r="AM93" i="22"/>
  <c r="AM76" i="22"/>
  <c r="AM39" i="22"/>
  <c r="AM50" i="22"/>
  <c r="AM49" i="22"/>
  <c r="AM109" i="22"/>
  <c r="AM87" i="22"/>
  <c r="AM14" i="22"/>
  <c r="AM74" i="22"/>
  <c r="AM41" i="22"/>
  <c r="AM106" i="22"/>
  <c r="AM89" i="22"/>
  <c r="AM29" i="22"/>
  <c r="AM82" i="22"/>
  <c r="AM68" i="22"/>
  <c r="AM95" i="22"/>
  <c r="AM12" i="22"/>
  <c r="AM88" i="22"/>
  <c r="AM92" i="22"/>
  <c r="AM64" i="22"/>
  <c r="AM99" i="22"/>
  <c r="AM27" i="22"/>
  <c r="AM67" i="22"/>
  <c r="AM38" i="22"/>
  <c r="AM37" i="22"/>
  <c r="AM52" i="22"/>
  <c r="AM98" i="22"/>
  <c r="AM97" i="22"/>
  <c r="AM108" i="22"/>
  <c r="AM48" i="22"/>
  <c r="AM28" i="22"/>
  <c r="AM42" i="22"/>
  <c r="AM56" i="22"/>
  <c r="AM90" i="22"/>
  <c r="AM11" i="22"/>
  <c r="AM36" i="22"/>
  <c r="AM84" i="22"/>
  <c r="AM110" i="22"/>
  <c r="AM40" i="22"/>
  <c r="AM77" i="22"/>
  <c r="AM31" i="22"/>
  <c r="AM24" i="22"/>
  <c r="AM83" i="22"/>
  <c r="AM105" i="22"/>
  <c r="AM32" i="22"/>
  <c r="AM25" i="22"/>
  <c r="AM63" i="22"/>
  <c r="AM54" i="22"/>
  <c r="AM78" i="22"/>
  <c r="AM21" i="22"/>
  <c r="AM101" i="22"/>
  <c r="AM26" i="22"/>
  <c r="AM13" i="22"/>
  <c r="AM18" i="22"/>
  <c r="AM51" i="22"/>
  <c r="AM15" i="22"/>
  <c r="AM20" i="22"/>
  <c r="AM33" i="22"/>
  <c r="AM100" i="22"/>
  <c r="AM46" i="22"/>
  <c r="AM94" i="22"/>
  <c r="AM75" i="22"/>
  <c r="AM34" i="22"/>
  <c r="AM73" i="22"/>
  <c r="AM102" i="22"/>
  <c r="AM91" i="22"/>
  <c r="AM60" i="22"/>
  <c r="AM86" i="22"/>
  <c r="AM85" i="22"/>
  <c r="AM45" i="22"/>
  <c r="AM65" i="22"/>
  <c r="AM53" i="22"/>
  <c r="AM16" i="22"/>
  <c r="AM66" i="22"/>
  <c r="AM72" i="22"/>
  <c r="AM96" i="22"/>
  <c r="AM79" i="22"/>
  <c r="AM62" i="22"/>
  <c r="AM61" i="22"/>
  <c r="P141" i="12"/>
  <c r="Q141" i="12" s="1"/>
  <c r="AD8" i="22"/>
  <c r="Q11" i="26"/>
  <c r="E11" i="26"/>
  <c r="O11" i="26"/>
  <c r="AC11" i="26"/>
  <c r="L11" i="26"/>
  <c r="F11" i="26"/>
  <c r="Z11" i="26"/>
  <c r="T11" i="26"/>
  <c r="W11" i="26"/>
  <c r="Q12" i="26"/>
  <c r="O12" i="26"/>
  <c r="L12" i="26"/>
  <c r="F12" i="26"/>
  <c r="E12" i="26"/>
  <c r="T12" i="26"/>
  <c r="W12" i="26"/>
  <c r="Z12" i="26"/>
  <c r="AC12" i="26"/>
  <c r="Q16" i="26"/>
  <c r="AC16" i="26"/>
  <c r="E16" i="26"/>
  <c r="L16" i="26"/>
  <c r="F16" i="26"/>
  <c r="O16" i="26"/>
  <c r="W16" i="26"/>
  <c r="T16" i="26"/>
  <c r="Z16" i="26"/>
  <c r="AG161" i="20"/>
  <c r="AK161" i="25"/>
  <c r="AF162" i="20"/>
  <c r="AF163" i="20" s="1"/>
  <c r="AJ162" i="25"/>
  <c r="L15" i="26"/>
  <c r="O15" i="26"/>
  <c r="E15" i="26"/>
  <c r="W15" i="26"/>
  <c r="F15" i="26"/>
  <c r="Q15" i="26"/>
  <c r="Z15" i="26"/>
  <c r="T15" i="26"/>
  <c r="AC15" i="26"/>
  <c r="AF165" i="20"/>
  <c r="AF166" i="20" s="1"/>
  <c r="AJ165" i="25"/>
  <c r="Q14" i="26"/>
  <c r="L14" i="26"/>
  <c r="F14" i="26"/>
  <c r="O14" i="26"/>
  <c r="W14" i="26"/>
  <c r="T14" i="26"/>
  <c r="AC14" i="26"/>
  <c r="Z14" i="26"/>
  <c r="AF168" i="20"/>
  <c r="AF169" i="20" s="1"/>
  <c r="AJ168" i="25"/>
  <c r="Q13" i="26"/>
  <c r="O13" i="26"/>
  <c r="F13" i="26"/>
  <c r="L13" i="26"/>
  <c r="E13" i="26"/>
  <c r="AC13" i="26"/>
  <c r="W13" i="26"/>
  <c r="T13" i="26"/>
  <c r="Z13" i="26"/>
  <c r="D20" i="21"/>
  <c r="F20" i="21" s="1"/>
  <c r="G20" i="21" s="1"/>
  <c r="C18" i="21"/>
  <c r="L25" i="18"/>
  <c r="G171" i="13"/>
  <c r="H171" i="13"/>
  <c r="AU16" i="20" s="1" a="1"/>
  <c r="AU16" i="20" s="1"/>
  <c r="I171" i="13"/>
  <c r="T149" i="12"/>
  <c r="P149" i="12"/>
  <c r="Q149" i="12" s="1"/>
  <c r="AN13" i="19"/>
  <c r="T166" i="12"/>
  <c r="P166" i="12"/>
  <c r="Q166" i="12" s="1"/>
  <c r="P154" i="12"/>
  <c r="Q154" i="12" s="1"/>
  <c r="T154" i="12"/>
  <c r="P164" i="12"/>
  <c r="Q164" i="12" s="1"/>
  <c r="T164" i="12"/>
  <c r="P152" i="12"/>
  <c r="Q152" i="12" s="1"/>
  <c r="T152" i="12"/>
  <c r="P161" i="12"/>
  <c r="Q161" i="12" s="1"/>
  <c r="T161" i="12"/>
  <c r="T160" i="12"/>
  <c r="P160" i="12"/>
  <c r="P159" i="12"/>
  <c r="T159" i="12"/>
  <c r="U159" i="12" s="1"/>
  <c r="V159" i="12" s="1"/>
  <c r="P151" i="12"/>
  <c r="T151" i="12"/>
  <c r="P150" i="12"/>
  <c r="T150" i="12"/>
  <c r="N118" i="1"/>
  <c r="T157" i="12"/>
  <c r="U157" i="12" s="1"/>
  <c r="V157" i="12" s="1"/>
  <c r="P157" i="12"/>
  <c r="Q157" i="12" s="1"/>
  <c r="P162" i="12"/>
  <c r="T162" i="12"/>
  <c r="P158" i="12"/>
  <c r="Q158" i="12" s="1"/>
  <c r="T158" i="12"/>
  <c r="P156" i="12"/>
  <c r="Q156" i="12" s="1"/>
  <c r="T156" i="12"/>
  <c r="P155" i="12"/>
  <c r="Q155" i="12" s="1"/>
  <c r="T155" i="12"/>
  <c r="P163" i="12"/>
  <c r="T163" i="12"/>
  <c r="P165" i="12"/>
  <c r="Q165" i="12" s="1"/>
  <c r="T165" i="12"/>
  <c r="P153" i="12"/>
  <c r="Q153" i="12" s="1"/>
  <c r="T153" i="12"/>
  <c r="K25" i="18"/>
  <c r="P146" i="12"/>
  <c r="Q146" i="12" s="1"/>
  <c r="P111" i="12"/>
  <c r="Q111" i="12" s="1"/>
  <c r="U111" i="12"/>
  <c r="V111" i="12" s="1"/>
  <c r="P110" i="12"/>
  <c r="Q110" i="12" s="1"/>
  <c r="U110" i="12"/>
  <c r="V110" i="12" s="1"/>
  <c r="P84" i="12"/>
  <c r="T84" i="12"/>
  <c r="U84" i="12" s="1"/>
  <c r="V84" i="12" s="1"/>
  <c r="AK84" i="12" s="1"/>
  <c r="P147" i="12"/>
  <c r="T147" i="12"/>
  <c r="U147" i="12" s="1"/>
  <c r="V147" i="12" s="1"/>
  <c r="T141" i="12"/>
  <c r="T146" i="12"/>
  <c r="U145" i="12"/>
  <c r="V145" i="12" s="1"/>
  <c r="P145" i="12"/>
  <c r="Q145" i="12" s="1"/>
  <c r="AF17" i="26" l="1" a="1"/>
  <c r="AF17" i="26" s="1"/>
  <c r="AF19" i="26" s="1"/>
  <c r="V27" i="19"/>
  <c r="V26" i="19"/>
  <c r="Q27" i="19"/>
  <c r="O25" i="19"/>
  <c r="O24" i="19"/>
  <c r="O27" i="19"/>
  <c r="I27" i="19" s="1"/>
  <c r="O26" i="19"/>
  <c r="AI17" i="26" a="1"/>
  <c r="AI17" i="26" s="1"/>
  <c r="AI19" i="26" s="1"/>
  <c r="P140" i="12"/>
  <c r="Q140" i="12" s="1"/>
  <c r="DS186" i="22"/>
  <c r="CQ196" i="22"/>
  <c r="T136" i="12"/>
  <c r="U136" i="12" s="1"/>
  <c r="V136" i="12" s="1"/>
  <c r="Z136" i="12" s="1"/>
  <c r="P136" i="12"/>
  <c r="Q136" i="12" s="1"/>
  <c r="DR196" i="22"/>
  <c r="EY186" i="22"/>
  <c r="EJ198" i="22"/>
  <c r="AC13" i="20"/>
  <c r="AC11" i="20"/>
  <c r="AC12" i="20"/>
  <c r="AG11" i="20"/>
  <c r="AG13" i="20"/>
  <c r="AG12" i="20"/>
  <c r="AD196" i="22"/>
  <c r="CJ186" i="22"/>
  <c r="DB186" i="22"/>
  <c r="CP196" i="22"/>
  <c r="FA200" i="22"/>
  <c r="CY196" i="22"/>
  <c r="BE186" i="22"/>
  <c r="DN196" i="22"/>
  <c r="AA196" i="22"/>
  <c r="FJ195" i="22"/>
  <c r="DL186" i="22"/>
  <c r="BU186" i="22"/>
  <c r="CH186" i="22"/>
  <c r="AB196" i="22"/>
  <c r="ER199" i="22"/>
  <c r="P133" i="12"/>
  <c r="Q133" i="12" s="1"/>
  <c r="EM196" i="22"/>
  <c r="CE196" i="22"/>
  <c r="AK186" i="22"/>
  <c r="BD196" i="22"/>
  <c r="DA185" i="22"/>
  <c r="FJ186" i="22"/>
  <c r="EL186" i="22"/>
  <c r="AU196" i="22"/>
  <c r="FK186" i="22"/>
  <c r="BD195" i="22"/>
  <c r="DY186" i="22"/>
  <c r="BK186" i="22"/>
  <c r="AH186" i="22"/>
  <c r="EE186" i="22"/>
  <c r="CS186" i="22"/>
  <c r="X196" i="22"/>
  <c r="AA186" i="22"/>
  <c r="FI195" i="22"/>
  <c r="AY186" i="22"/>
  <c r="BV196" i="22"/>
  <c r="DA200" i="22"/>
  <c r="FF185" i="22"/>
  <c r="DF186" i="22"/>
  <c r="DT186" i="22"/>
  <c r="AT196" i="22"/>
  <c r="EX186" i="22"/>
  <c r="DD186" i="22"/>
  <c r="DO196" i="22"/>
  <c r="DC186" i="22"/>
  <c r="CU186" i="22"/>
  <c r="CK186" i="22"/>
  <c r="AV196" i="22"/>
  <c r="AI186" i="22"/>
  <c r="BW186" i="22"/>
  <c r="AJ196" i="22"/>
  <c r="EQ196" i="22"/>
  <c r="BL186" i="22"/>
  <c r="AL186" i="22"/>
  <c r="EE196" i="22"/>
  <c r="AZ186" i="22"/>
  <c r="EA186" i="22"/>
  <c r="BG196" i="22"/>
  <c r="BR186" i="22"/>
  <c r="AM186" i="22"/>
  <c r="EN196" i="22"/>
  <c r="BG186" i="22"/>
  <c r="AB186" i="22"/>
  <c r="EW196" i="22"/>
  <c r="AI196" i="22"/>
  <c r="ED186" i="22"/>
  <c r="FJ196" i="22"/>
  <c r="DI196" i="22"/>
  <c r="EO186" i="22"/>
  <c r="AW196" i="22"/>
  <c r="EJ186" i="22"/>
  <c r="EW200" i="22"/>
  <c r="CY200" i="22"/>
  <c r="CT195" i="22"/>
  <c r="AU200" i="22"/>
  <c r="CE195" i="22"/>
  <c r="BY195" i="22"/>
  <c r="FD190" i="22"/>
  <c r="DB190" i="22"/>
  <c r="DJ190" i="22"/>
  <c r="EQ185" i="22"/>
  <c r="AG10" i="20"/>
  <c r="AG14" i="20"/>
  <c r="AG17" i="20"/>
  <c r="AG15" i="20"/>
  <c r="AG16" i="20"/>
  <c r="AY185" i="22"/>
  <c r="CK196" i="22"/>
  <c r="DP186" i="22"/>
  <c r="FF196" i="22"/>
  <c r="DK186" i="22"/>
  <c r="BK196" i="22"/>
  <c r="AH196" i="22"/>
  <c r="DN186" i="22"/>
  <c r="CR186" i="22"/>
  <c r="CI186" i="22"/>
  <c r="EX196" i="22"/>
  <c r="AT186" i="22"/>
  <c r="BT186" i="22"/>
  <c r="EL196" i="22"/>
  <c r="FB186" i="22"/>
  <c r="BI186" i="22"/>
  <c r="BS196" i="22"/>
  <c r="DR186" i="22"/>
  <c r="AW186" i="22"/>
  <c r="DM196" i="22"/>
  <c r="EP186" i="22"/>
  <c r="CC186" i="22"/>
  <c r="AJ186" i="22"/>
  <c r="DB196" i="22"/>
  <c r="AX186" i="22"/>
  <c r="Y186" i="22"/>
  <c r="DA196" i="22"/>
  <c r="EU196" i="22"/>
  <c r="FH186" i="22"/>
  <c r="CM186" i="22"/>
  <c r="DA186" i="22"/>
  <c r="DH196" i="22"/>
  <c r="EY196" i="22"/>
  <c r="EC186" i="22"/>
  <c r="DX195" i="22"/>
  <c r="DZ199" i="22"/>
  <c r="BI200" i="22"/>
  <c r="CP200" i="22"/>
  <c r="BR195" i="22"/>
  <c r="BX195" i="22"/>
  <c r="BR190" i="22"/>
  <c r="DA190" i="22"/>
  <c r="BN185" i="22"/>
  <c r="BU190" i="22"/>
  <c r="AU186" i="22"/>
  <c r="AF196" i="22"/>
  <c r="BY196" i="22"/>
  <c r="DJ186" i="22"/>
  <c r="DQ186" i="22"/>
  <c r="CM196" i="22"/>
  <c r="CZ186" i="22"/>
  <c r="AG186" i="22"/>
  <c r="CG186" i="22"/>
  <c r="BO196" i="22"/>
  <c r="CB186" i="22"/>
  <c r="ER196" i="22"/>
  <c r="BC196" i="22"/>
  <c r="EW186" i="22"/>
  <c r="BH186" i="22"/>
  <c r="DZ196" i="22"/>
  <c r="DM186" i="22"/>
  <c r="AV186" i="22"/>
  <c r="FH196" i="22"/>
  <c r="AE196" i="22"/>
  <c r="AR186" i="22"/>
  <c r="AG196" i="22"/>
  <c r="FG196" i="22"/>
  <c r="AS186" i="22"/>
  <c r="X186" i="22"/>
  <c r="Z196" i="22"/>
  <c r="BN196" i="22"/>
  <c r="FF186" i="22"/>
  <c r="DL196" i="22"/>
  <c r="CT186" i="22"/>
  <c r="AX196" i="22"/>
  <c r="DW196" i="22"/>
  <c r="BX200" i="22"/>
  <c r="CB195" i="22"/>
  <c r="CL200" i="22"/>
  <c r="BQ190" i="22"/>
  <c r="AB195" i="22"/>
  <c r="FG195" i="22"/>
  <c r="AY198" i="22"/>
  <c r="DZ190" i="22"/>
  <c r="DL190" i="22"/>
  <c r="CK190" i="22"/>
  <c r="DQ185" i="22"/>
  <c r="DX186" i="22"/>
  <c r="BJ196" i="22"/>
  <c r="EF196" i="22"/>
  <c r="DI186" i="22"/>
  <c r="W196" i="22"/>
  <c r="ET196" i="22"/>
  <c r="CY186" i="22"/>
  <c r="CO196" i="22"/>
  <c r="CF186" i="22"/>
  <c r="DV196" i="22"/>
  <c r="CA186" i="22"/>
  <c r="BA196" i="22"/>
  <c r="DJ196" i="22"/>
  <c r="BP186" i="22"/>
  <c r="BV186" i="22"/>
  <c r="AQ196" i="22"/>
  <c r="BD186" i="22"/>
  <c r="AK196" i="22"/>
  <c r="AR196" i="22"/>
  <c r="CL196" i="22"/>
  <c r="AQ186" i="22"/>
  <c r="EO196" i="22"/>
  <c r="BZ196" i="22"/>
  <c r="AF186" i="22"/>
  <c r="BF196" i="22"/>
  <c r="DZ186" i="22"/>
  <c r="DU196" i="22"/>
  <c r="FE186" i="22"/>
  <c r="BI196" i="22"/>
  <c r="EV186" i="22"/>
  <c r="CH196" i="22"/>
  <c r="AP196" i="22"/>
  <c r="AB200" i="22"/>
  <c r="DZ185" i="22"/>
  <c r="EG200" i="22"/>
  <c r="DD200" i="22"/>
  <c r="CS195" i="22"/>
  <c r="BO195" i="22"/>
  <c r="BW195" i="22"/>
  <c r="BE185" i="22"/>
  <c r="FH185" i="22"/>
  <c r="EG185" i="22"/>
  <c r="CR185" i="22"/>
  <c r="AW185" i="22"/>
  <c r="EO185" i="22"/>
  <c r="CS190" i="22"/>
  <c r="BW185" i="22"/>
  <c r="AA190" i="22"/>
  <c r="DS190" i="22"/>
  <c r="DH185" i="22"/>
  <c r="BM185" i="22"/>
  <c r="FE185" i="22"/>
  <c r="DI190" i="22"/>
  <c r="CL185" i="22"/>
  <c r="AP190" i="22"/>
  <c r="AE185" i="22"/>
  <c r="DW185" i="22"/>
  <c r="CA190" i="22"/>
  <c r="CN185" i="22"/>
  <c r="AR190" i="22"/>
  <c r="CC185" i="22"/>
  <c r="EJ190" i="22"/>
  <c r="CD185" i="22"/>
  <c r="EK190" i="22"/>
  <c r="BG190" i="22"/>
  <c r="AH195" i="22"/>
  <c r="CF190" i="22"/>
  <c r="DY185" i="22"/>
  <c r="EZ190" i="22"/>
  <c r="DM190" i="22"/>
  <c r="AU190" i="22"/>
  <c r="BR185" i="22"/>
  <c r="DO190" i="22"/>
  <c r="EM185" i="22"/>
  <c r="FF190" i="22"/>
  <c r="CU195" i="22"/>
  <c r="AB190" i="22"/>
  <c r="CV195" i="22"/>
  <c r="AN190" i="22"/>
  <c r="CW195" i="22"/>
  <c r="AS190" i="22"/>
  <c r="CX195" i="22"/>
  <c r="AZ190" i="22"/>
  <c r="CM195" i="22"/>
  <c r="EP185" i="22"/>
  <c r="CP195" i="22"/>
  <c r="CJ190" i="22"/>
  <c r="DC195" i="22"/>
  <c r="CO190" i="22"/>
  <c r="DD195" i="22"/>
  <c r="FG190" i="22"/>
  <c r="DQ195" i="22"/>
  <c r="DY195" i="22"/>
  <c r="DN200" i="22"/>
  <c r="EE200" i="22"/>
  <c r="BS200" i="22"/>
  <c r="FK200" i="22"/>
  <c r="W185" i="22"/>
  <c r="AJ200" i="22"/>
  <c r="EB200" i="22"/>
  <c r="CO195" i="22"/>
  <c r="CG200" i="22"/>
  <c r="AM200" i="22"/>
  <c r="DV199" i="22"/>
  <c r="DF200" i="22"/>
  <c r="BF184" i="22"/>
  <c r="BM200" i="22"/>
  <c r="FE200" i="22"/>
  <c r="EH200" i="22"/>
  <c r="BZ200" i="22"/>
  <c r="AE200" i="22"/>
  <c r="DW200" i="22"/>
  <c r="EK200" i="22"/>
  <c r="AR200" i="22"/>
  <c r="EJ200" i="22"/>
  <c r="AG200" i="22"/>
  <c r="ER200" i="22"/>
  <c r="AN200" i="22"/>
  <c r="EG186" i="22"/>
  <c r="DD185" i="22"/>
  <c r="BI185" i="22"/>
  <c r="FA185" i="22"/>
  <c r="DE190" i="22"/>
  <c r="CI185" i="22"/>
  <c r="AM190" i="22"/>
  <c r="AB185" i="22"/>
  <c r="DT185" i="22"/>
  <c r="BY185" i="22"/>
  <c r="AC190" i="22"/>
  <c r="DU190" i="22"/>
  <c r="CX185" i="22"/>
  <c r="BB190" i="22"/>
  <c r="AQ185" i="22"/>
  <c r="EI185" i="22"/>
  <c r="CM190" i="22"/>
  <c r="CZ185" i="22"/>
  <c r="BD190" i="22"/>
  <c r="DM185" i="22"/>
  <c r="EV190" i="22"/>
  <c r="DN185" i="22"/>
  <c r="EW190" i="22"/>
  <c r="CE190" i="22"/>
  <c r="AT195" i="22"/>
  <c r="DD190" i="22"/>
  <c r="FI185" i="22"/>
  <c r="Z185" i="22"/>
  <c r="ED190" i="22"/>
  <c r="BS190" i="22"/>
  <c r="DB185" i="22"/>
  <c r="EF190" i="22"/>
  <c r="Z190" i="22"/>
  <c r="BG185" i="22"/>
  <c r="DG195" i="22"/>
  <c r="DR190" i="22"/>
  <c r="DH195" i="22"/>
  <c r="EA190" i="22"/>
  <c r="DI195" i="22"/>
  <c r="EB190" i="22"/>
  <c r="DJ195" i="22"/>
  <c r="EI190" i="22"/>
  <c r="CY195" i="22"/>
  <c r="BX190" i="22"/>
  <c r="DB195" i="22"/>
  <c r="FA190" i="22"/>
  <c r="DO195" i="22"/>
  <c r="FB190" i="22"/>
  <c r="DP195" i="22"/>
  <c r="AG195" i="22"/>
  <c r="EC195" i="22"/>
  <c r="AH200" i="22"/>
  <c r="DZ200" i="22"/>
  <c r="AI195" i="22"/>
  <c r="CE200" i="22"/>
  <c r="EO190" i="22"/>
  <c r="BE195" i="22"/>
  <c r="AV200" i="22"/>
  <c r="EN200" i="22"/>
  <c r="EK195" i="22"/>
  <c r="CS200" i="22"/>
  <c r="CU200" i="22"/>
  <c r="Z200" i="22"/>
  <c r="DR200" i="22"/>
  <c r="BJ195" i="22"/>
  <c r="BY200" i="22"/>
  <c r="W195" i="22"/>
  <c r="FF200" i="22"/>
  <c r="CX200" i="22"/>
  <c r="AQ200" i="22"/>
  <c r="EI200" i="22"/>
  <c r="FI200" i="22"/>
  <c r="BD200" i="22"/>
  <c r="EV200" i="22"/>
  <c r="BE200" i="22"/>
  <c r="EW195" i="22"/>
  <c r="AZ200" i="22"/>
  <c r="EH186" i="22"/>
  <c r="CW196" i="22"/>
  <c r="CC196" i="22"/>
  <c r="BE196" i="22"/>
  <c r="ET186" i="22"/>
  <c r="CP186" i="22"/>
  <c r="DY196" i="22"/>
  <c r="EZ186" i="22"/>
  <c r="X185" i="22"/>
  <c r="DP185" i="22"/>
  <c r="BU185" i="22"/>
  <c r="Y190" i="22"/>
  <c r="DQ190" i="22"/>
  <c r="CU185" i="22"/>
  <c r="AY190" i="22"/>
  <c r="AN185" i="22"/>
  <c r="EF185" i="22"/>
  <c r="CK185" i="22"/>
  <c r="AO190" i="22"/>
  <c r="EG190" i="22"/>
  <c r="DJ185" i="22"/>
  <c r="BN190" i="22"/>
  <c r="BC185" i="22"/>
  <c r="EU185" i="22"/>
  <c r="CY190" i="22"/>
  <c r="DL185" i="22"/>
  <c r="BP190" i="22"/>
  <c r="EW185" i="22"/>
  <c r="FH190" i="22"/>
  <c r="EX185" i="22"/>
  <c r="FI190" i="22"/>
  <c r="DC190" i="22"/>
  <c r="AX185" i="22"/>
  <c r="DY190" i="22"/>
  <c r="AL190" i="22"/>
  <c r="BJ185" i="22"/>
  <c r="EQ190" i="22"/>
  <c r="CQ190" i="22"/>
  <c r="EL185" i="22"/>
  <c r="ES190" i="22"/>
  <c r="AX190" i="22"/>
  <c r="DK190" i="22"/>
  <c r="DS195" i="22"/>
  <c r="AA194" i="22"/>
  <c r="DT195" i="22"/>
  <c r="X195" i="22"/>
  <c r="DU195" i="22"/>
  <c r="Y195" i="22"/>
  <c r="DV195" i="22"/>
  <c r="AE194" i="22"/>
  <c r="DK195" i="22"/>
  <c r="EU190" i="22"/>
  <c r="DN195" i="22"/>
  <c r="AD195" i="22"/>
  <c r="EA195" i="22"/>
  <c r="AE195" i="22"/>
  <c r="EB195" i="22"/>
  <c r="AV195" i="22"/>
  <c r="EO195" i="22"/>
  <c r="AT200" i="22"/>
  <c r="EL200" i="22"/>
  <c r="CH195" i="22"/>
  <c r="CQ200" i="22"/>
  <c r="BC195" i="22"/>
  <c r="BL190" i="22"/>
  <c r="BH200" i="22"/>
  <c r="EZ200" i="22"/>
  <c r="DC199" i="22"/>
  <c r="DE200" i="22"/>
  <c r="FC200" i="22"/>
  <c r="AL200" i="22"/>
  <c r="ED200" i="22"/>
  <c r="DF195" i="22"/>
  <c r="CK200" i="22"/>
  <c r="AR199" i="22"/>
  <c r="CS192" i="22"/>
  <c r="DV200" i="22"/>
  <c r="BC200" i="22"/>
  <c r="EU200" i="22"/>
  <c r="BF185" i="22"/>
  <c r="BP200" i="22"/>
  <c r="FH200" i="22"/>
  <c r="CC200" i="22"/>
  <c r="DT200" i="22"/>
  <c r="BL200" i="22"/>
  <c r="EI186" i="22"/>
  <c r="AJ185" i="22"/>
  <c r="EB185" i="22"/>
  <c r="CG185" i="22"/>
  <c r="AK190" i="22"/>
  <c r="EC190" i="22"/>
  <c r="DG185" i="22"/>
  <c r="BK190" i="22"/>
  <c r="AZ185" i="22"/>
  <c r="ER185" i="22"/>
  <c r="CW185" i="22"/>
  <c r="BA190" i="22"/>
  <c r="AD185" i="22"/>
  <c r="DV185" i="22"/>
  <c r="BZ190" i="22"/>
  <c r="BO185" i="22"/>
  <c r="FG185" i="22"/>
  <c r="AF185" i="22"/>
  <c r="DX185" i="22"/>
  <c r="CB190" i="22"/>
  <c r="AG190" i="22"/>
  <c r="CN192" i="22"/>
  <c r="AH190" i="22"/>
  <c r="AU185" i="22"/>
  <c r="DX190" i="22"/>
  <c r="CH185" i="22"/>
  <c r="EM190" i="22"/>
  <c r="BJ190" i="22"/>
  <c r="CT185" i="22"/>
  <c r="FC190" i="22"/>
  <c r="DN190" i="22"/>
  <c r="CP189" i="22"/>
  <c r="FE190" i="22"/>
  <c r="BV190" i="22"/>
  <c r="AJ195" i="22"/>
  <c r="EE195" i="22"/>
  <c r="AK195" i="22"/>
  <c r="EF195" i="22"/>
  <c r="AL195" i="22"/>
  <c r="EG195" i="22"/>
  <c r="AM195" i="22"/>
  <c r="EH195" i="22"/>
  <c r="Z195" i="22"/>
  <c r="DW195" i="22"/>
  <c r="AC195" i="22"/>
  <c r="DZ195" i="22"/>
  <c r="AS195" i="22"/>
  <c r="EM195" i="22"/>
  <c r="AU195" i="22"/>
  <c r="EN195" i="22"/>
  <c r="BI195" i="22"/>
  <c r="FA195" i="22"/>
  <c r="BF200" i="22"/>
  <c r="EX200" i="22"/>
  <c r="ED195" i="22"/>
  <c r="DC200" i="22"/>
  <c r="EV195" i="22"/>
  <c r="AO195" i="22"/>
  <c r="BT200" i="22"/>
  <c r="W200" i="22"/>
  <c r="Y200" i="22"/>
  <c r="DQ200" i="22"/>
  <c r="DA195" i="22"/>
  <c r="AX200" i="22"/>
  <c r="EP200" i="22"/>
  <c r="FB195" i="22"/>
  <c r="CW200" i="22"/>
  <c r="AD200" i="22"/>
  <c r="BP195" i="22"/>
  <c r="ET200" i="22"/>
  <c r="BO200" i="22"/>
  <c r="FG200" i="22"/>
  <c r="BV195" i="22"/>
  <c r="CB200" i="22"/>
  <c r="AV185" i="22"/>
  <c r="EN185" i="22"/>
  <c r="CS185" i="22"/>
  <c r="AW190" i="22"/>
  <c r="AA185" i="22"/>
  <c r="DS185" i="22"/>
  <c r="BW190" i="22"/>
  <c r="BL185" i="22"/>
  <c r="FD185" i="22"/>
  <c r="DI185" i="22"/>
  <c r="BM190" i="22"/>
  <c r="AP185" i="22"/>
  <c r="EH185" i="22"/>
  <c r="CL190" i="22"/>
  <c r="CA185" i="22"/>
  <c r="AE190" i="22"/>
  <c r="AR185" i="22"/>
  <c r="EJ185" i="22"/>
  <c r="CN190" i="22"/>
  <c r="BE190" i="22"/>
  <c r="AF195" i="22"/>
  <c r="BF190" i="22"/>
  <c r="CE185" i="22"/>
  <c r="EL190" i="22"/>
  <c r="DR185" i="22"/>
  <c r="EY190" i="22"/>
  <c r="CH190" i="22"/>
  <c r="ED185" i="22"/>
  <c r="AG185" i="22"/>
  <c r="EE190" i="22"/>
  <c r="X190" i="22"/>
  <c r="AI184" i="22"/>
  <c r="CT190" i="22"/>
  <c r="AX195" i="22"/>
  <c r="EQ195" i="22"/>
  <c r="AY195" i="22"/>
  <c r="ER195" i="22"/>
  <c r="AZ195" i="22"/>
  <c r="ES195" i="22"/>
  <c r="BA195" i="22"/>
  <c r="ET195" i="22"/>
  <c r="AN195" i="22"/>
  <c r="EI195" i="22"/>
  <c r="AQ195" i="22"/>
  <c r="EL195" i="22"/>
  <c r="BG195" i="22"/>
  <c r="EY195" i="22"/>
  <c r="BH195" i="22"/>
  <c r="EZ195" i="22"/>
  <c r="BU195" i="22"/>
  <c r="CS198" i="22"/>
  <c r="BR200" i="22"/>
  <c r="FJ200" i="22"/>
  <c r="DZ198" i="22"/>
  <c r="DO200" i="22"/>
  <c r="DL198" i="22"/>
  <c r="CN195" i="22"/>
  <c r="CF200" i="22"/>
  <c r="AY200" i="22"/>
  <c r="AK200" i="22"/>
  <c r="EC200" i="22"/>
  <c r="DH190" i="22"/>
  <c r="BJ200" i="22"/>
  <c r="FB200" i="22"/>
  <c r="FI198" i="22"/>
  <c r="DI200" i="22"/>
  <c r="BB200" i="22"/>
  <c r="DL195" i="22"/>
  <c r="BQ195" i="22"/>
  <c r="CA200" i="22"/>
  <c r="AS200" i="22"/>
  <c r="DR195" i="22"/>
  <c r="CN200" i="22"/>
  <c r="AA195" i="22"/>
  <c r="DY200" i="22"/>
  <c r="CJ200" i="22"/>
  <c r="EB186" i="22"/>
  <c r="CE186" i="22"/>
  <c r="BR196" i="22"/>
  <c r="FB196" i="22"/>
  <c r="EN186" i="22"/>
  <c r="DO186" i="22"/>
  <c r="EI196" i="22"/>
  <c r="CO186" i="22"/>
  <c r="FD186" i="22"/>
  <c r="BH185" i="22"/>
  <c r="EZ185" i="22"/>
  <c r="DE185" i="22"/>
  <c r="BI190" i="22"/>
  <c r="AM185" i="22"/>
  <c r="EE185" i="22"/>
  <c r="CI190" i="22"/>
  <c r="BX185" i="22"/>
  <c r="AC185" i="22"/>
  <c r="DU185" i="22"/>
  <c r="BY190" i="22"/>
  <c r="BB185" i="22"/>
  <c r="ET185" i="22"/>
  <c r="CX190" i="22"/>
  <c r="CM185" i="22"/>
  <c r="AQ190" i="22"/>
  <c r="BD185" i="22"/>
  <c r="EV185" i="22"/>
  <c r="CZ190" i="22"/>
  <c r="CC190" i="22"/>
  <c r="AR195" i="22"/>
  <c r="CD190" i="22"/>
  <c r="DO185" i="22"/>
  <c r="EX190" i="22"/>
  <c r="FB185" i="22"/>
  <c r="FK190" i="22"/>
  <c r="DF190" i="22"/>
  <c r="AT190" i="22"/>
  <c r="BQ185" i="22"/>
  <c r="ER190" i="22"/>
  <c r="AV190" i="22"/>
  <c r="AI185" i="22"/>
  <c r="DP190" i="22"/>
  <c r="BK195" i="22"/>
  <c r="FC195" i="22"/>
  <c r="BL195" i="22"/>
  <c r="FD195" i="22"/>
  <c r="BM195" i="22"/>
  <c r="FE195" i="22"/>
  <c r="BN195" i="22"/>
  <c r="FF195" i="22"/>
  <c r="BB195" i="22"/>
  <c r="EU195" i="22"/>
  <c r="BF195" i="22"/>
  <c r="EX195" i="22"/>
  <c r="BS195" i="22"/>
  <c r="FK195" i="22"/>
  <c r="BT195" i="22"/>
  <c r="AL185" i="22"/>
  <c r="CG195" i="22"/>
  <c r="EA185" i="22"/>
  <c r="CD200" i="22"/>
  <c r="W190" i="22"/>
  <c r="AI200" i="22"/>
  <c r="EA200" i="22"/>
  <c r="AA200" i="22"/>
  <c r="EJ195" i="22"/>
  <c r="CR200" i="22"/>
  <c r="DG200" i="22"/>
  <c r="AW200" i="22"/>
  <c r="EO200" i="22"/>
  <c r="AW195" i="22"/>
  <c r="BV200" i="22"/>
  <c r="BW200" i="22"/>
  <c r="AC200" i="22"/>
  <c r="DU200" i="22"/>
  <c r="BN200" i="22"/>
  <c r="FH195" i="22"/>
  <c r="DM195" i="22"/>
  <c r="CM200" i="22"/>
  <c r="BQ200" i="22"/>
  <c r="AX198" i="22"/>
  <c r="CZ200" i="22"/>
  <c r="CF185" i="22"/>
  <c r="AK185" i="22"/>
  <c r="EC185" i="22"/>
  <c r="CG190" i="22"/>
  <c r="BK185" i="22"/>
  <c r="FC185" i="22"/>
  <c r="DG190" i="22"/>
  <c r="CV185" i="22"/>
  <c r="BA185" i="22"/>
  <c r="ES185" i="22"/>
  <c r="CW190" i="22"/>
  <c r="BZ185" i="22"/>
  <c r="AD190" i="22"/>
  <c r="DV190" i="22"/>
  <c r="DK185" i="22"/>
  <c r="BO190" i="22"/>
  <c r="CB185" i="22"/>
  <c r="AF190" i="22"/>
  <c r="AS185" i="22"/>
  <c r="DT190" i="22"/>
  <c r="AT185" i="22"/>
  <c r="DW190" i="22"/>
  <c r="AI190" i="22"/>
  <c r="DZ192" i="22"/>
  <c r="BH190" i="22"/>
  <c r="CO185" i="22"/>
  <c r="EN190" i="22"/>
  <c r="CP190" i="22"/>
  <c r="EK185" i="22"/>
  <c r="AH185" i="22"/>
  <c r="CR190" i="22"/>
  <c r="DC185" i="22"/>
  <c r="ET190" i="22"/>
  <c r="CI195" i="22"/>
  <c r="BV185" i="22"/>
  <c r="CJ195" i="22"/>
  <c r="CP185" i="22"/>
  <c r="CK195" i="22"/>
  <c r="CQ185" i="22"/>
  <c r="CL195" i="22"/>
  <c r="DF185" i="22"/>
  <c r="CA195" i="22"/>
  <c r="EP184" i="22"/>
  <c r="CD195" i="22"/>
  <c r="FJ185" i="22"/>
  <c r="CQ195" i="22"/>
  <c r="EK189" i="22"/>
  <c r="CR195" i="22"/>
  <c r="CV190" i="22"/>
  <c r="DE195" i="22"/>
  <c r="CC195" i="22"/>
  <c r="DB200" i="22"/>
  <c r="BK200" i="22"/>
  <c r="BG200" i="22"/>
  <c r="EY200" i="22"/>
  <c r="EQ200" i="22"/>
  <c r="X200" i="22"/>
  <c r="DP200" i="22"/>
  <c r="AP195" i="22"/>
  <c r="BU200" i="22"/>
  <c r="CZ195" i="22"/>
  <c r="EP195" i="22"/>
  <c r="CT200" i="22"/>
  <c r="EP190" i="22"/>
  <c r="BA200" i="22"/>
  <c r="ES200" i="22"/>
  <c r="DJ200" i="22"/>
  <c r="AP200" i="22"/>
  <c r="CT199" i="22"/>
  <c r="DK200" i="22"/>
  <c r="DM200" i="22"/>
  <c r="AF200" i="22"/>
  <c r="DX200" i="22"/>
  <c r="DX198" i="22"/>
  <c r="EF200" i="22"/>
  <c r="DH200" i="22"/>
  <c r="EF186" i="22"/>
  <c r="BW196" i="22"/>
  <c r="DD196" i="22"/>
  <c r="BP196" i="22"/>
  <c r="ER186" i="22"/>
  <c r="CI196" i="22"/>
  <c r="DP196" i="22"/>
  <c r="Z186" i="22"/>
  <c r="FG186" i="22"/>
  <c r="CB196" i="22"/>
  <c r="DW186" i="22"/>
  <c r="Y196" i="22"/>
  <c r="AY196" i="22"/>
  <c r="DH186" i="22"/>
  <c r="EK196" i="22"/>
  <c r="BM196" i="22"/>
  <c r="CX186" i="22"/>
  <c r="DC196" i="22"/>
  <c r="EP196" i="22"/>
  <c r="AO196" i="22"/>
  <c r="BZ186" i="22"/>
  <c r="CT196" i="22"/>
  <c r="CQ186" i="22"/>
  <c r="BO186" i="22"/>
  <c r="FI196" i="22"/>
  <c r="CX196" i="22"/>
  <c r="BC186" i="22"/>
  <c r="DK196" i="22"/>
  <c r="ED196" i="22"/>
  <c r="ES196" i="22"/>
  <c r="AP186" i="22"/>
  <c r="BS186" i="22"/>
  <c r="EG196" i="22"/>
  <c r="AE186" i="22"/>
  <c r="BH196" i="22"/>
  <c r="AL196" i="22"/>
  <c r="AN196" i="22"/>
  <c r="FC186" i="22"/>
  <c r="FK196" i="22"/>
  <c r="EU186" i="22"/>
  <c r="DX196" i="22"/>
  <c r="FD196" i="22"/>
  <c r="CV200" i="22"/>
  <c r="DL200" i="22"/>
  <c r="AO200" i="22"/>
  <c r="DB199" i="22"/>
  <c r="ER189" i="22"/>
  <c r="FF198" i="22"/>
  <c r="EH190" i="22"/>
  <c r="AJ190" i="22"/>
  <c r="BP185" i="22"/>
  <c r="AO185" i="22"/>
  <c r="BT185" i="22"/>
  <c r="DF196" i="22"/>
  <c r="DV186" i="22"/>
  <c r="CF196" i="22"/>
  <c r="EM186" i="22"/>
  <c r="DG186" i="22"/>
  <c r="FA196" i="22"/>
  <c r="DT196" i="22"/>
  <c r="CW186" i="22"/>
  <c r="CA196" i="22"/>
  <c r="AS196" i="22"/>
  <c r="CV196" i="22"/>
  <c r="BY186" i="22"/>
  <c r="EJ196" i="22"/>
  <c r="AC196" i="22"/>
  <c r="BN186" i="22"/>
  <c r="CN196" i="22"/>
  <c r="FE196" i="22"/>
  <c r="BB186" i="22"/>
  <c r="EH196" i="22"/>
  <c r="CS196" i="22"/>
  <c r="BL196" i="22"/>
  <c r="AO186" i="22"/>
  <c r="BQ196" i="22"/>
  <c r="AZ196" i="22"/>
  <c r="AD186" i="22"/>
  <c r="CL186" i="22"/>
  <c r="BU196" i="22"/>
  <c r="CU196" i="22"/>
  <c r="FA186" i="22"/>
  <c r="CD196" i="22"/>
  <c r="ES186" i="22"/>
  <c r="EV196" i="22"/>
  <c r="BQ186" i="22"/>
  <c r="FD200" i="22"/>
  <c r="ET199" i="22"/>
  <c r="DS200" i="22"/>
  <c r="CI200" i="22"/>
  <c r="CF195" i="22"/>
  <c r="BZ195" i="22"/>
  <c r="BS185" i="22"/>
  <c r="FJ190" i="22"/>
  <c r="BC190" i="22"/>
  <c r="CJ185" i="22"/>
  <c r="AC10" i="20"/>
  <c r="AC17" i="20"/>
  <c r="AC16" i="20"/>
  <c r="AC15" i="20"/>
  <c r="AC14" i="20"/>
  <c r="CR196" i="22"/>
  <c r="DU186" i="22"/>
  <c r="EA196" i="22"/>
  <c r="FI186" i="22"/>
  <c r="DE186" i="22"/>
  <c r="BT196" i="22"/>
  <c r="AM196" i="22"/>
  <c r="CV186" i="22"/>
  <c r="CD186" i="22"/>
  <c r="EC196" i="22"/>
  <c r="FC196" i="22"/>
  <c r="BX186" i="22"/>
  <c r="DQ196" i="22"/>
  <c r="CJ196" i="22"/>
  <c r="BM186" i="22"/>
  <c r="DE196" i="22"/>
  <c r="BX196" i="22"/>
  <c r="BA186" i="22"/>
  <c r="CN186" i="22"/>
  <c r="EZ196" i="22"/>
  <c r="DS196" i="22"/>
  <c r="AN186" i="22"/>
  <c r="CG196" i="22"/>
  <c r="DG196" i="22"/>
  <c r="AC186" i="22"/>
  <c r="CZ196" i="22"/>
  <c r="EB196" i="22"/>
  <c r="EK186" i="22"/>
  <c r="W186" i="22"/>
  <c r="BB196" i="22"/>
  <c r="EQ186" i="22"/>
  <c r="BF186" i="22"/>
  <c r="BJ186" i="22"/>
  <c r="DX199" i="22"/>
  <c r="CO200" i="22"/>
  <c r="CH200" i="22"/>
  <c r="EM200" i="22"/>
  <c r="FK185" i="22"/>
  <c r="BM198" i="22"/>
  <c r="BT190" i="22"/>
  <c r="EY185" i="22"/>
  <c r="CY185" i="22"/>
  <c r="CU190" i="22"/>
  <c r="BF183" i="22"/>
  <c r="BQ198" i="22"/>
  <c r="CN199" i="22"/>
  <c r="CF189" i="22"/>
  <c r="AM198" i="22"/>
  <c r="CB192" i="22"/>
  <c r="EM193" i="22"/>
  <c r="BG199" i="22"/>
  <c r="EK198" i="22"/>
  <c r="Z199" i="22"/>
  <c r="FH199" i="22"/>
  <c r="BV198" i="22"/>
  <c r="DL199" i="22"/>
  <c r="FF199" i="22"/>
  <c r="CG194" i="22"/>
  <c r="CS199" i="22"/>
  <c r="AQ199" i="22"/>
  <c r="BU192" i="22"/>
  <c r="EK199" i="22"/>
  <c r="AI198" i="22"/>
  <c r="DR199" i="22"/>
  <c r="DQ199" i="22"/>
  <c r="BF199" i="22"/>
  <c r="AF199" i="22"/>
  <c r="Z198" i="22"/>
  <c r="DE198" i="22"/>
  <c r="CA194" i="22"/>
  <c r="AD199" i="22"/>
  <c r="DI198" i="22"/>
  <c r="FD199" i="22"/>
  <c r="AY194" i="22"/>
  <c r="DG198" i="22"/>
  <c r="BS184" i="22"/>
  <c r="BK192" i="22"/>
  <c r="EL192" i="22"/>
  <c r="CB194" i="22"/>
  <c r="CM189" i="22"/>
  <c r="AW184" i="22"/>
  <c r="CF182" i="22"/>
  <c r="DJ182" i="22"/>
  <c r="BV183" i="22"/>
  <c r="CU188" i="22"/>
  <c r="CA189" i="22"/>
  <c r="CF193" i="22"/>
  <c r="CX198" i="22"/>
  <c r="BJ189" i="22"/>
  <c r="DF199" i="22"/>
  <c r="BD198" i="22"/>
  <c r="DM199" i="22"/>
  <c r="FI199" i="22"/>
  <c r="BJ199" i="22"/>
  <c r="CH194" i="22"/>
  <c r="BI199" i="22"/>
  <c r="BS198" i="22"/>
  <c r="DN198" i="22"/>
  <c r="CO199" i="22"/>
  <c r="FG198" i="22"/>
  <c r="BT199" i="22"/>
  <c r="DU194" i="22"/>
  <c r="BS199" i="22"/>
  <c r="DS194" i="22"/>
  <c r="BF198" i="22"/>
  <c r="FJ199" i="22"/>
  <c r="AW198" i="22"/>
  <c r="AV198" i="22"/>
  <c r="FK184" i="22"/>
  <c r="FC194" i="22"/>
  <c r="DW198" i="22"/>
  <c r="AQ192" i="22"/>
  <c r="CL198" i="22"/>
  <c r="DP194" i="22"/>
  <c r="CJ199" i="22"/>
  <c r="AA198" i="22"/>
  <c r="FI194" i="22"/>
  <c r="AO192" i="22"/>
  <c r="Z184" i="22"/>
  <c r="CC194" i="22"/>
  <c r="DM184" i="22"/>
  <c r="EV184" i="22"/>
  <c r="CA184" i="22"/>
  <c r="BB184" i="22"/>
  <c r="FE189" i="22"/>
  <c r="BE197" i="22"/>
  <c r="EB182" i="22"/>
  <c r="EA193" i="22"/>
  <c r="CL191" i="22"/>
  <c r="AF55" i="22"/>
  <c r="E55" i="22" s="1"/>
  <c r="B55" i="22" s="1"/>
  <c r="FJ184" i="22"/>
  <c r="W184" i="22"/>
  <c r="FH198" i="22"/>
  <c r="CX199" i="22"/>
  <c r="FG194" i="22"/>
  <c r="EC199" i="22"/>
  <c r="AS199" i="22"/>
  <c r="CT192" i="22"/>
  <c r="FJ198" i="22"/>
  <c r="CP198" i="22"/>
  <c r="BU199" i="22"/>
  <c r="EC194" i="22"/>
  <c r="BP198" i="22"/>
  <c r="BD199" i="22"/>
  <c r="AL194" i="22"/>
  <c r="BC199" i="22"/>
  <c r="AK194" i="22"/>
  <c r="AF198" i="22"/>
  <c r="ED199" i="22"/>
  <c r="DD194" i="22"/>
  <c r="AK198" i="22"/>
  <c r="AJ198" i="22"/>
  <c r="EO194" i="22"/>
  <c r="DV194" i="22"/>
  <c r="DK198" i="22"/>
  <c r="BZ198" i="22"/>
  <c r="EG199" i="22"/>
  <c r="CW194" i="22"/>
  <c r="AB199" i="22"/>
  <c r="BR189" i="22"/>
  <c r="BV194" i="22"/>
  <c r="AC192" i="22"/>
  <c r="DP192" i="22"/>
  <c r="CO192" i="22"/>
  <c r="CC184" i="22"/>
  <c r="EJ184" i="22"/>
  <c r="AP184" i="22"/>
  <c r="AC189" i="22"/>
  <c r="CM193" i="22"/>
  <c r="BD197" i="22"/>
  <c r="AH193" i="22"/>
  <c r="DP187" i="22"/>
  <c r="DP188" i="22"/>
  <c r="DQ187" i="22"/>
  <c r="DQ188" i="22"/>
  <c r="DS187" i="22"/>
  <c r="DS188" i="22"/>
  <c r="DT187" i="22"/>
  <c r="DT188" i="22"/>
  <c r="DU187" i="22"/>
  <c r="DU188" i="22"/>
  <c r="DV187" i="22"/>
  <c r="DV188" i="22"/>
  <c r="DW187" i="22"/>
  <c r="DW188" i="22"/>
  <c r="DX187" i="22"/>
  <c r="DX188" i="22"/>
  <c r="AF191" i="22"/>
  <c r="AT187" i="22"/>
  <c r="CC191" i="22"/>
  <c r="AU188" i="22"/>
  <c r="DZ191" i="22"/>
  <c r="AI191" i="22"/>
  <c r="BE187" i="22"/>
  <c r="BT191" i="22"/>
  <c r="Z188" i="22"/>
  <c r="DS191" i="22"/>
  <c r="AB191" i="22"/>
  <c r="AH187" i="22"/>
  <c r="BY191" i="22"/>
  <c r="AI188" i="22"/>
  <c r="DV191" i="22"/>
  <c r="CA191" i="22"/>
  <c r="DF187" i="22"/>
  <c r="BI191" i="22"/>
  <c r="FG191" i="22"/>
  <c r="DZ188" i="22"/>
  <c r="CP183" i="22"/>
  <c r="BG183" i="22"/>
  <c r="AV183" i="22"/>
  <c r="DX183" i="22"/>
  <c r="EC183" i="22"/>
  <c r="CT183" i="22"/>
  <c r="CI183" i="22"/>
  <c r="BL183" i="22"/>
  <c r="AO183" i="22"/>
  <c r="AG183" i="22"/>
  <c r="FF183" i="22"/>
  <c r="DK183" i="22"/>
  <c r="AJ193" i="22"/>
  <c r="EC193" i="22"/>
  <c r="EZ182" i="22"/>
  <c r="AR193" i="22"/>
  <c r="BE193" i="22"/>
  <c r="EI197" i="22"/>
  <c r="AE182" i="22"/>
  <c r="CI182" i="22"/>
  <c r="BS182" i="22"/>
  <c r="BN193" i="22"/>
  <c r="BU197" i="22"/>
  <c r="DV193" i="22"/>
  <c r="EK182" i="22"/>
  <c r="AA193" i="22"/>
  <c r="ED193" i="22"/>
  <c r="EH197" i="22"/>
  <c r="AN193" i="22"/>
  <c r="EZ197" i="22"/>
  <c r="CS182" i="22"/>
  <c r="EE182" i="22"/>
  <c r="DA193" i="22"/>
  <c r="CX197" i="22"/>
  <c r="DM193" i="22"/>
  <c r="BC197" i="22"/>
  <c r="AX193" i="22"/>
  <c r="CD193" i="22"/>
  <c r="BO197" i="22"/>
  <c r="EH182" i="22"/>
  <c r="FJ182" i="22"/>
  <c r="BG193" i="22"/>
  <c r="EB187" i="22"/>
  <c r="EB188" i="22"/>
  <c r="EC187" i="22"/>
  <c r="EC188" i="22"/>
  <c r="EE187" i="22"/>
  <c r="EE188" i="22"/>
  <c r="EF187" i="22"/>
  <c r="EF188" i="22"/>
  <c r="EG187" i="22"/>
  <c r="EG188" i="22"/>
  <c r="EH187" i="22"/>
  <c r="EH188" i="22"/>
  <c r="EI187" i="22"/>
  <c r="EI188" i="22"/>
  <c r="EJ187" i="22"/>
  <c r="EJ188" i="22"/>
  <c r="AR191" i="22"/>
  <c r="CD187" i="22"/>
  <c r="CO191" i="22"/>
  <c r="CE188" i="22"/>
  <c r="EL191" i="22"/>
  <c r="AU191" i="22"/>
  <c r="CO187" i="22"/>
  <c r="CF191" i="22"/>
  <c r="BJ188" i="22"/>
  <c r="EE191" i="22"/>
  <c r="AN191" i="22"/>
  <c r="BR187" i="22"/>
  <c r="CK191" i="22"/>
  <c r="BS188" i="22"/>
  <c r="EH191" i="22"/>
  <c r="DW191" i="22"/>
  <c r="DF188" i="22"/>
  <c r="DE191" i="22"/>
  <c r="CT191" i="22"/>
  <c r="AW191" i="22"/>
  <c r="DB183" i="22"/>
  <c r="BS183" i="22"/>
  <c r="BH183" i="22"/>
  <c r="BE183" i="22"/>
  <c r="EO183" i="22"/>
  <c r="DF183" i="22"/>
  <c r="CU183" i="22"/>
  <c r="BX183" i="22"/>
  <c r="BA183" i="22"/>
  <c r="AD183" i="22"/>
  <c r="AF183" i="22"/>
  <c r="DW183" i="22"/>
  <c r="EF193" i="22"/>
  <c r="DD197" i="22"/>
  <c r="AW182" i="22"/>
  <c r="CI193" i="22"/>
  <c r="EX193" i="22"/>
  <c r="CD197" i="22"/>
  <c r="BE182" i="22"/>
  <c r="ER182" i="22"/>
  <c r="DG182" i="22"/>
  <c r="CU197" i="22"/>
  <c r="AG197" i="22"/>
  <c r="BU182" i="22"/>
  <c r="FI197" i="22"/>
  <c r="AB193" i="22"/>
  <c r="EN197" i="22"/>
  <c r="AX197" i="22"/>
  <c r="EG193" i="22"/>
  <c r="CS197" i="22"/>
  <c r="DF182" i="22"/>
  <c r="BQ197" i="22"/>
  <c r="BF193" i="22"/>
  <c r="AQ197" i="22"/>
  <c r="BR193" i="22"/>
  <c r="CS193" i="22"/>
  <c r="CM182" i="22"/>
  <c r="AI193" i="22"/>
  <c r="DW193" i="22"/>
  <c r="CY182" i="22"/>
  <c r="AU193" i="22"/>
  <c r="EN193" i="22"/>
  <c r="EN187" i="22"/>
  <c r="EN188" i="22"/>
  <c r="EO187" i="22"/>
  <c r="EO188" i="22"/>
  <c r="EQ187" i="22"/>
  <c r="EQ188" i="22"/>
  <c r="ER187" i="22"/>
  <c r="ER188" i="22"/>
  <c r="ES187" i="22"/>
  <c r="ES188" i="22"/>
  <c r="ET187" i="22"/>
  <c r="ET188" i="22"/>
  <c r="EU187" i="22"/>
  <c r="EU188" i="22"/>
  <c r="EV187" i="22"/>
  <c r="EV188" i="22"/>
  <c r="BD191" i="22"/>
  <c r="DN187" i="22"/>
  <c r="DA191" i="22"/>
  <c r="DO188" i="22"/>
  <c r="EX191" i="22"/>
  <c r="BG191" i="22"/>
  <c r="DY187" i="22"/>
  <c r="CR191" i="22"/>
  <c r="CT188" i="22"/>
  <c r="EQ191" i="22"/>
  <c r="AZ191" i="22"/>
  <c r="DB187" i="22"/>
  <c r="CW191" i="22"/>
  <c r="DC188" i="22"/>
  <c r="ET191" i="22"/>
  <c r="CP187" i="22"/>
  <c r="AQ191" i="22"/>
  <c r="FA191" i="22"/>
  <c r="EA187" i="22"/>
  <c r="EA188" i="22"/>
  <c r="DN183" i="22"/>
  <c r="CE183" i="22"/>
  <c r="BT183" i="22"/>
  <c r="DY183" i="22"/>
  <c r="FA183" i="22"/>
  <c r="DR183" i="22"/>
  <c r="DG183" i="22"/>
  <c r="CJ183" i="22"/>
  <c r="BM183" i="22"/>
  <c r="AP183" i="22"/>
  <c r="FH183" i="22"/>
  <c r="EI183" i="22"/>
  <c r="CK193" i="22"/>
  <c r="AW197" i="22"/>
  <c r="BW182" i="22"/>
  <c r="CA197" i="22"/>
  <c r="DC193" i="22"/>
  <c r="FC193" i="22"/>
  <c r="AR182" i="22"/>
  <c r="BC182" i="22"/>
  <c r="DK197" i="22"/>
  <c r="AN197" i="22"/>
  <c r="EF182" i="22"/>
  <c r="CB197" i="22"/>
  <c r="AD193" i="22"/>
  <c r="DU193" i="22"/>
  <c r="CG197" i="22"/>
  <c r="FB182" i="22"/>
  <c r="Z193" i="22"/>
  <c r="DY197" i="22"/>
  <c r="AM182" i="22"/>
  <c r="EB193" i="22"/>
  <c r="EY193" i="22"/>
  <c r="BC193" i="22"/>
  <c r="FK193" i="22"/>
  <c r="X12" i="22" s="1"/>
  <c r="EL197" i="22"/>
  <c r="W197" i="22"/>
  <c r="DP193" i="22"/>
  <c r="EX197" i="22"/>
  <c r="BQ182" i="22"/>
  <c r="CJ193" i="22"/>
  <c r="CU193" i="22"/>
  <c r="BT197" i="22"/>
  <c r="T130" i="12"/>
  <c r="U130" i="12" s="1"/>
  <c r="V130" i="12" s="1"/>
  <c r="Z130" i="12" s="1"/>
  <c r="EZ187" i="22"/>
  <c r="EZ188" i="22"/>
  <c r="FA187" i="22"/>
  <c r="FA188" i="22"/>
  <c r="FC187" i="22"/>
  <c r="FC188" i="22"/>
  <c r="FD187" i="22"/>
  <c r="FD188" i="22"/>
  <c r="FE187" i="22"/>
  <c r="FE188" i="22"/>
  <c r="FF187" i="22"/>
  <c r="FF188" i="22"/>
  <c r="FG187" i="22"/>
  <c r="FG188" i="22"/>
  <c r="FH187" i="22"/>
  <c r="FH188" i="22"/>
  <c r="BP191" i="22"/>
  <c r="EX187" i="22"/>
  <c r="DM191" i="22"/>
  <c r="EY188" i="22"/>
  <c r="FJ191" i="22"/>
  <c r="BS191" i="22"/>
  <c r="FI187" i="22"/>
  <c r="DD191" i="22"/>
  <c r="ED188" i="22"/>
  <c r="FC191" i="22"/>
  <c r="BL191" i="22"/>
  <c r="EL187" i="22"/>
  <c r="DI191" i="22"/>
  <c r="EM188" i="22"/>
  <c r="Y11" i="22" s="1"/>
  <c r="FF191" i="22"/>
  <c r="CP188" i="22"/>
  <c r="CM191" i="22"/>
  <c r="FK187" i="22"/>
  <c r="DQ191" i="22"/>
  <c r="AX191" i="22"/>
  <c r="DZ183" i="22"/>
  <c r="CQ183" i="22"/>
  <c r="CF183" i="22"/>
  <c r="Y183" i="22"/>
  <c r="BP183" i="22"/>
  <c r="ED183" i="22"/>
  <c r="DS183" i="22"/>
  <c r="CV183" i="22"/>
  <c r="BY183" i="22"/>
  <c r="BB183" i="22"/>
  <c r="AS183" i="22"/>
  <c r="EU183" i="22"/>
  <c r="AP193" i="22"/>
  <c r="DH182" i="22"/>
  <c r="BJ182" i="22"/>
  <c r="DC197" i="22"/>
  <c r="AV193" i="22"/>
  <c r="BJ193" i="22"/>
  <c r="BJ197" i="22"/>
  <c r="EY182" i="22"/>
  <c r="AK197" i="22"/>
  <c r="AK193" i="22"/>
  <c r="CW182" i="22"/>
  <c r="AW193" i="22"/>
  <c r="CR197" i="22"/>
  <c r="DG197" i="22"/>
  <c r="CC197" i="22"/>
  <c r="BK197" i="22"/>
  <c r="DS197" i="22"/>
  <c r="FD182" i="22"/>
  <c r="DS182" i="22"/>
  <c r="AA197" i="22"/>
  <c r="CR193" i="22"/>
  <c r="DZ197" i="22"/>
  <c r="DD193" i="22"/>
  <c r="CE197" i="22"/>
  <c r="AU182" i="22"/>
  <c r="BW193" i="22"/>
  <c r="CQ197" i="22"/>
  <c r="BG182" i="22"/>
  <c r="DH197" i="22"/>
  <c r="CV193" i="22"/>
  <c r="X187" i="22"/>
  <c r="X188" i="22"/>
  <c r="Y187" i="22"/>
  <c r="Y188" i="22"/>
  <c r="AA187" i="22"/>
  <c r="AA188" i="22"/>
  <c r="AB187" i="22"/>
  <c r="AB188" i="22"/>
  <c r="AC187" i="22"/>
  <c r="AC188" i="22"/>
  <c r="AD187" i="22"/>
  <c r="AD188" i="22"/>
  <c r="AE187" i="22"/>
  <c r="AE188" i="22"/>
  <c r="AF187" i="22"/>
  <c r="AF188" i="22"/>
  <c r="AS187" i="22"/>
  <c r="CB191" i="22"/>
  <c r="AT188" i="22"/>
  <c r="DY191" i="22"/>
  <c r="AH191" i="22"/>
  <c r="AX187" i="22"/>
  <c r="CE191" i="22"/>
  <c r="BE188" i="22"/>
  <c r="DP191" i="22"/>
  <c r="AA191" i="22"/>
  <c r="AG187" i="22"/>
  <c r="BX191" i="22"/>
  <c r="AH188" i="22"/>
  <c r="DU191" i="22"/>
  <c r="AD191" i="22"/>
  <c r="BG187" i="22"/>
  <c r="AK191" i="22"/>
  <c r="EI191" i="22"/>
  <c r="FK188" i="22"/>
  <c r="EO191" i="22"/>
  <c r="CS191" i="22"/>
  <c r="EL183" i="22"/>
  <c r="DC183" i="22"/>
  <c r="CR183" i="22"/>
  <c r="AK183" i="22"/>
  <c r="BQ183" i="22"/>
  <c r="EP183" i="22"/>
  <c r="EE183" i="22"/>
  <c r="DH183" i="22"/>
  <c r="CK183" i="22"/>
  <c r="BN183" i="22"/>
  <c r="EK183" i="22"/>
  <c r="FG183" i="22"/>
  <c r="BW197" i="22"/>
  <c r="BY182" i="22"/>
  <c r="EQ182" i="22"/>
  <c r="DK182" i="22"/>
  <c r="ER193" i="22"/>
  <c r="AJ187" i="22"/>
  <c r="AJ188" i="22"/>
  <c r="AK187" i="22"/>
  <c r="AK188" i="22"/>
  <c r="AM187" i="22"/>
  <c r="AM188" i="22"/>
  <c r="AN187" i="22"/>
  <c r="AN188" i="22"/>
  <c r="AO187" i="22"/>
  <c r="AO188" i="22"/>
  <c r="AP187" i="22"/>
  <c r="AP188" i="22"/>
  <c r="AQ187" i="22"/>
  <c r="AQ188" i="22"/>
  <c r="AR187" i="22"/>
  <c r="AR188" i="22"/>
  <c r="CC187" i="22"/>
  <c r="CN191" i="22"/>
  <c r="CD188" i="22"/>
  <c r="EK191" i="22"/>
  <c r="AT191" i="22"/>
  <c r="CH187" i="22"/>
  <c r="CQ191" i="22"/>
  <c r="CO188" i="22"/>
  <c r="EB191" i="22"/>
  <c r="AM191" i="22"/>
  <c r="BQ187" i="22"/>
  <c r="CJ191" i="22"/>
  <c r="BR188" i="22"/>
  <c r="EG191" i="22"/>
  <c r="AP191" i="22"/>
  <c r="BG188" i="22"/>
  <c r="CG191" i="22"/>
  <c r="EP187" i="22"/>
  <c r="BJ191" i="22"/>
  <c r="W188" i="22"/>
  <c r="BU191" i="22"/>
  <c r="EX183" i="22"/>
  <c r="DO183" i="22"/>
  <c r="DD183" i="22"/>
  <c r="AW183" i="22"/>
  <c r="EW183" i="22"/>
  <c r="FB183" i="22"/>
  <c r="EQ183" i="22"/>
  <c r="DT183" i="22"/>
  <c r="CW183" i="22"/>
  <c r="BZ183" i="22"/>
  <c r="AE183" i="22"/>
  <c r="AR183" i="22"/>
  <c r="EO193" i="22"/>
  <c r="CC182" i="22"/>
  <c r="DZ182" i="22"/>
  <c r="FH197" i="22"/>
  <c r="CW193" i="22"/>
  <c r="BI197" i="22"/>
  <c r="AY182" i="22"/>
  <c r="FK197" i="22"/>
  <c r="DL193" i="22"/>
  <c r="BN197" i="22"/>
  <c r="AG182" i="22"/>
  <c r="Z197" i="22"/>
  <c r="AK182" i="22"/>
  <c r="CA193" i="22"/>
  <c r="CL182" i="22"/>
  <c r="DC182" i="22"/>
  <c r="DK193" i="22"/>
  <c r="CX182" i="22"/>
  <c r="BS197" i="22"/>
  <c r="EE193" i="22"/>
  <c r="AZ193" i="22"/>
  <c r="DE197" i="22"/>
  <c r="BL193" i="22"/>
  <c r="BO193" i="22"/>
  <c r="DL197" i="22"/>
  <c r="AC193" i="22"/>
  <c r="CY193" i="22"/>
  <c r="FB197" i="22"/>
  <c r="EO182" i="22"/>
  <c r="AM197" i="22"/>
  <c r="AV187" i="22"/>
  <c r="AV188" i="22"/>
  <c r="AW187" i="22"/>
  <c r="AW188" i="22"/>
  <c r="AY187" i="22"/>
  <c r="AY188" i="22"/>
  <c r="AZ187" i="22"/>
  <c r="AZ188" i="22"/>
  <c r="BA187" i="22"/>
  <c r="BA188" i="22"/>
  <c r="BB187" i="22"/>
  <c r="BB188" i="22"/>
  <c r="BC187" i="22"/>
  <c r="BC188" i="22"/>
  <c r="BD187" i="22"/>
  <c r="BD188" i="22"/>
  <c r="DM187" i="22"/>
  <c r="CZ191" i="22"/>
  <c r="DN188" i="22"/>
  <c r="EW191" i="22"/>
  <c r="BF191" i="22"/>
  <c r="DR187" i="22"/>
  <c r="DC191" i="22"/>
  <c r="DY188" i="22"/>
  <c r="EN191" i="22"/>
  <c r="AY191" i="22"/>
  <c r="DA187" i="22"/>
  <c r="CV191" i="22"/>
  <c r="DB188" i="22"/>
  <c r="ES191" i="22"/>
  <c r="BB191" i="22"/>
  <c r="Z191" i="22"/>
  <c r="EC191" i="22"/>
  <c r="EP188" i="22"/>
  <c r="DF191" i="22"/>
  <c r="EP191" i="22"/>
  <c r="W191" i="22"/>
  <c r="FJ183" i="22"/>
  <c r="EA183" i="22"/>
  <c r="DP183" i="22"/>
  <c r="BI183" i="22"/>
  <c r="Z183" i="22"/>
  <c r="EJ183" i="22"/>
  <c r="FC183" i="22"/>
  <c r="EF183" i="22"/>
  <c r="DI183" i="22"/>
  <c r="CL183" i="22"/>
  <c r="AQ183" i="22"/>
  <c r="DL183" i="22"/>
  <c r="FD197" i="22"/>
  <c r="BB182" i="22"/>
  <c r="AT182" i="22"/>
  <c r="BR182" i="22"/>
  <c r="BB193" i="22"/>
  <c r="DT182" i="22"/>
  <c r="BK182" i="22"/>
  <c r="EW197" i="22"/>
  <c r="BQ193" i="22"/>
  <c r="DR193" i="22"/>
  <c r="AQ182" i="22"/>
  <c r="DQ182" i="22"/>
  <c r="DN182" i="22"/>
  <c r="EG197" i="22"/>
  <c r="EW182" i="22"/>
  <c r="EJ193" i="22"/>
  <c r="ES197" i="22"/>
  <c r="FI182" i="22"/>
  <c r="AB182" i="22"/>
  <c r="ET182" i="22"/>
  <c r="ES193" i="22"/>
  <c r="FG182" i="22"/>
  <c r="FE193" i="22"/>
  <c r="DQ197" i="22"/>
  <c r="ED182" i="22"/>
  <c r="EI193" i="22"/>
  <c r="EC197" i="22"/>
  <c r="DM197" i="22"/>
  <c r="CT193" i="22"/>
  <c r="AE193" i="22"/>
  <c r="BH187" i="22"/>
  <c r="BH188" i="22"/>
  <c r="BI187" i="22"/>
  <c r="BI188" i="22"/>
  <c r="BK187" i="22"/>
  <c r="BK188" i="22"/>
  <c r="BL187" i="22"/>
  <c r="BL188" i="22"/>
  <c r="BM187" i="22"/>
  <c r="BM188" i="22"/>
  <c r="BN187" i="22"/>
  <c r="BN188" i="22"/>
  <c r="BO187" i="22"/>
  <c r="BO188" i="22"/>
  <c r="BP187" i="22"/>
  <c r="BP188" i="22"/>
  <c r="EW187" i="22"/>
  <c r="DL191" i="22"/>
  <c r="EX188" i="22"/>
  <c r="FI191" i="22"/>
  <c r="BR191" i="22"/>
  <c r="FB187" i="22"/>
  <c r="DO191" i="22"/>
  <c r="FI188" i="22"/>
  <c r="EZ191" i="22"/>
  <c r="BK191" i="22"/>
  <c r="EK187" i="22"/>
  <c r="DH191" i="22"/>
  <c r="EL188" i="22"/>
  <c r="FE191" i="22"/>
  <c r="BN191" i="22"/>
  <c r="BV191" i="22"/>
  <c r="CQ187" i="22"/>
  <c r="BC191" i="22"/>
  <c r="FB191" i="22"/>
  <c r="W187" i="22"/>
  <c r="AH183" i="22"/>
  <c r="EV183" i="22"/>
  <c r="EM183" i="22"/>
  <c r="EB183" i="22"/>
  <c r="BU183" i="22"/>
  <c r="AL183" i="22"/>
  <c r="AA183" i="22"/>
  <c r="CB183" i="22"/>
  <c r="ER183" i="22"/>
  <c r="DU183" i="22"/>
  <c r="CX183" i="22"/>
  <c r="BC183" i="22"/>
  <c r="CO183" i="22"/>
  <c r="CW197" i="22"/>
  <c r="FH182" i="22"/>
  <c r="CH182" i="22"/>
  <c r="X193" i="22"/>
  <c r="CI197" i="22"/>
  <c r="Y193" i="22"/>
  <c r="BI182" i="22"/>
  <c r="BV197" i="22"/>
  <c r="FJ193" i="22"/>
  <c r="EU197" i="22"/>
  <c r="CO182" i="22"/>
  <c r="CP193" i="22"/>
  <c r="BT187" i="22"/>
  <c r="BT188" i="22"/>
  <c r="BU187" i="22"/>
  <c r="BU188" i="22"/>
  <c r="BW187" i="22"/>
  <c r="BW188" i="22"/>
  <c r="BX187" i="22"/>
  <c r="BX188" i="22"/>
  <c r="BY187" i="22"/>
  <c r="BY188" i="22"/>
  <c r="BZ187" i="22"/>
  <c r="BZ188" i="22"/>
  <c r="CA187" i="22"/>
  <c r="CA188" i="22"/>
  <c r="CB187" i="22"/>
  <c r="CB188" i="22"/>
  <c r="AS188" i="22"/>
  <c r="DX191" i="22"/>
  <c r="AG191" i="22"/>
  <c r="AU187" i="22"/>
  <c r="CD191" i="22"/>
  <c r="AX188" i="22"/>
  <c r="EA191" i="22"/>
  <c r="X191" i="22"/>
  <c r="Z187" i="22"/>
  <c r="BW191" i="22"/>
  <c r="AG188" i="22"/>
  <c r="DT191" i="22"/>
  <c r="AC191" i="22"/>
  <c r="AI187" i="22"/>
  <c r="BZ191" i="22"/>
  <c r="DR191" i="22"/>
  <c r="CQ188" i="22"/>
  <c r="CY191" i="22"/>
  <c r="AL187" i="22"/>
  <c r="BF187" i="22"/>
  <c r="AT183" i="22"/>
  <c r="CC183" i="22"/>
  <c r="EY183" i="22"/>
  <c r="EN183" i="22"/>
  <c r="CG183" i="22"/>
  <c r="AX183" i="22"/>
  <c r="AM183" i="22"/>
  <c r="DM183" i="22"/>
  <c r="FD183" i="22"/>
  <c r="EG183" i="22"/>
  <c r="DJ183" i="22"/>
  <c r="BO183" i="22"/>
  <c r="CN193" i="22"/>
  <c r="AP197" i="22"/>
  <c r="EK197" i="22"/>
  <c r="DA182" i="22"/>
  <c r="EM197" i="22"/>
  <c r="AB197" i="22"/>
  <c r="CK182" i="22"/>
  <c r="EH193" i="22"/>
  <c r="FC182" i="22"/>
  <c r="DO193" i="22"/>
  <c r="X14" i="22" s="1"/>
  <c r="CP197" i="22"/>
  <c r="BD182" i="22"/>
  <c r="AO193" i="22"/>
  <c r="CC193" i="22"/>
  <c r="ET193" i="22"/>
  <c r="BP197" i="22"/>
  <c r="AT193" i="22"/>
  <c r="AE197" i="22"/>
  <c r="BU193" i="22"/>
  <c r="EG182" i="22"/>
  <c r="DD187" i="22"/>
  <c r="DD188" i="22"/>
  <c r="DE187" i="22"/>
  <c r="DE188" i="22"/>
  <c r="DG187" i="22"/>
  <c r="DG188" i="22"/>
  <c r="DH187" i="22"/>
  <c r="DH188" i="22"/>
  <c r="DI187" i="22"/>
  <c r="DI188" i="22"/>
  <c r="DJ187" i="22"/>
  <c r="DJ188" i="22"/>
  <c r="DK187" i="22"/>
  <c r="DK188" i="22"/>
  <c r="DL187" i="22"/>
  <c r="DL188" i="22"/>
  <c r="EW188" i="22"/>
  <c r="FH191" i="22"/>
  <c r="BQ191" i="22"/>
  <c r="EY187" i="22"/>
  <c r="DN191" i="22"/>
  <c r="FB188" i="22"/>
  <c r="FK191" i="22"/>
  <c r="BH191" i="22"/>
  <c r="ED187" i="22"/>
  <c r="DG191" i="22"/>
  <c r="EK188" i="22"/>
  <c r="FD191" i="22"/>
  <c r="BM191" i="22"/>
  <c r="EM187" i="22"/>
  <c r="DJ191" i="22"/>
  <c r="AE191" i="22"/>
  <c r="ED191" i="22"/>
  <c r="FJ188" i="22"/>
  <c r="DK191" i="22"/>
  <c r="Y191" i="22"/>
  <c r="CD183" i="22"/>
  <c r="AU183" i="22"/>
  <c r="AJ183" i="22"/>
  <c r="BD183" i="22"/>
  <c r="DQ183" i="22"/>
  <c r="CH183" i="22"/>
  <c r="BW183" i="22"/>
  <c r="AZ183" i="22"/>
  <c r="AC183" i="22"/>
  <c r="CN183" i="22"/>
  <c r="ET183" i="22"/>
  <c r="CY183" i="22"/>
  <c r="CQ193" i="22"/>
  <c r="BR197" i="22"/>
  <c r="EN182" i="22"/>
  <c r="DR182" i="22"/>
  <c r="CZ193" i="22"/>
  <c r="CH193" i="22"/>
  <c r="EV197" i="22"/>
  <c r="EX182" i="22"/>
  <c r="CN197" i="22"/>
  <c r="DI193" i="22"/>
  <c r="EB197" i="22"/>
  <c r="DS193" i="22"/>
  <c r="EI182" i="22"/>
  <c r="BT193" i="22"/>
  <c r="AU197" i="22"/>
  <c r="EK193" i="22"/>
  <c r="AM193" i="22"/>
  <c r="FF193" i="22"/>
  <c r="FK182" i="22"/>
  <c r="DE182" i="22"/>
  <c r="EV193" i="22"/>
  <c r="FE197" i="22"/>
  <c r="FH193" i="22"/>
  <c r="DJ197" i="22"/>
  <c r="DV182" i="22"/>
  <c r="DY193" i="22"/>
  <c r="DV197" i="22"/>
  <c r="AR197" i="22"/>
  <c r="EL182" i="22"/>
  <c r="DB193" i="22"/>
  <c r="CF188" i="22"/>
  <c r="CJ188" i="22"/>
  <c r="CM188" i="22"/>
  <c r="CE187" i="22"/>
  <c r="CI191" i="22"/>
  <c r="BV187" i="22"/>
  <c r="FI183" i="22"/>
  <c r="AB183" i="22"/>
  <c r="AQ193" i="22"/>
  <c r="BN182" i="22"/>
  <c r="CX193" i="22"/>
  <c r="BZ197" i="22"/>
  <c r="CL197" i="22"/>
  <c r="BH182" i="22"/>
  <c r="ER197" i="22"/>
  <c r="X182" i="22"/>
  <c r="CL193" i="22"/>
  <c r="EW193" i="22"/>
  <c r="CZ197" i="22"/>
  <c r="FA182" i="22"/>
  <c r="BS193" i="22"/>
  <c r="AT197" i="22"/>
  <c r="AS197" i="22"/>
  <c r="AG193" i="22"/>
  <c r="DD184" i="22"/>
  <c r="CG184" i="22"/>
  <c r="CG189" i="22"/>
  <c r="DG184" i="22"/>
  <c r="DG189" i="22"/>
  <c r="ER184" i="22"/>
  <c r="BA184" i="22"/>
  <c r="BA189" i="22"/>
  <c r="BZ184" i="22"/>
  <c r="BZ189" i="22"/>
  <c r="DK184" i="22"/>
  <c r="DK189" i="22"/>
  <c r="AF184" i="22"/>
  <c r="AF189" i="22"/>
  <c r="DL192" i="22"/>
  <c r="DL194" i="22"/>
  <c r="DM192" i="22"/>
  <c r="DM194" i="22"/>
  <c r="AU189" i="22"/>
  <c r="FJ192" i="22"/>
  <c r="FJ194" i="22"/>
  <c r="CC189" i="22"/>
  <c r="AI192" i="22"/>
  <c r="AI194" i="22"/>
  <c r="EN192" i="22"/>
  <c r="ED184" i="22"/>
  <c r="CU192" i="22"/>
  <c r="EF192" i="22"/>
  <c r="AH184" i="22"/>
  <c r="EN189" i="22"/>
  <c r="BM192" i="22"/>
  <c r="EM184" i="22"/>
  <c r="CX192" i="22"/>
  <c r="BV192" i="22"/>
  <c r="BK198" i="22"/>
  <c r="BK199" i="22"/>
  <c r="AN198" i="22"/>
  <c r="AN199" i="22"/>
  <c r="EF194" i="22"/>
  <c r="ES198" i="22"/>
  <c r="ES199" i="22"/>
  <c r="BZ194" i="22"/>
  <c r="DJ198" i="22"/>
  <c r="EH194" i="22"/>
  <c r="EU198" i="22"/>
  <c r="DE194" i="22"/>
  <c r="AO194" i="22"/>
  <c r="BJ192" i="22"/>
  <c r="AL184" i="22"/>
  <c r="DI194" i="22"/>
  <c r="EC198" i="22"/>
  <c r="DO199" i="22"/>
  <c r="CH199" i="22"/>
  <c r="CR188" i="22"/>
  <c r="CV188" i="22"/>
  <c r="CY188" i="22"/>
  <c r="DO187" i="22"/>
  <c r="CU191" i="22"/>
  <c r="BV188" i="22"/>
  <c r="AI183" i="22"/>
  <c r="AN183" i="22"/>
  <c r="DW197" i="22"/>
  <c r="EA182" i="22"/>
  <c r="BZ182" i="22"/>
  <c r="FG197" i="22"/>
  <c r="DN197" i="22"/>
  <c r="BY193" i="22"/>
  <c r="BM182" i="22"/>
  <c r="BL182" i="22"/>
  <c r="ED197" i="22"/>
  <c r="BA193" i="22"/>
  <c r="AO182" i="22"/>
  <c r="Z182" i="22"/>
  <c r="EZ193" i="22"/>
  <c r="BI193" i="22"/>
  <c r="CZ182" i="22"/>
  <c r="CE193" i="22"/>
  <c r="DP184" i="22"/>
  <c r="CS184" i="22"/>
  <c r="CS189" i="22"/>
  <c r="DS184" i="22"/>
  <c r="DS189" i="22"/>
  <c r="FD184" i="22"/>
  <c r="BM184" i="22"/>
  <c r="BM189" i="22"/>
  <c r="CL184" i="22"/>
  <c r="CL189" i="22"/>
  <c r="DW184" i="22"/>
  <c r="DW189" i="22"/>
  <c r="AR184" i="22"/>
  <c r="AR189" i="22"/>
  <c r="DX192" i="22"/>
  <c r="DX194" i="22"/>
  <c r="DY192" i="22"/>
  <c r="DY194" i="22"/>
  <c r="BV189" i="22"/>
  <c r="AH192" i="22"/>
  <c r="AH194" i="22"/>
  <c r="DC189" i="22"/>
  <c r="AU192" i="22"/>
  <c r="AU194" i="22"/>
  <c r="EZ192" i="22"/>
  <c r="DG192" i="22"/>
  <c r="ER192" i="22"/>
  <c r="BR184" i="22"/>
  <c r="BY192" i="22"/>
  <c r="DJ192" i="22"/>
  <c r="DR192" i="22"/>
  <c r="BW198" i="22"/>
  <c r="BW199" i="22"/>
  <c r="AE192" i="22"/>
  <c r="AZ198" i="22"/>
  <c r="AZ199" i="22"/>
  <c r="CE189" i="22"/>
  <c r="EU194" i="22"/>
  <c r="FE198" i="22"/>
  <c r="FE199" i="22"/>
  <c r="CX194" i="22"/>
  <c r="DV198" i="22"/>
  <c r="CG187" i="22"/>
  <c r="CK187" i="22"/>
  <c r="CN187" i="22"/>
  <c r="CP191" i="22"/>
  <c r="BQ188" i="22"/>
  <c r="AL191" i="22"/>
  <c r="FK183" i="22"/>
  <c r="CZ183" i="22"/>
  <c r="AF182" i="22"/>
  <c r="BV182" i="22"/>
  <c r="DF197" i="22"/>
  <c r="DB197" i="22"/>
  <c r="BG197" i="22"/>
  <c r="EV182" i="22"/>
  <c r="BK193" i="22"/>
  <c r="AV182" i="22"/>
  <c r="FE182" i="22"/>
  <c r="DT197" i="22"/>
  <c r="CN182" i="22"/>
  <c r="EU193" i="22"/>
  <c r="DG193" i="22"/>
  <c r="EA197" i="22"/>
  <c r="EP197" i="22"/>
  <c r="DT193" i="22"/>
  <c r="EB184" i="22"/>
  <c r="DE184" i="22"/>
  <c r="DE189" i="22"/>
  <c r="EE184" i="22"/>
  <c r="EE189" i="22"/>
  <c r="AB184" i="22"/>
  <c r="AB189" i="22"/>
  <c r="BY184" i="22"/>
  <c r="BY189" i="22"/>
  <c r="CX184" i="22"/>
  <c r="CX189" i="22"/>
  <c r="EI184" i="22"/>
  <c r="EI189" i="22"/>
  <c r="BD184" i="22"/>
  <c r="BD189" i="22"/>
  <c r="EJ192" i="22"/>
  <c r="EJ194" i="22"/>
  <c r="EK192" i="22"/>
  <c r="EK194" i="22"/>
  <c r="DB189" i="22"/>
  <c r="AT192" i="22"/>
  <c r="AT194" i="22"/>
  <c r="EB189" i="22"/>
  <c r="BG192" i="22"/>
  <c r="BG194" i="22"/>
  <c r="AX189" i="22"/>
  <c r="X192" i="22"/>
  <c r="X194" i="22"/>
  <c r="DS192" i="22"/>
  <c r="AG189" i="22"/>
  <c r="FD192" i="22"/>
  <c r="DB184" i="22"/>
  <c r="CK192" i="22"/>
  <c r="DV192" i="22"/>
  <c r="Z194" i="22"/>
  <c r="CI198" i="22"/>
  <c r="CI199" i="22"/>
  <c r="CA192" i="22"/>
  <c r="BL198" i="22"/>
  <c r="BL199" i="22"/>
  <c r="AC198" i="22"/>
  <c r="AC199" i="22"/>
  <c r="CQ184" i="22"/>
  <c r="DQ194" i="22"/>
  <c r="EH198" i="22"/>
  <c r="AE198" i="22"/>
  <c r="EN194" i="22"/>
  <c r="CK194" i="22"/>
  <c r="FB192" i="22"/>
  <c r="AL189" i="22"/>
  <c r="EQ194" i="22"/>
  <c r="FA198" i="22"/>
  <c r="BE198" i="22"/>
  <c r="EV199" i="22"/>
  <c r="DP199" i="22"/>
  <c r="CS187" i="22"/>
  <c r="CW187" i="22"/>
  <c r="CZ187" i="22"/>
  <c r="DB191" i="22"/>
  <c r="DA188" i="22"/>
  <c r="CH191" i="22"/>
  <c r="X183" i="22"/>
  <c r="DA183" i="22"/>
  <c r="DO182" i="22"/>
  <c r="AF197" i="22"/>
  <c r="EM182" i="22"/>
  <c r="DI182" i="22"/>
  <c r="DU182" i="22"/>
  <c r="AA182" i="22"/>
  <c r="DF193" i="22"/>
  <c r="AP182" i="22"/>
  <c r="AJ182" i="22"/>
  <c r="BM197" i="22"/>
  <c r="EJ197" i="22"/>
  <c r="CD182" i="22"/>
  <c r="DH193" i="22"/>
  <c r="CF197" i="22"/>
  <c r="CQ182" i="22"/>
  <c r="DJ193" i="22"/>
  <c r="EN184" i="22"/>
  <c r="DQ184" i="22"/>
  <c r="DQ189" i="22"/>
  <c r="EQ184" i="22"/>
  <c r="EQ189" i="22"/>
  <c r="AN184" i="22"/>
  <c r="AN189" i="22"/>
  <c r="CK184" i="22"/>
  <c r="CK189" i="22"/>
  <c r="DJ184" i="22"/>
  <c r="DJ189" i="22"/>
  <c r="EU184" i="22"/>
  <c r="EU189" i="22"/>
  <c r="BP184" i="22"/>
  <c r="BP189" i="22"/>
  <c r="EV192" i="22"/>
  <c r="EV194" i="22"/>
  <c r="EW192" i="22"/>
  <c r="EW194" i="22"/>
  <c r="EA189" i="22"/>
  <c r="BF192" i="22"/>
  <c r="BF194" i="22"/>
  <c r="AX184" i="22"/>
  <c r="EZ189" i="22"/>
  <c r="BS192" i="22"/>
  <c r="BS194" i="22"/>
  <c r="CD189" i="22"/>
  <c r="AJ192" i="22"/>
  <c r="AJ194" i="22"/>
  <c r="EE192" i="22"/>
  <c r="BH189" i="22"/>
  <c r="AB192" i="22"/>
  <c r="AB194" i="22"/>
  <c r="EL184" i="22"/>
  <c r="CW192" i="22"/>
  <c r="EH192" i="22"/>
  <c r="AX194" i="22"/>
  <c r="CU198" i="22"/>
  <c r="CU199" i="22"/>
  <c r="DW192" i="22"/>
  <c r="BX198" i="22"/>
  <c r="BX199" i="22"/>
  <c r="AO198" i="22"/>
  <c r="AO199" i="22"/>
  <c r="EG194" i="22"/>
  <c r="ET198" i="22"/>
  <c r="CG188" i="22"/>
  <c r="CK188" i="22"/>
  <c r="CN188" i="22"/>
  <c r="CH188" i="22"/>
  <c r="EF191" i="22"/>
  <c r="EU191" i="22"/>
  <c r="EZ183" i="22"/>
  <c r="ES183" i="22"/>
  <c r="BP182" i="22"/>
  <c r="CG182" i="22"/>
  <c r="EY197" i="22"/>
  <c r="CP182" i="22"/>
  <c r="BO182" i="22"/>
  <c r="AY193" i="22"/>
  <c r="EQ197" i="22"/>
  <c r="AF193" i="22"/>
  <c r="EC182" i="22"/>
  <c r="DQ193" i="22"/>
  <c r="FF182" i="22"/>
  <c r="DZ193" i="22"/>
  <c r="BM193" i="22"/>
  <c r="Y197" i="22"/>
  <c r="DD182" i="22"/>
  <c r="CV182" i="22"/>
  <c r="EZ184" i="22"/>
  <c r="EC184" i="22"/>
  <c r="EC189" i="22"/>
  <c r="FC184" i="22"/>
  <c r="FC189" i="22"/>
  <c r="AZ184" i="22"/>
  <c r="AZ189" i="22"/>
  <c r="CW184" i="22"/>
  <c r="CW189" i="22"/>
  <c r="DV184" i="22"/>
  <c r="DV189" i="22"/>
  <c r="FG184" i="22"/>
  <c r="FG189" i="22"/>
  <c r="CB184" i="22"/>
  <c r="CB189" i="22"/>
  <c r="AS189" i="22"/>
  <c r="FH192" i="22"/>
  <c r="FH194" i="22"/>
  <c r="AT189" i="22"/>
  <c r="FI192" i="22"/>
  <c r="AU184" i="22"/>
  <c r="EY189" i="22"/>
  <c r="BR192" i="22"/>
  <c r="BR194" i="22"/>
  <c r="CH184" i="22"/>
  <c r="CE192" i="22"/>
  <c r="CE194" i="22"/>
  <c r="DD189" i="22"/>
  <c r="AV192" i="22"/>
  <c r="AV194" i="22"/>
  <c r="EQ192" i="22"/>
  <c r="CO189" i="22"/>
  <c r="AN192" i="22"/>
  <c r="AN194" i="22"/>
  <c r="CS188" i="22"/>
  <c r="CW188" i="22"/>
  <c r="CZ188" i="22"/>
  <c r="DR188" i="22"/>
  <c r="ER191" i="22"/>
  <c r="FJ187" i="22"/>
  <c r="W183" i="22"/>
  <c r="FE183" i="22"/>
  <c r="CT182" i="22"/>
  <c r="CG193" i="22"/>
  <c r="BA197" i="22"/>
  <c r="AH182" i="22"/>
  <c r="DL182" i="22"/>
  <c r="BV193" i="22"/>
  <c r="CJ197" i="22"/>
  <c r="BX193" i="22"/>
  <c r="DR197" i="22"/>
  <c r="ET197" i="22"/>
  <c r="EU182" i="22"/>
  <c r="CK197" i="22"/>
  <c r="AY197" i="22"/>
  <c r="FA193" i="22"/>
  <c r="CR182" i="22"/>
  <c r="X184" i="22"/>
  <c r="X189" i="22"/>
  <c r="EO184" i="22"/>
  <c r="EO189" i="22"/>
  <c r="AA184" i="22"/>
  <c r="AA189" i="22"/>
  <c r="BL184" i="22"/>
  <c r="BL189" i="22"/>
  <c r="DI184" i="22"/>
  <c r="DI189" i="22"/>
  <c r="EH184" i="22"/>
  <c r="EH189" i="22"/>
  <c r="AE184" i="22"/>
  <c r="AE189" i="22"/>
  <c r="CN184" i="22"/>
  <c r="CN189" i="22"/>
  <c r="BS189" i="22"/>
  <c r="AF192" i="22"/>
  <c r="AF194" i="22"/>
  <c r="BT189" i="22"/>
  <c r="AG192" i="22"/>
  <c r="AG194" i="22"/>
  <c r="CE184" i="22"/>
  <c r="CD192" i="22"/>
  <c r="CD194" i="22"/>
  <c r="DR184" i="22"/>
  <c r="CQ192" i="22"/>
  <c r="CQ194" i="22"/>
  <c r="ED189" i="22"/>
  <c r="BH192" i="22"/>
  <c r="BH194" i="22"/>
  <c r="Z189" i="22"/>
  <c r="FC192" i="22"/>
  <c r="DO189" i="22"/>
  <c r="AZ192" i="22"/>
  <c r="AZ194" i="22"/>
  <c r="DU192" i="22"/>
  <c r="AI189" i="22"/>
  <c r="FF192" i="22"/>
  <c r="CT194" i="22"/>
  <c r="CI187" i="22"/>
  <c r="CL187" i="22"/>
  <c r="CC188" i="22"/>
  <c r="EM191" i="22"/>
  <c r="AO191" i="22"/>
  <c r="AL188" i="22"/>
  <c r="CS183" i="22"/>
  <c r="DV183" i="22"/>
  <c r="CO197" i="22"/>
  <c r="BH197" i="22"/>
  <c r="FB193" i="22"/>
  <c r="CU182" i="22"/>
  <c r="W182" i="22"/>
  <c r="EE197" i="22"/>
  <c r="AC197" i="22"/>
  <c r="FC197" i="22"/>
  <c r="EP182" i="22"/>
  <c r="CM197" i="22"/>
  <c r="CT197" i="22"/>
  <c r="AD197" i="22"/>
  <c r="BZ193" i="22"/>
  <c r="CJ182" i="22"/>
  <c r="Y182" i="22"/>
  <c r="AJ184" i="22"/>
  <c r="AJ189" i="22"/>
  <c r="FA184" i="22"/>
  <c r="FA189" i="22"/>
  <c r="AM184" i="22"/>
  <c r="AM189" i="22"/>
  <c r="BX184" i="22"/>
  <c r="BX189" i="22"/>
  <c r="DU184" i="22"/>
  <c r="DU189" i="22"/>
  <c r="ET184" i="22"/>
  <c r="ET189" i="22"/>
  <c r="AQ184" i="22"/>
  <c r="AQ189" i="22"/>
  <c r="CZ184" i="22"/>
  <c r="CZ189" i="22"/>
  <c r="CT189" i="22"/>
  <c r="AR192" i="22"/>
  <c r="AR194" i="22"/>
  <c r="DA189" i="22"/>
  <c r="AS192" i="22"/>
  <c r="AS194" i="22"/>
  <c r="DO184" i="22"/>
  <c r="CP192" i="22"/>
  <c r="CP194" i="22"/>
  <c r="FB184" i="22"/>
  <c r="DC192" i="22"/>
  <c r="BE184" i="22"/>
  <c r="FB189" i="22"/>
  <c r="BT192" i="22"/>
  <c r="BT194" i="22"/>
  <c r="BG189" i="22"/>
  <c r="AA192" i="22"/>
  <c r="AG184" i="22"/>
  <c r="EM189" i="22"/>
  <c r="BL192" i="22"/>
  <c r="BL194" i="22"/>
  <c r="EG192" i="22"/>
  <c r="BQ189" i="22"/>
  <c r="AD192" i="22"/>
  <c r="BG184" i="22"/>
  <c r="DK194" i="22"/>
  <c r="EE198" i="22"/>
  <c r="EE199" i="22"/>
  <c r="BW194" i="22"/>
  <c r="DH198" i="22"/>
  <c r="DH199" i="22"/>
  <c r="EC192" i="22"/>
  <c r="BY198" i="22"/>
  <c r="BY199" i="22"/>
  <c r="AP198" i="22"/>
  <c r="AP199" i="22"/>
  <c r="EI192" i="22"/>
  <c r="CA198" i="22"/>
  <c r="BC192" i="22"/>
  <c r="EF189" i="22"/>
  <c r="FD194" i="22"/>
  <c r="DG194" i="22"/>
  <c r="BO192" i="22"/>
  <c r="BI198" i="22"/>
  <c r="EW198" i="22"/>
  <c r="EL199" i="22"/>
  <c r="DB198" i="22"/>
  <c r="W189" i="22"/>
  <c r="CU187" i="22"/>
  <c r="CX187" i="22"/>
  <c r="DM188" i="22"/>
  <c r="EY191" i="22"/>
  <c r="BA191" i="22"/>
  <c r="BO191" i="22"/>
  <c r="DE183" i="22"/>
  <c r="EH183" i="22"/>
  <c r="AX182" i="22"/>
  <c r="BF182" i="22"/>
  <c r="DX182" i="22"/>
  <c r="BF197" i="22"/>
  <c r="DA197" i="22"/>
  <c r="BX197" i="22"/>
  <c r="AJ197" i="22"/>
  <c r="CV197" i="22"/>
  <c r="DB182" i="22"/>
  <c r="AH197" i="22"/>
  <c r="DE193" i="22"/>
  <c r="DM182" i="22"/>
  <c r="EF197" i="22"/>
  <c r="AS182" i="22"/>
  <c r="DX197" i="22"/>
  <c r="AV184" i="22"/>
  <c r="Y184" i="22"/>
  <c r="Y189" i="22"/>
  <c r="AY184" i="22"/>
  <c r="AY189" i="22"/>
  <c r="CJ184" i="22"/>
  <c r="CJ189" i="22"/>
  <c r="EG184" i="22"/>
  <c r="EG189" i="22"/>
  <c r="FF184" i="22"/>
  <c r="FF189" i="22"/>
  <c r="BC184" i="22"/>
  <c r="BC189" i="22"/>
  <c r="DL184" i="22"/>
  <c r="DL189" i="22"/>
  <c r="DY189" i="22"/>
  <c r="BD192" i="22"/>
  <c r="BD194" i="22"/>
  <c r="DZ189" i="22"/>
  <c r="BE192" i="22"/>
  <c r="BE194" i="22"/>
  <c r="EY184" i="22"/>
  <c r="DB192" i="22"/>
  <c r="DB194" i="22"/>
  <c r="DO192" i="22"/>
  <c r="CO184" i="22"/>
  <c r="CF192" i="22"/>
  <c r="CF194" i="22"/>
  <c r="CH189" i="22"/>
  <c r="AM192" i="22"/>
  <c r="BQ184" i="22"/>
  <c r="FK189" i="22"/>
  <c r="BX192" i="22"/>
  <c r="BX194" i="22"/>
  <c r="ES192" i="22"/>
  <c r="CQ189" i="22"/>
  <c r="AP192" i="22"/>
  <c r="ED194" i="22"/>
  <c r="EQ198" i="22"/>
  <c r="EQ199" i="22"/>
  <c r="CU194" i="22"/>
  <c r="DT198" i="22"/>
  <c r="DT199" i="22"/>
  <c r="AC194" i="22"/>
  <c r="CK198" i="22"/>
  <c r="CI188" i="22"/>
  <c r="CL188" i="22"/>
  <c r="EJ191" i="22"/>
  <c r="AJ191" i="22"/>
  <c r="BS187" i="22"/>
  <c r="DZ187" i="22"/>
  <c r="BJ183" i="22"/>
  <c r="CA183" i="22"/>
  <c r="DI197" i="22"/>
  <c r="BH193" i="22"/>
  <c r="DX193" i="22"/>
  <c r="CO193" i="22"/>
  <c r="AL197" i="22"/>
  <c r="EP193" i="22"/>
  <c r="AN182" i="22"/>
  <c r="AO197" i="22"/>
  <c r="EO197" i="22"/>
  <c r="DO197" i="22"/>
  <c r="CE182" i="22"/>
  <c r="DP182" i="22"/>
  <c r="BY197" i="22"/>
  <c r="BA182" i="22"/>
  <c r="AL182" i="22"/>
  <c r="BH184" i="22"/>
  <c r="AK184" i="22"/>
  <c r="AK189" i="22"/>
  <c r="BK184" i="22"/>
  <c r="BK189" i="22"/>
  <c r="CV184" i="22"/>
  <c r="CV189" i="22"/>
  <c r="ES184" i="22"/>
  <c r="ES189" i="22"/>
  <c r="AD184" i="22"/>
  <c r="AD189" i="22"/>
  <c r="BO184" i="22"/>
  <c r="BO189" i="22"/>
  <c r="DX184" i="22"/>
  <c r="DX189" i="22"/>
  <c r="AS184" i="22"/>
  <c r="EW189" i="22"/>
  <c r="BP192" i="22"/>
  <c r="BP194" i="22"/>
  <c r="AT184" i="22"/>
  <c r="EX189" i="22"/>
  <c r="BQ192" i="22"/>
  <c r="BQ194" i="22"/>
  <c r="DN192" i="22"/>
  <c r="DN194" i="22"/>
  <c r="EA192" i="22"/>
  <c r="DY184" i="22"/>
  <c r="CR192" i="22"/>
  <c r="CR194" i="22"/>
  <c r="DN189" i="22"/>
  <c r="AY192" i="22"/>
  <c r="DA184" i="22"/>
  <c r="CJ192" i="22"/>
  <c r="CJ194" i="22"/>
  <c r="AH189" i="22"/>
  <c r="FE192" i="22"/>
  <c r="DR189" i="22"/>
  <c r="BB192" i="22"/>
  <c r="BF189" i="22"/>
  <c r="ES194" i="22"/>
  <c r="FC198" i="22"/>
  <c r="BV184" i="22"/>
  <c r="DO194" i="22"/>
  <c r="EF198" i="22"/>
  <c r="EF199" i="22"/>
  <c r="BA194" i="22"/>
  <c r="CW198" i="22"/>
  <c r="CW199" i="22"/>
  <c r="CH192" i="22"/>
  <c r="BN198" i="22"/>
  <c r="BN199" i="22"/>
  <c r="BC194" i="22"/>
  <c r="CY198" i="22"/>
  <c r="EU192" i="22"/>
  <c r="EP194" i="22"/>
  <c r="FG192" i="22"/>
  <c r="CG198" i="22"/>
  <c r="EP192" i="22"/>
  <c r="AV199" i="22"/>
  <c r="EX198" i="22"/>
  <c r="CR187" i="22"/>
  <c r="CV187" i="22"/>
  <c r="CY187" i="22"/>
  <c r="BE191" i="22"/>
  <c r="CT187" i="22"/>
  <c r="CX191" i="22"/>
  <c r="BR183" i="22"/>
  <c r="BK183" i="22"/>
  <c r="EL193" i="22"/>
  <c r="DY182" i="22"/>
  <c r="AI197" i="22"/>
  <c r="AZ197" i="22"/>
  <c r="BL197" i="22"/>
  <c r="FJ197" i="22"/>
  <c r="AC182" i="22"/>
  <c r="ES182" i="22"/>
  <c r="AZ182" i="22"/>
  <c r="BD193" i="22"/>
  <c r="BX182" i="22"/>
  <c r="W193" i="22"/>
  <c r="DN193" i="22"/>
  <c r="CY197" i="22"/>
  <c r="DW182" i="22"/>
  <c r="CB193" i="22"/>
  <c r="CR184" i="22"/>
  <c r="BU184" i="22"/>
  <c r="BU189" i="22"/>
  <c r="CU184" i="22"/>
  <c r="CU189" i="22"/>
  <c r="EF184" i="22"/>
  <c r="AO184" i="22"/>
  <c r="AO189" i="22"/>
  <c r="BN184" i="22"/>
  <c r="BN189" i="22"/>
  <c r="CY184" i="22"/>
  <c r="CY189" i="22"/>
  <c r="FH184" i="22"/>
  <c r="FH189" i="22"/>
  <c r="EW184" i="22"/>
  <c r="CZ192" i="22"/>
  <c r="CZ194" i="22"/>
  <c r="EX184" i="22"/>
  <c r="DA192" i="22"/>
  <c r="DA194" i="22"/>
  <c r="EX192" i="22"/>
  <c r="EX194" i="22"/>
  <c r="AV189" i="22"/>
  <c r="FK192" i="22"/>
  <c r="EB192" i="22"/>
  <c r="CT184" i="22"/>
  <c r="CI192" i="22"/>
  <c r="DT192" i="22"/>
  <c r="DT194" i="22"/>
  <c r="DP189" i="22"/>
  <c r="BA192" i="22"/>
  <c r="DC184" i="22"/>
  <c r="CL192" i="22"/>
  <c r="Z192" i="22"/>
  <c r="DZ184" i="22"/>
  <c r="DE199" i="22"/>
  <c r="AL198" i="22"/>
  <c r="CO194" i="22"/>
  <c r="CM184" i="22"/>
  <c r="BF188" i="22"/>
  <c r="CO198" i="22"/>
  <c r="CE199" i="22"/>
  <c r="CS194" i="22"/>
  <c r="CY199" i="22"/>
  <c r="FK198" i="22"/>
  <c r="EA184" i="22"/>
  <c r="EM198" i="22"/>
  <c r="FC199" i="22"/>
  <c r="BR198" i="22"/>
  <c r="BE199" i="22"/>
  <c r="AW194" i="22"/>
  <c r="AH199" i="22"/>
  <c r="AG199" i="22"/>
  <c r="CZ199" i="22"/>
  <c r="DM189" i="22"/>
  <c r="Y198" i="22"/>
  <c r="FF194" i="22"/>
  <c r="X198" i="22"/>
  <c r="FE194" i="22"/>
  <c r="DW194" i="22"/>
  <c r="X13" i="22" s="1"/>
  <c r="CI194" i="22"/>
  <c r="CM198" i="22"/>
  <c r="BB198" i="22"/>
  <c r="DU199" i="22"/>
  <c r="BY194" i="22"/>
  <c r="FD198" i="22"/>
  <c r="DD192" i="22"/>
  <c r="FI184" i="22"/>
  <c r="CC192" i="22"/>
  <c r="FE184" i="22"/>
  <c r="AD182" i="22"/>
  <c r="AV197" i="22"/>
  <c r="DU197" i="22"/>
  <c r="BJ187" i="22"/>
  <c r="AF18" i="22"/>
  <c r="E18" i="22" s="1"/>
  <c r="D18" i="22" s="1"/>
  <c r="AF51" i="22"/>
  <c r="E51" i="22" s="1"/>
  <c r="B51" i="22" s="1"/>
  <c r="AF79" i="22"/>
  <c r="E79" i="22" s="1"/>
  <c r="D79" i="22" s="1"/>
  <c r="AF21" i="22"/>
  <c r="E21" i="22" s="1"/>
  <c r="AF70" i="22"/>
  <c r="E70" i="22" s="1"/>
  <c r="B70" i="22" s="1"/>
  <c r="AF109" i="22"/>
  <c r="E109" i="22" s="1"/>
  <c r="D109" i="22" s="1"/>
  <c r="AF62" i="22"/>
  <c r="E62" i="22" s="1"/>
  <c r="B62" i="22" s="1"/>
  <c r="AF98" i="22"/>
  <c r="E98" i="22" s="1"/>
  <c r="C98" i="22" s="1"/>
  <c r="AF30" i="22"/>
  <c r="E30" i="22" s="1"/>
  <c r="B30" i="22" s="1"/>
  <c r="AF103" i="22"/>
  <c r="E103" i="22" s="1"/>
  <c r="D103" i="22" s="1"/>
  <c r="AF33" i="22"/>
  <c r="E33" i="22" s="1"/>
  <c r="B33" i="22" s="1"/>
  <c r="AF82" i="22"/>
  <c r="E82" i="22" s="1"/>
  <c r="D82" i="22" s="1"/>
  <c r="AF24" i="22"/>
  <c r="E24" i="22" s="1"/>
  <c r="B24" i="22" s="1"/>
  <c r="AF74" i="22"/>
  <c r="E74" i="22" s="1"/>
  <c r="AF63" i="22"/>
  <c r="E63" i="22" s="1"/>
  <c r="B63" i="22" s="1"/>
  <c r="AF42" i="22"/>
  <c r="E42" i="22" s="1"/>
  <c r="C42" i="22" s="1"/>
  <c r="AF39" i="22"/>
  <c r="E39" i="22" s="1"/>
  <c r="D39" i="22" s="1"/>
  <c r="AF45" i="22"/>
  <c r="E45" i="22" s="1"/>
  <c r="C45" i="22" s="1"/>
  <c r="AF94" i="22"/>
  <c r="E94" i="22" s="1"/>
  <c r="AF36" i="22"/>
  <c r="E36" i="22" s="1"/>
  <c r="B36" i="22" s="1"/>
  <c r="AF86" i="22"/>
  <c r="E86" i="22" s="1"/>
  <c r="D86" i="22" s="1"/>
  <c r="AF54" i="22"/>
  <c r="E54" i="22" s="1"/>
  <c r="B54" i="22" s="1"/>
  <c r="AF20" i="22"/>
  <c r="E20" i="22" s="1"/>
  <c r="C20" i="22" s="1"/>
  <c r="AF57" i="22"/>
  <c r="E57" i="22" s="1"/>
  <c r="B57" i="22" s="1"/>
  <c r="AF106" i="22"/>
  <c r="E106" i="22" s="1"/>
  <c r="B106" i="22" s="1"/>
  <c r="AF48" i="22"/>
  <c r="E48" i="22" s="1"/>
  <c r="D48" i="22" s="1"/>
  <c r="AF27" i="22"/>
  <c r="E27" i="22" s="1"/>
  <c r="D27" i="22" s="1"/>
  <c r="AF102" i="22"/>
  <c r="E102" i="22" s="1"/>
  <c r="D102" i="22" s="1"/>
  <c r="AF32" i="22"/>
  <c r="E32" i="22" s="1"/>
  <c r="AF69" i="22"/>
  <c r="E69" i="22" s="1"/>
  <c r="B69" i="22" s="1"/>
  <c r="AF75" i="22"/>
  <c r="E75" i="22" s="1"/>
  <c r="B75" i="22" s="1"/>
  <c r="AF60" i="22"/>
  <c r="E60" i="22" s="1"/>
  <c r="AF40" i="22"/>
  <c r="E40" i="22" s="1"/>
  <c r="AF37" i="22"/>
  <c r="E37" i="22" s="1"/>
  <c r="D37" i="22" s="1"/>
  <c r="AF44" i="22"/>
  <c r="E44" i="22" s="1"/>
  <c r="AF81" i="22"/>
  <c r="E81" i="22" s="1"/>
  <c r="C81" i="22" s="1"/>
  <c r="AF23" i="22"/>
  <c r="E23" i="22" s="1"/>
  <c r="C23" i="22" s="1"/>
  <c r="AF72" i="22"/>
  <c r="E72" i="22" s="1"/>
  <c r="C72" i="22" s="1"/>
  <c r="AF52" i="22"/>
  <c r="E52" i="22" s="1"/>
  <c r="AF87" i="22"/>
  <c r="E87" i="22" s="1"/>
  <c r="D87" i="22" s="1"/>
  <c r="AF56" i="22"/>
  <c r="E56" i="22" s="1"/>
  <c r="D56" i="22" s="1"/>
  <c r="AF93" i="22"/>
  <c r="E93" i="22" s="1"/>
  <c r="C93" i="22" s="1"/>
  <c r="AF35" i="22"/>
  <c r="E35" i="22" s="1"/>
  <c r="AF108" i="22"/>
  <c r="E108" i="22" s="1"/>
  <c r="AF64" i="22"/>
  <c r="E64" i="22" s="1"/>
  <c r="C64" i="22" s="1"/>
  <c r="AF41" i="22"/>
  <c r="E41" i="22" s="1"/>
  <c r="B41" i="22" s="1"/>
  <c r="AF19" i="22"/>
  <c r="E19" i="22" s="1"/>
  <c r="AF68" i="22"/>
  <c r="E68" i="22" s="1"/>
  <c r="C68" i="22" s="1"/>
  <c r="AF105" i="22"/>
  <c r="E105" i="22" s="1"/>
  <c r="B105" i="22" s="1"/>
  <c r="AF47" i="22"/>
  <c r="E47" i="22" s="1"/>
  <c r="C47" i="22" s="1"/>
  <c r="AF12" i="22"/>
  <c r="AF76" i="22"/>
  <c r="E76" i="22" s="1"/>
  <c r="AF65" i="22"/>
  <c r="E65" i="22" s="1"/>
  <c r="AF31" i="22"/>
  <c r="E31" i="22" s="1"/>
  <c r="D31" i="22" s="1"/>
  <c r="AF80" i="22"/>
  <c r="E80" i="22" s="1"/>
  <c r="B80" i="22" s="1"/>
  <c r="AF85" i="22"/>
  <c r="E85" i="22" s="1"/>
  <c r="B85" i="22" s="1"/>
  <c r="AF83" i="22"/>
  <c r="E83" i="22" s="1"/>
  <c r="B83" i="22" s="1"/>
  <c r="AF14" i="22"/>
  <c r="AF88" i="22"/>
  <c r="E88" i="22" s="1"/>
  <c r="C88" i="22" s="1"/>
  <c r="AF11" i="22"/>
  <c r="AF67" i="22"/>
  <c r="E67" i="22" s="1"/>
  <c r="D67" i="22" s="1"/>
  <c r="AF73" i="22"/>
  <c r="E73" i="22" s="1"/>
  <c r="B73" i="22" s="1"/>
  <c r="AF58" i="22"/>
  <c r="E58" i="22" s="1"/>
  <c r="C58" i="22" s="1"/>
  <c r="AF49" i="22"/>
  <c r="E49" i="22" s="1"/>
  <c r="B49" i="22" s="1"/>
  <c r="AF50" i="22"/>
  <c r="E50" i="22" s="1"/>
  <c r="C50" i="22" s="1"/>
  <c r="AF61" i="22"/>
  <c r="E61" i="22" s="1"/>
  <c r="B61" i="22" s="1"/>
  <c r="AF104" i="22"/>
  <c r="E104" i="22" s="1"/>
  <c r="B104" i="22" s="1"/>
  <c r="AF99" i="22"/>
  <c r="E99" i="22" s="1"/>
  <c r="B99" i="22" s="1"/>
  <c r="AF46" i="22"/>
  <c r="E46" i="22" s="1"/>
  <c r="AF95" i="22"/>
  <c r="E95" i="22" s="1"/>
  <c r="C95" i="22" s="1"/>
  <c r="AF107" i="22"/>
  <c r="E107" i="22" s="1"/>
  <c r="C107" i="22" s="1"/>
  <c r="AF26" i="22"/>
  <c r="E26" i="22" s="1"/>
  <c r="D26" i="22" s="1"/>
  <c r="AF38" i="22"/>
  <c r="E38" i="22" s="1"/>
  <c r="C38" i="22" s="1"/>
  <c r="AF77" i="22"/>
  <c r="E77" i="22" s="1"/>
  <c r="D77" i="22" s="1"/>
  <c r="AF100" i="22"/>
  <c r="E100" i="22" s="1"/>
  <c r="AF101" i="22"/>
  <c r="E101" i="22" s="1"/>
  <c r="B101" i="22" s="1"/>
  <c r="AF13" i="22"/>
  <c r="AF92" i="22"/>
  <c r="E92" i="22" s="1"/>
  <c r="D92" i="22" s="1"/>
  <c r="CD199" i="22"/>
  <c r="EM194" i="22"/>
  <c r="P130" i="12"/>
  <c r="Q130" i="12" s="1"/>
  <c r="DM198" i="22"/>
  <c r="EM199" i="22"/>
  <c r="BO199" i="22"/>
  <c r="DQ192" i="22"/>
  <c r="BP199" i="22"/>
  <c r="EN198" i="22"/>
  <c r="W194" i="22"/>
  <c r="CQ198" i="22"/>
  <c r="EN199" i="22"/>
  <c r="AS198" i="22"/>
  <c r="FA199" i="22"/>
  <c r="AI199" i="22"/>
  <c r="Y192" i="22"/>
  <c r="EI194" i="22"/>
  <c r="EZ198" i="22"/>
  <c r="EY198" i="22"/>
  <c r="FK199" i="22"/>
  <c r="CG199" i="22"/>
  <c r="EB194" i="22"/>
  <c r="EA194" i="22"/>
  <c r="DF194" i="22"/>
  <c r="BK194" i="22"/>
  <c r="BO198" i="22"/>
  <c r="CR189" i="22"/>
  <c r="AD198" i="22"/>
  <c r="DI199" i="22"/>
  <c r="CG192" i="22"/>
  <c r="ER198" i="22"/>
  <c r="DS199" i="22"/>
  <c r="FI189" i="22"/>
  <c r="EY192" i="22"/>
  <c r="DN184" i="22"/>
  <c r="AC184" i="22"/>
  <c r="EJ182" i="22"/>
  <c r="AL193" i="22"/>
  <c r="FD193" i="22"/>
  <c r="AV191" i="22"/>
  <c r="BU198" i="22"/>
  <c r="AR198" i="22"/>
  <c r="DC194" i="22"/>
  <c r="AT199" i="22"/>
  <c r="BE189" i="22"/>
  <c r="EV198" i="22"/>
  <c r="DP198" i="22"/>
  <c r="AT198" i="22"/>
  <c r="DY199" i="22"/>
  <c r="CP199" i="22"/>
  <c r="FB198" i="22"/>
  <c r="BI194" i="22"/>
  <c r="EB198" i="22"/>
  <c r="EA198" i="22"/>
  <c r="EW199" i="22"/>
  <c r="BQ199" i="22"/>
  <c r="AW199" i="22"/>
  <c r="CM194" i="22"/>
  <c r="CL194" i="22"/>
  <c r="BM194" i="22"/>
  <c r="AM194" i="22"/>
  <c r="BC198" i="22"/>
  <c r="EY194" i="22"/>
  <c r="CK199" i="22"/>
  <c r="AK192" i="22"/>
  <c r="CV198" i="22"/>
  <c r="DG199" i="22"/>
  <c r="EP189" i="22"/>
  <c r="DH194" i="22"/>
  <c r="EM192" i="22"/>
  <c r="CD184" i="22"/>
  <c r="DH189" i="22"/>
  <c r="CI189" i="22"/>
  <c r="FF197" i="22"/>
  <c r="CH197" i="22"/>
  <c r="DP197" i="22"/>
  <c r="AS191" i="22"/>
  <c r="BB189" i="22"/>
  <c r="FA197" i="22"/>
  <c r="EL198" i="22"/>
  <c r="CD198" i="22"/>
  <c r="BA198" i="22"/>
  <c r="DI192" i="22"/>
  <c r="EJ189" i="22"/>
  <c r="FG193" i="22"/>
  <c r="EU199" i="22"/>
  <c r="EO192" i="22"/>
  <c r="X199" i="22"/>
  <c r="CB198" i="22"/>
  <c r="CR198" i="22"/>
  <c r="DJ199" i="22"/>
  <c r="AJ199" i="22"/>
  <c r="ED198" i="22"/>
  <c r="AW192" i="22"/>
  <c r="DD198" i="22"/>
  <c r="BV199" i="22"/>
  <c r="DC198" i="22"/>
  <c r="EH199" i="22"/>
  <c r="DJ194" i="22"/>
  <c r="AE199" i="22"/>
  <c r="AK199" i="22"/>
  <c r="BO194" i="22"/>
  <c r="BN194" i="22"/>
  <c r="FA192" i="22"/>
  <c r="CY192" i="22"/>
  <c r="AQ198" i="22"/>
  <c r="DF184" i="22"/>
  <c r="BB194" i="22"/>
  <c r="BM199" i="22"/>
  <c r="CJ198" i="22"/>
  <c r="AY199" i="22"/>
  <c r="ET192" i="22"/>
  <c r="CV194" i="22"/>
  <c r="FJ189" i="22"/>
  <c r="DT184" i="22"/>
  <c r="BW189" i="22"/>
  <c r="EQ193" i="22"/>
  <c r="CB182" i="22"/>
  <c r="BB197" i="22"/>
  <c r="EV191" i="22"/>
  <c r="EV189" i="22"/>
  <c r="CF184" i="22"/>
  <c r="CF187" i="22"/>
  <c r="CC199" i="22"/>
  <c r="BJ184" i="22"/>
  <c r="DN199" i="22"/>
  <c r="DF189" i="22"/>
  <c r="EP198" i="22"/>
  <c r="FG199" i="22"/>
  <c r="BT198" i="22"/>
  <c r="CR199" i="22"/>
  <c r="CN198" i="22"/>
  <c r="DF198" i="22"/>
  <c r="BJ194" i="22"/>
  <c r="W199" i="22"/>
  <c r="CF198" i="22"/>
  <c r="CE198" i="22"/>
  <c r="DA199" i="22"/>
  <c r="Y194" i="22"/>
  <c r="DY198" i="22"/>
  <c r="Y199" i="22"/>
  <c r="AQ194" i="22"/>
  <c r="AP194" i="22"/>
  <c r="DE192" i="22"/>
  <c r="EZ194" i="22"/>
  <c r="CL199" i="22"/>
  <c r="AD194" i="22"/>
  <c r="BA199" i="22"/>
  <c r="AB198" i="22"/>
  <c r="FK194" i="22"/>
  <c r="AM199" i="22"/>
  <c r="BZ192" i="22"/>
  <c r="DH192" i="22"/>
  <c r="EL189" i="22"/>
  <c r="DH184" i="22"/>
  <c r="CI184" i="22"/>
  <c r="BI189" i="22"/>
  <c r="FI193" i="22"/>
  <c r="CA182" i="22"/>
  <c r="AS193" i="22"/>
  <c r="CM187" i="22"/>
  <c r="CZ198" i="22"/>
  <c r="FB194" i="22"/>
  <c r="DD199" i="22"/>
  <c r="CM192" i="22"/>
  <c r="CQ199" i="22"/>
  <c r="FB199" i="22"/>
  <c r="CF199" i="22"/>
  <c r="DR198" i="22"/>
  <c r="EP199" i="22"/>
  <c r="AU198" i="22"/>
  <c r="EO199" i="22"/>
  <c r="CB199" i="22"/>
  <c r="ER194" i="22"/>
  <c r="W198" i="22"/>
  <c r="CH198" i="22"/>
  <c r="AX192" i="22"/>
  <c r="EY199" i="22"/>
  <c r="BH198" i="22"/>
  <c r="EX199" i="22"/>
  <c r="BG198" i="22"/>
  <c r="BR199" i="22"/>
  <c r="FD189" i="22"/>
  <c r="DA198" i="22"/>
  <c r="EO198" i="22"/>
  <c r="DK192" i="22"/>
  <c r="DF192" i="22"/>
  <c r="BI192" i="22"/>
  <c r="DR194" i="22"/>
  <c r="BZ199" i="22"/>
  <c r="ED192" i="22"/>
  <c r="EG198" i="22"/>
  <c r="ET194" i="22"/>
  <c r="Y12" i="22" s="1"/>
  <c r="AA199" i="22"/>
  <c r="BN192" i="22"/>
  <c r="CV192" i="22"/>
  <c r="EK184" i="22"/>
  <c r="EL194" i="22"/>
  <c r="BW184" i="22"/>
  <c r="AW189" i="22"/>
  <c r="BP193" i="22"/>
  <c r="X197" i="22"/>
  <c r="CM183" i="22"/>
  <c r="CX188" i="22"/>
  <c r="EB199" i="22"/>
  <c r="DO198" i="22"/>
  <c r="CM199" i="22"/>
  <c r="EI198" i="22"/>
  <c r="CV199" i="22"/>
  <c r="AP189" i="22"/>
  <c r="BT184" i="22"/>
  <c r="CA199" i="22"/>
  <c r="AL199" i="22"/>
  <c r="AU199" i="22"/>
  <c r="W192" i="22"/>
  <c r="CT198" i="22"/>
  <c r="EA199" i="22"/>
  <c r="FA194" i="22"/>
  <c r="DK199" i="22"/>
  <c r="BH199" i="22"/>
  <c r="BU194" i="22"/>
  <c r="EZ199" i="22"/>
  <c r="BJ198" i="22"/>
  <c r="EJ199" i="22"/>
  <c r="AH198" i="22"/>
  <c r="EI199" i="22"/>
  <c r="AG198" i="22"/>
  <c r="DW199" i="22"/>
  <c r="AX199" i="22"/>
  <c r="CC198" i="22"/>
  <c r="DQ198" i="22"/>
  <c r="DT189" i="22"/>
  <c r="CY194" i="22"/>
  <c r="BB199" i="22"/>
  <c r="AL192" i="22"/>
  <c r="DU198" i="22"/>
  <c r="CP184" i="22"/>
  <c r="EE194" i="22"/>
  <c r="DS198" i="22"/>
  <c r="BW192" i="22"/>
  <c r="DZ194" i="22"/>
  <c r="CN194" i="22"/>
  <c r="BI184" i="22"/>
  <c r="BT182" i="22"/>
  <c r="AI182" i="22"/>
  <c r="AY183" i="22"/>
  <c r="CJ187" i="22"/>
  <c r="AF89" i="22"/>
  <c r="E89" i="22" s="1"/>
  <c r="AF28" i="22"/>
  <c r="E28" i="22" s="1"/>
  <c r="AF96" i="22"/>
  <c r="E96" i="22" s="1"/>
  <c r="B96" i="22" s="1"/>
  <c r="AF71" i="22"/>
  <c r="E71" i="22" s="1"/>
  <c r="B71" i="22" s="1"/>
  <c r="AF34" i="22"/>
  <c r="E34" i="22" s="1"/>
  <c r="B34" i="22" s="1"/>
  <c r="AF15" i="22"/>
  <c r="E15" i="22" s="1"/>
  <c r="C15" i="22" s="1"/>
  <c r="AF97" i="22"/>
  <c r="E97" i="22" s="1"/>
  <c r="D97" i="22" s="1"/>
  <c r="AF90" i="22"/>
  <c r="E90" i="22" s="1"/>
  <c r="C90" i="22" s="1"/>
  <c r="AF29" i="22"/>
  <c r="E29" i="22" s="1"/>
  <c r="D29" i="22" s="1"/>
  <c r="AF16" i="22"/>
  <c r="E16" i="22" s="1"/>
  <c r="D16" i="22" s="1"/>
  <c r="AF84" i="22"/>
  <c r="E84" i="22" s="1"/>
  <c r="AF59" i="22"/>
  <c r="E59" i="22" s="1"/>
  <c r="AF22" i="22"/>
  <c r="E22" i="22" s="1"/>
  <c r="AF110" i="22"/>
  <c r="E110" i="22" s="1"/>
  <c r="B110" i="22" s="1"/>
  <c r="AF25" i="22"/>
  <c r="E25" i="22" s="1"/>
  <c r="AF78" i="22"/>
  <c r="E78" i="22" s="1"/>
  <c r="C78" i="22" s="1"/>
  <c r="AF91" i="22"/>
  <c r="E91" i="22" s="1"/>
  <c r="B91" i="22" s="1"/>
  <c r="AF66" i="22"/>
  <c r="E66" i="22" s="1"/>
  <c r="D66" i="22" s="1"/>
  <c r="AN15" i="19"/>
  <c r="X20" i="19" s="1"/>
  <c r="AO17" i="29"/>
  <c r="X20" i="29" s="1"/>
  <c r="AF53" i="22"/>
  <c r="E53" i="22" s="1"/>
  <c r="B53" i="22" s="1"/>
  <c r="AF17" i="22"/>
  <c r="E17" i="22" s="1"/>
  <c r="C17" i="22" s="1"/>
  <c r="Q24" i="29"/>
  <c r="Q25" i="29"/>
  <c r="R24" i="29"/>
  <c r="S25" i="29"/>
  <c r="R25" i="29"/>
  <c r="S24" i="29"/>
  <c r="P23" i="19"/>
  <c r="P22" i="19"/>
  <c r="N46" i="1"/>
  <c r="N57" i="1"/>
  <c r="N44" i="1"/>
  <c r="N54" i="1"/>
  <c r="N55" i="1"/>
  <c r="N45" i="1"/>
  <c r="V22" i="19"/>
  <c r="V25" i="19"/>
  <c r="V24" i="19"/>
  <c r="R22" i="19"/>
  <c r="R25" i="19"/>
  <c r="R24" i="19"/>
  <c r="S20" i="19"/>
  <c r="S25" i="19"/>
  <c r="S22" i="19"/>
  <c r="S24" i="19"/>
  <c r="S21" i="19"/>
  <c r="S23" i="19"/>
  <c r="X24" i="19"/>
  <c r="X25" i="19"/>
  <c r="Z25" i="29"/>
  <c r="Z24" i="29"/>
  <c r="AM10" i="20"/>
  <c r="AM13" i="20"/>
  <c r="AM12" i="20"/>
  <c r="AM11" i="20"/>
  <c r="Z22" i="29"/>
  <c r="Z23" i="29"/>
  <c r="Q23" i="29"/>
  <c r="S20" i="29"/>
  <c r="R23" i="29"/>
  <c r="S23" i="29"/>
  <c r="Z20" i="29"/>
  <c r="Z21" i="29"/>
  <c r="Q20" i="29"/>
  <c r="X23" i="19"/>
  <c r="T21" i="19"/>
  <c r="V21" i="19"/>
  <c r="V20" i="19"/>
  <c r="V23" i="19"/>
  <c r="R20" i="19"/>
  <c r="R21" i="19"/>
  <c r="R23" i="19"/>
  <c r="AO164" i="20"/>
  <c r="AG7" i="29"/>
  <c r="AG15" i="29"/>
  <c r="J29" i="29" s="1"/>
  <c r="AG6" i="29"/>
  <c r="AG12" i="29"/>
  <c r="J26" i="29" s="1"/>
  <c r="AG9" i="29"/>
  <c r="AG13" i="29"/>
  <c r="J27" i="29" s="1"/>
  <c r="AG10" i="29"/>
  <c r="J24" i="29" s="1"/>
  <c r="AG14" i="29"/>
  <c r="J28" i="29" s="1"/>
  <c r="AG11" i="29"/>
  <c r="J25" i="29" s="1"/>
  <c r="AG8" i="29"/>
  <c r="AO166" i="20"/>
  <c r="E43" i="22"/>
  <c r="D43" i="22" s="1"/>
  <c r="Q21" i="29"/>
  <c r="Q22" i="29"/>
  <c r="R20" i="29"/>
  <c r="R22" i="29"/>
  <c r="S21" i="29"/>
  <c r="R21" i="29"/>
  <c r="S22" i="29"/>
  <c r="P21" i="19"/>
  <c r="R141" i="12"/>
  <c r="Q21" i="19"/>
  <c r="AU15" i="20" a="1"/>
  <c r="AU15" i="20" s="1"/>
  <c r="AU14" i="20" a="1"/>
  <c r="AU14" i="20" s="1"/>
  <c r="AU13" i="20" a="1"/>
  <c r="AU13" i="20" s="1"/>
  <c r="AU12" i="20" a="1"/>
  <c r="AU12" i="20" s="1"/>
  <c r="AU11" i="20" a="1"/>
  <c r="AU11" i="20" s="1"/>
  <c r="Y23" i="19"/>
  <c r="Y26" i="19"/>
  <c r="Y22" i="19"/>
  <c r="Y25" i="19"/>
  <c r="Y24" i="19"/>
  <c r="T25" i="19"/>
  <c r="T26" i="19"/>
  <c r="T22" i="19"/>
  <c r="T23" i="19"/>
  <c r="T24" i="19"/>
  <c r="Q22" i="19"/>
  <c r="P24" i="19"/>
  <c r="Q25" i="19"/>
  <c r="Q26" i="19"/>
  <c r="P25" i="19"/>
  <c r="P26" i="19"/>
  <c r="Q24" i="19"/>
  <c r="Q23" i="19"/>
  <c r="O21" i="19"/>
  <c r="O22" i="19"/>
  <c r="Q20" i="19"/>
  <c r="O20" i="19"/>
  <c r="O23" i="19"/>
  <c r="Y20" i="19"/>
  <c r="Y21" i="19"/>
  <c r="W17" i="26" a="1"/>
  <c r="W17" i="26" s="1"/>
  <c r="W19" i="26" s="1"/>
  <c r="AC8" i="20"/>
  <c r="AD8" i="20"/>
  <c r="G32" i="21"/>
  <c r="AJ166" i="25"/>
  <c r="AH8" i="25"/>
  <c r="T17" i="26" a="1"/>
  <c r="T17" i="26" s="1"/>
  <c r="T19" i="26" s="1"/>
  <c r="Z17" i="26" a="1"/>
  <c r="Z17" i="26" s="1"/>
  <c r="Z19" i="26" s="1"/>
  <c r="AJ169" i="25"/>
  <c r="AI8" i="25"/>
  <c r="F17" i="26"/>
  <c r="F18" i="26" s="1"/>
  <c r="F20" i="26" s="1"/>
  <c r="Q17" i="26"/>
  <c r="Q20" i="26" s="1"/>
  <c r="L17" i="26"/>
  <c r="L19" i="26" s="1"/>
  <c r="AC17" i="26" a="1"/>
  <c r="AC17" i="26" s="1"/>
  <c r="AC19" i="26" s="1"/>
  <c r="AE8" i="20"/>
  <c r="O17" i="26"/>
  <c r="AJ163" i="25"/>
  <c r="AG8" i="25"/>
  <c r="E17" i="26"/>
  <c r="Q84" i="12"/>
  <c r="R84" i="12" s="1"/>
  <c r="R146" i="12"/>
  <c r="Q162" i="12"/>
  <c r="R162" i="12" s="1"/>
  <c r="Q163" i="12"/>
  <c r="R163" i="12" s="1"/>
  <c r="Q150" i="12"/>
  <c r="R150" i="12" s="1"/>
  <c r="Q151" i="12"/>
  <c r="R151" i="12" s="1"/>
  <c r="Q147" i="12"/>
  <c r="R147" i="12" s="1"/>
  <c r="Q159" i="12"/>
  <c r="R159" i="12" s="1"/>
  <c r="Q160" i="12"/>
  <c r="R160" i="12" s="1"/>
  <c r="Y84" i="12"/>
  <c r="U165" i="12"/>
  <c r="V165" i="12" s="1"/>
  <c r="R157" i="12"/>
  <c r="R161" i="12"/>
  <c r="R165" i="12"/>
  <c r="U152" i="12"/>
  <c r="V152" i="12" s="1"/>
  <c r="U163" i="12"/>
  <c r="V163" i="12" s="1"/>
  <c r="U150" i="12"/>
  <c r="V150" i="12" s="1"/>
  <c r="U164" i="12"/>
  <c r="V164" i="12" s="1"/>
  <c r="U155" i="12"/>
  <c r="V155" i="12" s="1"/>
  <c r="R164" i="12"/>
  <c r="R155" i="12"/>
  <c r="U151" i="12"/>
  <c r="V151" i="12" s="1"/>
  <c r="U154" i="12"/>
  <c r="V154" i="12" s="1"/>
  <c r="E28" i="11" s="1"/>
  <c r="F18" i="11" s="1"/>
  <c r="R152" i="12"/>
  <c r="U156" i="12"/>
  <c r="V156" i="12" s="1"/>
  <c r="R154" i="12"/>
  <c r="R156" i="12"/>
  <c r="AG159" i="12"/>
  <c r="AM159" i="12"/>
  <c r="AH159" i="12"/>
  <c r="AN159" i="12"/>
  <c r="AI159" i="12"/>
  <c r="AD159" i="12"/>
  <c r="AJ159" i="12"/>
  <c r="AF159" i="12"/>
  <c r="AL159" i="12"/>
  <c r="X159" i="12"/>
  <c r="Y159" i="12"/>
  <c r="AK159" i="12"/>
  <c r="Z159" i="12"/>
  <c r="AP159" i="12"/>
  <c r="AA159" i="12"/>
  <c r="AB159" i="12"/>
  <c r="AC159" i="12"/>
  <c r="AE159" i="12"/>
  <c r="AO159" i="12"/>
  <c r="R166" i="12"/>
  <c r="AM157" i="12"/>
  <c r="AH157" i="12"/>
  <c r="AE157" i="12"/>
  <c r="AD157" i="12"/>
  <c r="X157" i="12"/>
  <c r="Z157" i="12"/>
  <c r="AI157" i="12"/>
  <c r="AC157" i="12"/>
  <c r="AO157" i="12"/>
  <c r="AJ157" i="12"/>
  <c r="AP157" i="12"/>
  <c r="AL157" i="12"/>
  <c r="Y157" i="12"/>
  <c r="AG157" i="12"/>
  <c r="AK157" i="12"/>
  <c r="AF157" i="12"/>
  <c r="AA157" i="12"/>
  <c r="AB157" i="12"/>
  <c r="AN157" i="12"/>
  <c r="U158" i="12"/>
  <c r="V158" i="12" s="1"/>
  <c r="U166" i="12"/>
  <c r="V166" i="12" s="1"/>
  <c r="R158" i="12"/>
  <c r="U153" i="12"/>
  <c r="V153" i="12" s="1"/>
  <c r="U162" i="12"/>
  <c r="V162" i="12" s="1"/>
  <c r="U160" i="12"/>
  <c r="V160" i="12" s="1"/>
  <c r="R149" i="12"/>
  <c r="R153" i="12"/>
  <c r="U161" i="12"/>
  <c r="V161" i="12" s="1"/>
  <c r="U149" i="12"/>
  <c r="V149" i="12" s="1"/>
  <c r="X84" i="12"/>
  <c r="AD84" i="12"/>
  <c r="AI84" i="12"/>
  <c r="AJ84" i="12"/>
  <c r="AF84" i="12"/>
  <c r="Z84" i="12"/>
  <c r="R111" i="12"/>
  <c r="AG111" i="12"/>
  <c r="AH111" i="12"/>
  <c r="AI111" i="12"/>
  <c r="X111" i="12"/>
  <c r="AJ111" i="12"/>
  <c r="Y111" i="12"/>
  <c r="AK111" i="12"/>
  <c r="Z111" i="12"/>
  <c r="AL111" i="12"/>
  <c r="AC111" i="12"/>
  <c r="AE111" i="12"/>
  <c r="AF111" i="12"/>
  <c r="AA111" i="12"/>
  <c r="AM111" i="12"/>
  <c r="AB111" i="12"/>
  <c r="AN111" i="12"/>
  <c r="AO111" i="12"/>
  <c r="AD111" i="12"/>
  <c r="AP111" i="12"/>
  <c r="AE84" i="12"/>
  <c r="AA84" i="12"/>
  <c r="R110" i="12"/>
  <c r="AG110" i="12"/>
  <c r="AH110" i="12"/>
  <c r="AI110" i="12"/>
  <c r="X110" i="12"/>
  <c r="AJ110" i="12"/>
  <c r="Y110" i="12"/>
  <c r="AK110" i="12"/>
  <c r="Z110" i="12"/>
  <c r="AL110" i="12"/>
  <c r="AO110" i="12"/>
  <c r="AD110" i="12"/>
  <c r="AP110" i="12"/>
  <c r="AF110" i="12"/>
  <c r="AA110" i="12"/>
  <c r="AM110" i="12"/>
  <c r="AB110" i="12"/>
  <c r="AN110" i="12"/>
  <c r="AC110" i="12"/>
  <c r="AE110" i="12"/>
  <c r="AO84" i="12"/>
  <c r="AH84" i="12"/>
  <c r="AN84" i="12"/>
  <c r="AB84" i="12"/>
  <c r="AG84" i="12"/>
  <c r="AC84" i="12"/>
  <c r="AM84" i="12"/>
  <c r="AP84" i="12"/>
  <c r="AL84" i="12"/>
  <c r="U141" i="12"/>
  <c r="V141" i="12" s="1"/>
  <c r="AB147" i="12"/>
  <c r="AN147" i="12"/>
  <c r="AH147" i="12"/>
  <c r="AJ147" i="12"/>
  <c r="AM147" i="12"/>
  <c r="AC147" i="12"/>
  <c r="AO147" i="12"/>
  <c r="AF147" i="12"/>
  <c r="AG147" i="12"/>
  <c r="AI147" i="12"/>
  <c r="AK147" i="12"/>
  <c r="AA147" i="12"/>
  <c r="AD147" i="12"/>
  <c r="AP147" i="12"/>
  <c r="AE147" i="12"/>
  <c r="Y147" i="12"/>
  <c r="AL147" i="12"/>
  <c r="X147" i="12"/>
  <c r="Z147" i="12"/>
  <c r="U146" i="12"/>
  <c r="V146" i="12" s="1"/>
  <c r="AG145" i="12"/>
  <c r="AH145" i="12"/>
  <c r="AI145" i="12"/>
  <c r="X145" i="12"/>
  <c r="AJ145" i="12"/>
  <c r="Y145" i="12"/>
  <c r="AK145" i="12"/>
  <c r="Z145" i="12"/>
  <c r="AL145" i="12"/>
  <c r="AA145" i="12"/>
  <c r="AM145" i="12"/>
  <c r="AC145" i="12"/>
  <c r="AO145" i="12"/>
  <c r="AD145" i="12"/>
  <c r="AP145" i="12"/>
  <c r="AE145" i="12"/>
  <c r="AF145" i="12"/>
  <c r="AB145" i="12"/>
  <c r="AN145" i="12"/>
  <c r="R145" i="12"/>
  <c r="AG140" i="12"/>
  <c r="AH140" i="12"/>
  <c r="AI140" i="12"/>
  <c r="X140" i="12"/>
  <c r="AJ140" i="12"/>
  <c r="Y140" i="12"/>
  <c r="AK140" i="12"/>
  <c r="Z140" i="12"/>
  <c r="AL140" i="12"/>
  <c r="AA140" i="12"/>
  <c r="AM140" i="12"/>
  <c r="AN140" i="12"/>
  <c r="AC140" i="12"/>
  <c r="AO140" i="12"/>
  <c r="AD140" i="12"/>
  <c r="AP140" i="12"/>
  <c r="AE140" i="12"/>
  <c r="AF140" i="12"/>
  <c r="AB140" i="12"/>
  <c r="R140" i="12"/>
  <c r="AI136" i="12"/>
  <c r="AJ136" i="12"/>
  <c r="Y136" i="12"/>
  <c r="AK136" i="12"/>
  <c r="AM136" i="12"/>
  <c r="AE136" i="12"/>
  <c r="X136" i="12"/>
  <c r="V133" i="12"/>
  <c r="AD133" i="12" s="1"/>
  <c r="G27" i="19" l="1"/>
  <c r="D13" i="19"/>
  <c r="D27" i="19" s="1"/>
  <c r="B13" i="19"/>
  <c r="B27" i="19" s="1"/>
  <c r="C13" i="19"/>
  <c r="C27" i="19" s="1"/>
  <c r="I20" i="19"/>
  <c r="G20" i="19" s="1"/>
  <c r="AK32" i="26"/>
  <c r="AK36" i="26"/>
  <c r="AH32" i="26"/>
  <c r="AH36" i="26"/>
  <c r="AE36" i="26"/>
  <c r="AE32" i="26"/>
  <c r="AC136" i="12"/>
  <c r="AB136" i="12"/>
  <c r="AN136" i="12"/>
  <c r="R133" i="12"/>
  <c r="AH136" i="12"/>
  <c r="AO130" i="12"/>
  <c r="AG136" i="12"/>
  <c r="AK130" i="12"/>
  <c r="AF136" i="12"/>
  <c r="R136" i="12"/>
  <c r="AP136" i="12"/>
  <c r="AD136" i="12"/>
  <c r="AO136" i="12"/>
  <c r="AA136" i="12"/>
  <c r="AL136" i="12"/>
  <c r="E14" i="22"/>
  <c r="C14" i="22" s="1"/>
  <c r="X11" i="22"/>
  <c r="E11" i="22" s="1"/>
  <c r="D89" i="22"/>
  <c r="B25" i="22"/>
  <c r="D96" i="22"/>
  <c r="D15" i="22"/>
  <c r="E13" i="22"/>
  <c r="B13" i="22" s="1"/>
  <c r="Y130" i="12"/>
  <c r="AB130" i="12"/>
  <c r="AN130" i="12"/>
  <c r="X130" i="12"/>
  <c r="C89" i="22"/>
  <c r="AJ130" i="12"/>
  <c r="AA130" i="12"/>
  <c r="AM130" i="12"/>
  <c r="AE130" i="12"/>
  <c r="C87" i="22"/>
  <c r="AP130" i="12"/>
  <c r="AG130" i="12"/>
  <c r="C39" i="22"/>
  <c r="X22" i="19"/>
  <c r="AC130" i="12"/>
  <c r="AF130" i="12"/>
  <c r="AI130" i="12"/>
  <c r="AH130" i="12"/>
  <c r="AL130" i="12"/>
  <c r="AD130" i="12"/>
  <c r="B39" i="22"/>
  <c r="B35" i="22"/>
  <c r="E12" i="22"/>
  <c r="C46" i="22"/>
  <c r="D46" i="22"/>
  <c r="B60" i="22"/>
  <c r="C60" i="22"/>
  <c r="C40" i="22"/>
  <c r="D40" i="22"/>
  <c r="C100" i="22"/>
  <c r="C52" i="22"/>
  <c r="B52" i="22"/>
  <c r="D52" i="22"/>
  <c r="C28" i="22"/>
  <c r="D28" i="22"/>
  <c r="B28" i="22"/>
  <c r="R130" i="12"/>
  <c r="X21" i="19"/>
  <c r="D74" i="22"/>
  <c r="D21" i="22"/>
  <c r="D90" i="22"/>
  <c r="B44" i="22"/>
  <c r="D44" i="22"/>
  <c r="B89" i="22"/>
  <c r="C102" i="22"/>
  <c r="B56" i="22"/>
  <c r="B45" i="22"/>
  <c r="B46" i="22"/>
  <c r="D73" i="22"/>
  <c r="B87" i="22"/>
  <c r="D60" i="22"/>
  <c r="D101" i="22"/>
  <c r="D36" i="22"/>
  <c r="C36" i="22"/>
  <c r="C96" i="22"/>
  <c r="D91" i="22"/>
  <c r="C34" i="22"/>
  <c r="D104" i="22"/>
  <c r="D33" i="22"/>
  <c r="B47" i="22"/>
  <c r="B16" i="22"/>
  <c r="C16" i="22"/>
  <c r="C44" i="22"/>
  <c r="B20" i="22"/>
  <c r="D105" i="22"/>
  <c r="D34" i="22"/>
  <c r="C105" i="22"/>
  <c r="D106" i="22"/>
  <c r="C33" i="22"/>
  <c r="C106" i="22"/>
  <c r="C101" i="22"/>
  <c r="C57" i="22"/>
  <c r="C24" i="22"/>
  <c r="D53" i="22"/>
  <c r="B90" i="22"/>
  <c r="D47" i="22"/>
  <c r="D71" i="22"/>
  <c r="C91" i="22"/>
  <c r="D38" i="22"/>
  <c r="F8" i="21"/>
  <c r="F9" i="21" s="1"/>
  <c r="C31" i="22"/>
  <c r="B92" i="22"/>
  <c r="D65" i="22"/>
  <c r="B31" i="22"/>
  <c r="B65" i="22"/>
  <c r="B76" i="22"/>
  <c r="C92" i="22"/>
  <c r="B15" i="22"/>
  <c r="C65" i="22"/>
  <c r="C77" i="22"/>
  <c r="C74" i="22"/>
  <c r="B93" i="22"/>
  <c r="B77" i="22"/>
  <c r="B74" i="22"/>
  <c r="D20" i="22"/>
  <c r="D93" i="22"/>
  <c r="B40" i="22"/>
  <c r="B86" i="22"/>
  <c r="C73" i="22"/>
  <c r="D94" i="22"/>
  <c r="D98" i="22"/>
  <c r="C21" i="22"/>
  <c r="B102" i="22"/>
  <c r="B94" i="22"/>
  <c r="C94" i="22"/>
  <c r="C62" i="22"/>
  <c r="C37" i="22"/>
  <c r="B37" i="22"/>
  <c r="B21" i="22"/>
  <c r="C86" i="22"/>
  <c r="B95" i="22"/>
  <c r="C51" i="22"/>
  <c r="B109" i="22"/>
  <c r="C83" i="22"/>
  <c r="D51" i="22"/>
  <c r="C59" i="22"/>
  <c r="B97" i="22"/>
  <c r="B26" i="22"/>
  <c r="C109" i="22"/>
  <c r="C41" i="22"/>
  <c r="B17" i="22"/>
  <c r="J20" i="29"/>
  <c r="B98" i="22"/>
  <c r="D95" i="22"/>
  <c r="D17" i="22"/>
  <c r="B68" i="22"/>
  <c r="D68" i="22"/>
  <c r="B59" i="22"/>
  <c r="C97" i="22"/>
  <c r="C26" i="22"/>
  <c r="D59" i="22"/>
  <c r="D83" i="22"/>
  <c r="D41" i="22"/>
  <c r="J23" i="29"/>
  <c r="B9" i="29" s="1"/>
  <c r="B23" i="29" s="1"/>
  <c r="C104" i="22"/>
  <c r="D42" i="22"/>
  <c r="D57" i="22"/>
  <c r="C71" i="22"/>
  <c r="D58" i="22"/>
  <c r="D72" i="22"/>
  <c r="B72" i="22"/>
  <c r="B58" i="22"/>
  <c r="D23" i="22"/>
  <c r="C25" i="22"/>
  <c r="D24" i="22"/>
  <c r="D25" i="22"/>
  <c r="D62" i="22"/>
  <c r="B23" i="22"/>
  <c r="C108" i="22"/>
  <c r="C53" i="22"/>
  <c r="D108" i="22"/>
  <c r="C18" i="22"/>
  <c r="AO10" i="20"/>
  <c r="AO13" i="20"/>
  <c r="AO11" i="20"/>
  <c r="AO12" i="20"/>
  <c r="B38" i="22"/>
  <c r="B108" i="22"/>
  <c r="B18" i="22"/>
  <c r="B42" i="22"/>
  <c r="D15" i="29"/>
  <c r="D29" i="29" s="1"/>
  <c r="B15" i="29"/>
  <c r="B29" i="29" s="1"/>
  <c r="C15" i="29"/>
  <c r="C29" i="29" s="1"/>
  <c r="G29" i="29"/>
  <c r="D14" i="29"/>
  <c r="D28" i="29" s="1"/>
  <c r="G28" i="29"/>
  <c r="C14" i="29"/>
  <c r="C28" i="29" s="1"/>
  <c r="B14" i="29"/>
  <c r="B28" i="29" s="1"/>
  <c r="B13" i="29"/>
  <c r="B27" i="29" s="1"/>
  <c r="G27" i="29"/>
  <c r="C13" i="29"/>
  <c r="C27" i="29" s="1"/>
  <c r="D13" i="29"/>
  <c r="D27" i="29" s="1"/>
  <c r="G26" i="29"/>
  <c r="B12" i="29"/>
  <c r="B26" i="29" s="1"/>
  <c r="D12" i="29"/>
  <c r="D26" i="29" s="1"/>
  <c r="C12" i="29"/>
  <c r="C26" i="29" s="1"/>
  <c r="G24" i="29"/>
  <c r="B10" i="29"/>
  <c r="B24" i="29" s="1"/>
  <c r="D10" i="29"/>
  <c r="D24" i="29" s="1"/>
  <c r="C10" i="29"/>
  <c r="C24" i="29" s="1"/>
  <c r="C48" i="22"/>
  <c r="D45" i="22"/>
  <c r="B84" i="22"/>
  <c r="C99" i="22"/>
  <c r="D76" i="22"/>
  <c r="D75" i="22"/>
  <c r="C76" i="22"/>
  <c r="C75" i="22"/>
  <c r="D70" i="22"/>
  <c r="C70" i="22"/>
  <c r="C66" i="22"/>
  <c r="B32" i="22"/>
  <c r="B66" i="22"/>
  <c r="D80" i="22"/>
  <c r="D32" i="22"/>
  <c r="B81" i="22"/>
  <c r="D84" i="22"/>
  <c r="D81" i="22"/>
  <c r="D99" i="22"/>
  <c r="C84" i="22"/>
  <c r="C80" i="22"/>
  <c r="B48" i="22"/>
  <c r="C32" i="22"/>
  <c r="C110" i="22"/>
  <c r="D22" i="22"/>
  <c r="D30" i="22"/>
  <c r="D110" i="22"/>
  <c r="B22" i="22"/>
  <c r="D78" i="22"/>
  <c r="C22" i="22"/>
  <c r="C61" i="22"/>
  <c r="C55" i="22"/>
  <c r="B82" i="22"/>
  <c r="C49" i="22"/>
  <c r="C19" i="22"/>
  <c r="D88" i="22"/>
  <c r="C103" i="22"/>
  <c r="D61" i="22"/>
  <c r="D55" i="22"/>
  <c r="D19" i="22"/>
  <c r="C67" i="22"/>
  <c r="C82" i="22"/>
  <c r="D49" i="22"/>
  <c r="B103" i="22"/>
  <c r="B19" i="22"/>
  <c r="B67" i="22"/>
  <c r="B88" i="22"/>
  <c r="C30" i="22"/>
  <c r="B78" i="22"/>
  <c r="G25" i="29"/>
  <c r="D11" i="29"/>
  <c r="D25" i="29" s="1"/>
  <c r="C11" i="29"/>
  <c r="C25" i="29" s="1"/>
  <c r="B11" i="29"/>
  <c r="B25" i="29" s="1"/>
  <c r="C35" i="22"/>
  <c r="C29" i="22"/>
  <c r="B50" i="22"/>
  <c r="D35" i="22"/>
  <c r="B29" i="22"/>
  <c r="C56" i="22"/>
  <c r="D50" i="22"/>
  <c r="C54" i="22"/>
  <c r="B107" i="22"/>
  <c r="C43" i="22"/>
  <c r="C79" i="22"/>
  <c r="D64" i="22"/>
  <c r="C85" i="22"/>
  <c r="B43" i="22"/>
  <c r="B79" i="22"/>
  <c r="C69" i="22"/>
  <c r="D63" i="22"/>
  <c r="C27" i="22"/>
  <c r="D54" i="22"/>
  <c r="D107" i="22"/>
  <c r="D69" i="22"/>
  <c r="B64" i="22"/>
  <c r="D85" i="22"/>
  <c r="C63" i="22"/>
  <c r="B27" i="22"/>
  <c r="D100" i="22"/>
  <c r="B100" i="22"/>
  <c r="J22" i="29"/>
  <c r="G22" i="29" s="1"/>
  <c r="J21" i="29"/>
  <c r="G21" i="29" s="1"/>
  <c r="AE13" i="20"/>
  <c r="AD13" i="20" s="1"/>
  <c r="AF13" i="20" s="1"/>
  <c r="AE12" i="20"/>
  <c r="AD12" i="20" s="1"/>
  <c r="AF12" i="20" s="1"/>
  <c r="AE37" i="20"/>
  <c r="AE49" i="20"/>
  <c r="AE61" i="20"/>
  <c r="AE73" i="20"/>
  <c r="AE85" i="20"/>
  <c r="AE97" i="20"/>
  <c r="AE109" i="20"/>
  <c r="AE83" i="20"/>
  <c r="AE15" i="20"/>
  <c r="AD15" i="20" s="1"/>
  <c r="AF15" i="20" s="1"/>
  <c r="AE26" i="20"/>
  <c r="AD26" i="20" s="1"/>
  <c r="AF26" i="20" s="1"/>
  <c r="E26" i="20" s="1"/>
  <c r="AE38" i="20"/>
  <c r="AE50" i="20"/>
  <c r="AE62" i="20"/>
  <c r="AE74" i="20"/>
  <c r="AE86" i="20"/>
  <c r="AE98" i="20"/>
  <c r="AE11" i="20"/>
  <c r="AD11" i="20" s="1"/>
  <c r="AF11" i="20" s="1"/>
  <c r="AE95" i="20"/>
  <c r="AE16" i="20"/>
  <c r="AD16" i="20" s="1"/>
  <c r="AF16" i="20" s="1"/>
  <c r="E16" i="20" s="1"/>
  <c r="AE27" i="20"/>
  <c r="AD27" i="20" s="1"/>
  <c r="AF27" i="20" s="1"/>
  <c r="E27" i="20" s="1"/>
  <c r="AE39" i="20"/>
  <c r="AE51" i="20"/>
  <c r="AE63" i="20"/>
  <c r="AE75" i="20"/>
  <c r="AE87" i="20"/>
  <c r="AE99" i="20"/>
  <c r="AE14" i="20"/>
  <c r="AD14" i="20" s="1"/>
  <c r="AF14" i="20" s="1"/>
  <c r="AE17" i="20"/>
  <c r="AD17" i="20" s="1"/>
  <c r="AF17" i="20" s="1"/>
  <c r="E17" i="20" s="1"/>
  <c r="AE28" i="20"/>
  <c r="AD28" i="20" s="1"/>
  <c r="AF28" i="20" s="1"/>
  <c r="E28" i="20" s="1"/>
  <c r="AE40" i="20"/>
  <c r="AE52" i="20"/>
  <c r="AE64" i="20"/>
  <c r="AE76" i="20"/>
  <c r="AE88" i="20"/>
  <c r="AE100" i="20"/>
  <c r="AE47" i="20"/>
  <c r="AE18" i="20"/>
  <c r="AD18" i="20" s="1"/>
  <c r="AF18" i="20" s="1"/>
  <c r="E18" i="20" s="1"/>
  <c r="AE29" i="20"/>
  <c r="AD29" i="20" s="1"/>
  <c r="AF29" i="20" s="1"/>
  <c r="E29" i="20" s="1"/>
  <c r="AE41" i="20"/>
  <c r="AE53" i="20"/>
  <c r="AE65" i="20"/>
  <c r="AE77" i="20"/>
  <c r="AE89" i="20"/>
  <c r="AE101" i="20"/>
  <c r="AE93" i="20"/>
  <c r="AE24" i="20"/>
  <c r="AD24" i="20" s="1"/>
  <c r="AF24" i="20" s="1"/>
  <c r="E24" i="20" s="1"/>
  <c r="AE19" i="20"/>
  <c r="AD19" i="20" s="1"/>
  <c r="AF19" i="20" s="1"/>
  <c r="E19" i="20" s="1"/>
  <c r="AE30" i="20"/>
  <c r="AD30" i="20" s="1"/>
  <c r="AF30" i="20" s="1"/>
  <c r="E30" i="20" s="1"/>
  <c r="AE42" i="20"/>
  <c r="AE54" i="20"/>
  <c r="AE66" i="20"/>
  <c r="AE78" i="20"/>
  <c r="AE90" i="20"/>
  <c r="AE102" i="20"/>
  <c r="AE105" i="20"/>
  <c r="AE35" i="20"/>
  <c r="AE20" i="20"/>
  <c r="AD20" i="20" s="1"/>
  <c r="AF20" i="20" s="1"/>
  <c r="E20" i="20" s="1"/>
  <c r="AE31" i="20"/>
  <c r="AE43" i="20"/>
  <c r="AE55" i="20"/>
  <c r="AE67" i="20"/>
  <c r="AE79" i="20"/>
  <c r="AE91" i="20"/>
  <c r="AE103" i="20"/>
  <c r="AE71" i="20"/>
  <c r="AE21" i="20"/>
  <c r="AD21" i="20" s="1"/>
  <c r="AF21" i="20" s="1"/>
  <c r="E21" i="20" s="1"/>
  <c r="AE32" i="20"/>
  <c r="AE44" i="20"/>
  <c r="AE56" i="20"/>
  <c r="AE68" i="20"/>
  <c r="AE80" i="20"/>
  <c r="AE92" i="20"/>
  <c r="AE104" i="20"/>
  <c r="AE59" i="20"/>
  <c r="AE22" i="20"/>
  <c r="AD22" i="20" s="1"/>
  <c r="AF22" i="20" s="1"/>
  <c r="E22" i="20" s="1"/>
  <c r="AE33" i="20"/>
  <c r="AE45" i="20"/>
  <c r="AE57" i="20"/>
  <c r="AE69" i="20"/>
  <c r="AE81" i="20"/>
  <c r="AE23" i="20"/>
  <c r="AD23" i="20" s="1"/>
  <c r="AF23" i="20" s="1"/>
  <c r="E23" i="20" s="1"/>
  <c r="AE34" i="20"/>
  <c r="AE46" i="20"/>
  <c r="AE58" i="20"/>
  <c r="AE70" i="20"/>
  <c r="AE82" i="20"/>
  <c r="AE94" i="20"/>
  <c r="AE106" i="20"/>
  <c r="AE107" i="20"/>
  <c r="AE25" i="20"/>
  <c r="AD25" i="20" s="1"/>
  <c r="AF25" i="20" s="1"/>
  <c r="E25" i="20" s="1"/>
  <c r="AE36" i="20"/>
  <c r="AE48" i="20"/>
  <c r="AE60" i="20"/>
  <c r="AE72" i="20"/>
  <c r="AE84" i="20"/>
  <c r="AE96" i="20"/>
  <c r="AE108" i="20"/>
  <c r="I26" i="19"/>
  <c r="G26" i="19" s="1"/>
  <c r="I25" i="19"/>
  <c r="I24" i="19"/>
  <c r="G24" i="19" s="1"/>
  <c r="I23" i="19"/>
  <c r="G23" i="19" s="1"/>
  <c r="I22" i="19"/>
  <c r="G22" i="19" s="1"/>
  <c r="AE10" i="20"/>
  <c r="O20" i="26"/>
  <c r="E18" i="26"/>
  <c r="E20" i="26" s="1"/>
  <c r="S36" i="26"/>
  <c r="AB36" i="26"/>
  <c r="AB32" i="26"/>
  <c r="Q32" i="26"/>
  <c r="Q36" i="26"/>
  <c r="Y36" i="26"/>
  <c r="V32" i="26"/>
  <c r="V36" i="26"/>
  <c r="S32" i="26"/>
  <c r="Y32" i="26"/>
  <c r="AI12" i="25"/>
  <c r="AI11" i="25"/>
  <c r="AI10" i="25"/>
  <c r="AI14" i="25"/>
  <c r="AI13" i="25"/>
  <c r="E29" i="11"/>
  <c r="E30" i="11"/>
  <c r="AB151" i="12"/>
  <c r="AI151" i="12"/>
  <c r="AJ151" i="12"/>
  <c r="Y151" i="12"/>
  <c r="AK151" i="12"/>
  <c r="AL151" i="12"/>
  <c r="Z151" i="12"/>
  <c r="X151" i="12"/>
  <c r="AE151" i="12"/>
  <c r="AO151" i="12"/>
  <c r="AP151" i="12"/>
  <c r="AM151" i="12"/>
  <c r="AN151" i="12"/>
  <c r="AH151" i="12"/>
  <c r="AD151" i="12"/>
  <c r="AG151" i="12"/>
  <c r="AF151" i="12"/>
  <c r="AC151" i="12"/>
  <c r="AA151" i="12"/>
  <c r="AO160" i="12"/>
  <c r="AH160" i="12"/>
  <c r="AJ160" i="12"/>
  <c r="Y160" i="12"/>
  <c r="AN160" i="12"/>
  <c r="AM160" i="12"/>
  <c r="AC160" i="12"/>
  <c r="AD160" i="12"/>
  <c r="AE160" i="12"/>
  <c r="AK160" i="12"/>
  <c r="AP160" i="12"/>
  <c r="AF160" i="12"/>
  <c r="Z160" i="12"/>
  <c r="AG160" i="12"/>
  <c r="AL160" i="12"/>
  <c r="AB160" i="12"/>
  <c r="AA160" i="12"/>
  <c r="AI160" i="12"/>
  <c r="X160" i="12"/>
  <c r="AC162" i="12"/>
  <c r="AI162" i="12"/>
  <c r="AJ162" i="12"/>
  <c r="AK162" i="12"/>
  <c r="AL162" i="12"/>
  <c r="AM162" i="12"/>
  <c r="Z162" i="12"/>
  <c r="X162" i="12"/>
  <c r="AA162" i="12"/>
  <c r="Y162" i="12"/>
  <c r="AF162" i="12"/>
  <c r="AB162" i="12"/>
  <c r="AO162" i="12"/>
  <c r="AG162" i="12"/>
  <c r="AD162" i="12"/>
  <c r="AP162" i="12"/>
  <c r="AE162" i="12"/>
  <c r="AN162" i="12"/>
  <c r="AH162" i="12"/>
  <c r="AG158" i="12"/>
  <c r="AA158" i="12"/>
  <c r="AP158" i="12"/>
  <c r="AE158" i="12"/>
  <c r="AO158" i="12"/>
  <c r="AI158" i="12"/>
  <c r="AN158" i="12"/>
  <c r="AH158" i="12"/>
  <c r="AB158" i="12"/>
  <c r="Z158" i="12"/>
  <c r="X158" i="12"/>
  <c r="AF158" i="12"/>
  <c r="AJ158" i="12"/>
  <c r="Y158" i="12"/>
  <c r="AK158" i="12"/>
  <c r="AL158" i="12"/>
  <c r="AD158" i="12"/>
  <c r="AM158" i="12"/>
  <c r="AC158" i="12"/>
  <c r="Y166" i="12"/>
  <c r="AC166" i="12"/>
  <c r="AG166" i="12"/>
  <c r="AM166" i="12"/>
  <c r="AJ166" i="12"/>
  <c r="AA166" i="12"/>
  <c r="AF166" i="12"/>
  <c r="X166" i="12"/>
  <c r="AI166" i="12"/>
  <c r="AH166" i="12"/>
  <c r="AD166" i="12"/>
  <c r="Z166" i="12"/>
  <c r="AP166" i="12"/>
  <c r="AL166" i="12"/>
  <c r="AK166" i="12"/>
  <c r="AE166" i="12"/>
  <c r="AO166" i="12"/>
  <c r="AN166" i="12"/>
  <c r="AB166" i="12"/>
  <c r="Z153" i="12"/>
  <c r="X153" i="12"/>
  <c r="AJ153" i="12"/>
  <c r="AO153" i="12"/>
  <c r="AK153" i="12"/>
  <c r="AD153" i="12"/>
  <c r="AA153" i="12"/>
  <c r="AH153" i="12"/>
  <c r="AF153" i="12"/>
  <c r="AE153" i="12"/>
  <c r="Y153" i="12"/>
  <c r="AI153" i="12"/>
  <c r="AP153" i="12"/>
  <c r="AM153" i="12"/>
  <c r="AG153" i="12"/>
  <c r="AC153" i="12"/>
  <c r="AN153" i="12"/>
  <c r="AB153" i="12"/>
  <c r="AL153" i="12"/>
  <c r="Z165" i="12"/>
  <c r="X165" i="12"/>
  <c r="AJ165" i="12"/>
  <c r="AF165" i="12"/>
  <c r="AI165" i="12"/>
  <c r="AP165" i="12"/>
  <c r="AO165" i="12"/>
  <c r="AL165" i="12"/>
  <c r="AC165" i="12"/>
  <c r="AN165" i="12"/>
  <c r="AK165" i="12"/>
  <c r="AB165" i="12"/>
  <c r="AE165" i="12"/>
  <c r="Y165" i="12"/>
  <c r="AG165" i="12"/>
  <c r="AM165" i="12"/>
  <c r="AA165" i="12"/>
  <c r="AH165" i="12"/>
  <c r="AD165" i="12"/>
  <c r="AB163" i="12"/>
  <c r="Z163" i="12"/>
  <c r="AI163" i="12"/>
  <c r="AJ163" i="12"/>
  <c r="AK163" i="12"/>
  <c r="AL163" i="12"/>
  <c r="X163" i="12"/>
  <c r="Y163" i="12"/>
  <c r="AG163" i="12"/>
  <c r="AH163" i="12"/>
  <c r="AC163" i="12"/>
  <c r="AF163" i="12"/>
  <c r="AM163" i="12"/>
  <c r="AE163" i="12"/>
  <c r="AP163" i="12"/>
  <c r="AD163" i="12"/>
  <c r="AA163" i="12"/>
  <c r="AN163" i="12"/>
  <c r="AO163" i="12"/>
  <c r="AE161" i="12"/>
  <c r="Z161" i="12"/>
  <c r="AF161" i="12"/>
  <c r="AC161" i="12"/>
  <c r="AO161" i="12"/>
  <c r="AD161" i="12"/>
  <c r="AH161" i="12"/>
  <c r="AM161" i="12"/>
  <c r="AI161" i="12"/>
  <c r="AB161" i="12"/>
  <c r="X161" i="12"/>
  <c r="AJ161" i="12"/>
  <c r="Y161" i="12"/>
  <c r="AL161" i="12"/>
  <c r="AA161" i="12"/>
  <c r="AN161" i="12"/>
  <c r="AP161" i="12"/>
  <c r="AK161" i="12"/>
  <c r="AG161" i="12"/>
  <c r="AA164" i="12"/>
  <c r="AJ164" i="12"/>
  <c r="Y164" i="12"/>
  <c r="AK164" i="12"/>
  <c r="AI164" i="12"/>
  <c r="X164" i="12"/>
  <c r="AN164" i="12"/>
  <c r="AB164" i="12"/>
  <c r="AE164" i="12"/>
  <c r="AP164" i="12"/>
  <c r="AF164" i="12"/>
  <c r="AD164" i="12"/>
  <c r="AO164" i="12"/>
  <c r="AL164" i="12"/>
  <c r="AH164" i="12"/>
  <c r="AC164" i="12"/>
  <c r="Z164" i="12"/>
  <c r="AG164" i="12"/>
  <c r="AM164" i="12"/>
  <c r="AH149" i="12"/>
  <c r="AI149" i="12"/>
  <c r="X149" i="12"/>
  <c r="AD149" i="12"/>
  <c r="AJ149" i="12"/>
  <c r="AC149" i="12"/>
  <c r="AA149" i="12"/>
  <c r="AP149" i="12"/>
  <c r="AL149" i="12"/>
  <c r="AM149" i="12"/>
  <c r="Y149" i="12"/>
  <c r="AO149" i="12"/>
  <c r="AB149" i="12"/>
  <c r="AK149" i="12"/>
  <c r="AE149" i="12"/>
  <c r="Z149" i="12"/>
  <c r="AF149" i="12"/>
  <c r="AN149" i="12"/>
  <c r="AG149" i="12"/>
  <c r="AA152" i="12"/>
  <c r="Y152" i="12"/>
  <c r="AJ152" i="12"/>
  <c r="X152" i="12"/>
  <c r="AK152" i="12"/>
  <c r="AP152" i="12"/>
  <c r="AD152" i="12"/>
  <c r="AI152" i="12"/>
  <c r="AN152" i="12"/>
  <c r="AO152" i="12"/>
  <c r="AM152" i="12"/>
  <c r="AG152" i="12"/>
  <c r="AE152" i="12"/>
  <c r="AC152" i="12"/>
  <c r="AH152" i="12"/>
  <c r="AF152" i="12"/>
  <c r="AL152" i="12"/>
  <c r="Z152" i="12"/>
  <c r="AB152" i="12"/>
  <c r="Z156" i="12"/>
  <c r="AL156" i="12"/>
  <c r="AM156" i="12"/>
  <c r="AI156" i="12"/>
  <c r="Y156" i="12"/>
  <c r="AK156" i="12"/>
  <c r="AB156" i="12"/>
  <c r="AN156" i="12"/>
  <c r="AJ156" i="12"/>
  <c r="AG156" i="12"/>
  <c r="AC156" i="12"/>
  <c r="AE156" i="12"/>
  <c r="X156" i="12"/>
  <c r="AO156" i="12"/>
  <c r="AD156" i="12"/>
  <c r="AF156" i="12"/>
  <c r="AH156" i="12"/>
  <c r="AA156" i="12"/>
  <c r="AP156" i="12"/>
  <c r="AL155" i="12"/>
  <c r="AF155" i="12"/>
  <c r="AG155" i="12"/>
  <c r="AA155" i="12"/>
  <c r="AB155" i="12"/>
  <c r="AD155" i="12"/>
  <c r="AM155" i="12"/>
  <c r="AK155" i="12"/>
  <c r="AN155" i="12"/>
  <c r="Y155" i="12"/>
  <c r="X155" i="12"/>
  <c r="AC155" i="12"/>
  <c r="AJ155" i="12"/>
  <c r="AO155" i="12"/>
  <c r="AP155" i="12"/>
  <c r="Z155" i="12"/>
  <c r="AE155" i="12"/>
  <c r="AI155" i="12"/>
  <c r="AH155" i="12"/>
  <c r="Y154" i="12"/>
  <c r="AI154" i="12"/>
  <c r="AA154" i="12"/>
  <c r="AJ154" i="12"/>
  <c r="AG154" i="12"/>
  <c r="AE154" i="12"/>
  <c r="AP154" i="12"/>
  <c r="AB154" i="12"/>
  <c r="X154" i="12"/>
  <c r="AD154" i="12"/>
  <c r="AO154" i="12"/>
  <c r="AL154" i="12"/>
  <c r="AH154" i="12"/>
  <c r="AC154" i="12"/>
  <c r="Z154" i="12"/>
  <c r="AF154" i="12"/>
  <c r="AN154" i="12"/>
  <c r="AM154" i="12"/>
  <c r="AK154" i="12"/>
  <c r="AC150" i="12"/>
  <c r="AK150" i="12"/>
  <c r="AL150" i="12"/>
  <c r="AM150" i="12"/>
  <c r="X150" i="12"/>
  <c r="AF150" i="12"/>
  <c r="Y150" i="12"/>
  <c r="Z150" i="12"/>
  <c r="AI150" i="12"/>
  <c r="AA150" i="12"/>
  <c r="AJ150" i="12"/>
  <c r="AB150" i="12"/>
  <c r="AG150" i="12"/>
  <c r="AP150" i="12"/>
  <c r="AD150" i="12"/>
  <c r="AO150" i="12"/>
  <c r="AH150" i="12"/>
  <c r="AE150" i="12"/>
  <c r="AN150" i="12"/>
  <c r="X141" i="12"/>
  <c r="AI141" i="12"/>
  <c r="AM141" i="12"/>
  <c r="AG141" i="12"/>
  <c r="AK141" i="12"/>
  <c r="AB141" i="12"/>
  <c r="AA141" i="12"/>
  <c r="AL141" i="12"/>
  <c r="Z141" i="12"/>
  <c r="AF141" i="12"/>
  <c r="AO141" i="12"/>
  <c r="AH141" i="12"/>
  <c r="Y141" i="12"/>
  <c r="AP141" i="12"/>
  <c r="AE141" i="12"/>
  <c r="AJ141" i="12"/>
  <c r="AD141" i="12"/>
  <c r="AC141" i="12"/>
  <c r="AN141" i="12"/>
  <c r="AB146" i="12"/>
  <c r="AN146" i="12"/>
  <c r="AC146" i="12"/>
  <c r="AO146" i="12"/>
  <c r="AD146" i="12"/>
  <c r="AP146" i="12"/>
  <c r="AE146" i="12"/>
  <c r="AJ146" i="12"/>
  <c r="AK146" i="12"/>
  <c r="AL146" i="12"/>
  <c r="AM146" i="12"/>
  <c r="AF146" i="12"/>
  <c r="Y146" i="12"/>
  <c r="AG146" i="12"/>
  <c r="AH146" i="12"/>
  <c r="AI146" i="12"/>
  <c r="X146" i="12"/>
  <c r="Z146" i="12"/>
  <c r="AA146" i="12"/>
  <c r="AN133" i="12"/>
  <c r="AJ133" i="12"/>
  <c r="AO133" i="12"/>
  <c r="AM133" i="12"/>
  <c r="AK133" i="12"/>
  <c r="Y133" i="12"/>
  <c r="AG133" i="12"/>
  <c r="AF133" i="12"/>
  <c r="X133" i="12"/>
  <c r="AL133" i="12"/>
  <c r="AB133" i="12"/>
  <c r="AE133" i="12"/>
  <c r="AP133" i="12"/>
  <c r="AH133" i="12"/>
  <c r="AC133" i="12"/>
  <c r="Z133" i="12"/>
  <c r="AA133" i="12"/>
  <c r="AI133" i="12"/>
  <c r="AK33" i="26" l="1"/>
  <c r="AK37" i="26"/>
  <c r="AK38" i="26" s="1"/>
  <c r="AL30" i="26" s="1"/>
  <c r="AK34" i="26"/>
  <c r="AH37" i="26"/>
  <c r="AH33" i="26"/>
  <c r="AH34" i="26" s="1"/>
  <c r="AH38" i="26"/>
  <c r="AI30" i="26" s="1"/>
  <c r="AE33" i="26"/>
  <c r="AE34" i="26" s="1"/>
  <c r="AE37" i="26"/>
  <c r="AE38" i="26" s="1"/>
  <c r="AF30" i="26" s="1"/>
  <c r="D14" i="22"/>
  <c r="B14" i="22"/>
  <c r="G23" i="29"/>
  <c r="J17" i="29"/>
  <c r="E9" i="22"/>
  <c r="D12" i="22"/>
  <c r="B12" i="22"/>
  <c r="C12" i="22"/>
  <c r="D13" i="22"/>
  <c r="C13" i="22"/>
  <c r="F11" i="21"/>
  <c r="F12" i="21" s="1"/>
  <c r="F13" i="21" s="1"/>
  <c r="B29" i="20"/>
  <c r="C29" i="20"/>
  <c r="D29" i="20"/>
  <c r="F20" i="11"/>
  <c r="F19" i="11"/>
  <c r="B22" i="20"/>
  <c r="C22" i="20"/>
  <c r="D22" i="20"/>
  <c r="B30" i="20"/>
  <c r="C30" i="20"/>
  <c r="D30" i="20"/>
  <c r="B19" i="20"/>
  <c r="C19" i="20"/>
  <c r="D19" i="20"/>
  <c r="C24" i="20"/>
  <c r="B24" i="20"/>
  <c r="D24" i="20"/>
  <c r="B26" i="20"/>
  <c r="C26" i="20"/>
  <c r="D26" i="20"/>
  <c r="B20" i="20"/>
  <c r="D20" i="20"/>
  <c r="C20" i="20"/>
  <c r="D27" i="20"/>
  <c r="C27" i="20"/>
  <c r="B27" i="20"/>
  <c r="B23" i="20"/>
  <c r="C23" i="20"/>
  <c r="D23" i="20"/>
  <c r="B21" i="20"/>
  <c r="C21" i="20"/>
  <c r="D21" i="20"/>
  <c r="C25" i="20"/>
  <c r="B25" i="20"/>
  <c r="D25" i="20"/>
  <c r="B28" i="20"/>
  <c r="C28" i="20"/>
  <c r="D28" i="20"/>
  <c r="C9" i="29"/>
  <c r="C23" i="29" s="1"/>
  <c r="D9" i="29"/>
  <c r="D23" i="29" s="1"/>
  <c r="D11" i="19"/>
  <c r="D25" i="19" s="1"/>
  <c r="G25" i="19"/>
  <c r="C6" i="29"/>
  <c r="C20" i="29" s="1"/>
  <c r="B6" i="29"/>
  <c r="B20" i="29" s="1"/>
  <c r="G20" i="29"/>
  <c r="D6" i="29"/>
  <c r="D20" i="29" s="1"/>
  <c r="J30" i="29"/>
  <c r="B8" i="29"/>
  <c r="B22" i="29" s="1"/>
  <c r="C8" i="29"/>
  <c r="C22" i="29" s="1"/>
  <c r="D8" i="29"/>
  <c r="D22" i="29" s="1"/>
  <c r="D7" i="29"/>
  <c r="D21" i="29" s="1"/>
  <c r="C7" i="29"/>
  <c r="C21" i="29" s="1"/>
  <c r="B7" i="29"/>
  <c r="B21" i="29" s="1"/>
  <c r="C12" i="19"/>
  <c r="C26" i="19" s="1"/>
  <c r="D12" i="19"/>
  <c r="D26" i="19" s="1"/>
  <c r="B12" i="19"/>
  <c r="B26" i="19" s="1"/>
  <c r="C16" i="20"/>
  <c r="B16" i="20"/>
  <c r="D16" i="20"/>
  <c r="D17" i="20"/>
  <c r="B17" i="20"/>
  <c r="C17" i="20"/>
  <c r="D18" i="20"/>
  <c r="C18" i="20"/>
  <c r="B18" i="20"/>
  <c r="B11" i="19"/>
  <c r="B25" i="19" s="1"/>
  <c r="C11" i="19"/>
  <c r="C25" i="19" s="1"/>
  <c r="C9" i="19"/>
  <c r="C23" i="19" s="1"/>
  <c r="D9" i="19"/>
  <c r="D23" i="19" s="1"/>
  <c r="B9" i="19"/>
  <c r="B23" i="19" s="1"/>
  <c r="B10" i="19"/>
  <c r="B24" i="19" s="1"/>
  <c r="C10" i="19"/>
  <c r="C24" i="19" s="1"/>
  <c r="D10" i="19"/>
  <c r="D24" i="19" s="1"/>
  <c r="B8" i="19"/>
  <c r="B22" i="19" s="1"/>
  <c r="D8" i="19"/>
  <c r="D22" i="19" s="1"/>
  <c r="C8" i="19"/>
  <c r="C22" i="19" s="1"/>
  <c r="AD10" i="20"/>
  <c r="AF10" i="20" s="1"/>
  <c r="Y33" i="26"/>
  <c r="Y34" i="26" s="1"/>
  <c r="AB37" i="26"/>
  <c r="AB38" i="26" s="1"/>
  <c r="AC30" i="26" s="1"/>
  <c r="Q33" i="26"/>
  <c r="Q34" i="26" s="1"/>
  <c r="S37" i="26"/>
  <c r="S38" i="26" s="1"/>
  <c r="T30" i="26" s="1"/>
  <c r="V33" i="26"/>
  <c r="V34" i="26" s="1"/>
  <c r="Y37" i="26"/>
  <c r="Y38" i="26" s="1"/>
  <c r="Z30" i="26" s="1"/>
  <c r="AB33" i="26"/>
  <c r="AB34" i="26" s="1"/>
  <c r="S33" i="26"/>
  <c r="S34" i="26" s="1"/>
  <c r="Q37" i="26"/>
  <c r="Q38" i="26" s="1"/>
  <c r="V37" i="26"/>
  <c r="V38" i="26" s="1"/>
  <c r="W30" i="26" s="1"/>
  <c r="F170" i="13"/>
  <c r="F169" i="13"/>
  <c r="F168" i="13"/>
  <c r="F167" i="13"/>
  <c r="F166" i="13"/>
  <c r="F165" i="13"/>
  <c r="F164" i="13"/>
  <c r="F163" i="13"/>
  <c r="F162" i="13"/>
  <c r="F161" i="13"/>
  <c r="F160" i="13"/>
  <c r="F159" i="13"/>
  <c r="F158" i="13"/>
  <c r="F157" i="13"/>
  <c r="F156" i="13"/>
  <c r="F155" i="13"/>
  <c r="F154" i="13"/>
  <c r="F153" i="13"/>
  <c r="F152" i="13"/>
  <c r="F151" i="13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P21" i="13"/>
  <c r="N20" i="13"/>
  <c r="P118" i="12"/>
  <c r="Q118" i="12" s="1"/>
  <c r="P119" i="12"/>
  <c r="Q119" i="12" s="1"/>
  <c r="P120" i="12"/>
  <c r="Q120" i="12" s="1"/>
  <c r="P122" i="12"/>
  <c r="Q122" i="12" s="1"/>
  <c r="P127" i="12"/>
  <c r="Q127" i="12" s="1"/>
  <c r="P129" i="12"/>
  <c r="Q129" i="12" s="1"/>
  <c r="P134" i="12"/>
  <c r="P175" i="12"/>
  <c r="P176" i="12"/>
  <c r="Q176" i="12" s="1"/>
  <c r="P177" i="12"/>
  <c r="G12" i="21" l="1"/>
  <c r="C19" i="29"/>
  <c r="B5" i="29"/>
  <c r="O1" i="29" s="1"/>
  <c r="C5" i="29"/>
  <c r="P1" i="29" s="1"/>
  <c r="D5" i="29"/>
  <c r="Q1" i="29" s="1"/>
  <c r="B19" i="29"/>
  <c r="D19" i="29"/>
  <c r="Q134" i="12"/>
  <c r="R134" i="12" s="1"/>
  <c r="Q175" i="12"/>
  <c r="R175" i="12" s="1"/>
  <c r="Q177" i="12"/>
  <c r="R177" i="12" s="1"/>
  <c r="T174" i="12"/>
  <c r="U174" i="12" s="1"/>
  <c r="V174" i="12" s="1"/>
  <c r="AB174" i="12" s="1"/>
  <c r="P174" i="12"/>
  <c r="Q174" i="12" s="1"/>
  <c r="T168" i="12"/>
  <c r="P168" i="12"/>
  <c r="Q168" i="12" s="1"/>
  <c r="T179" i="12"/>
  <c r="U179" i="12" s="1"/>
  <c r="V179" i="12" s="1"/>
  <c r="AD179" i="12" s="1"/>
  <c r="P179" i="12"/>
  <c r="Q179" i="12" s="1"/>
  <c r="P178" i="12"/>
  <c r="Q178" i="12" s="1"/>
  <c r="T178" i="12"/>
  <c r="U178" i="12" s="1"/>
  <c r="V178" i="12" s="1"/>
  <c r="P170" i="12"/>
  <c r="T170" i="12"/>
  <c r="U170" i="12" s="1"/>
  <c r="V170" i="12" s="1"/>
  <c r="P169" i="12"/>
  <c r="T169" i="12"/>
  <c r="P180" i="12"/>
  <c r="Q180" i="12" s="1"/>
  <c r="T180" i="12"/>
  <c r="P172" i="12"/>
  <c r="Q172" i="12" s="1"/>
  <c r="T172" i="12"/>
  <c r="U172" i="12" s="1"/>
  <c r="V172" i="12" s="1"/>
  <c r="Y172" i="12" s="1"/>
  <c r="P167" i="12"/>
  <c r="Q167" i="12" s="1"/>
  <c r="T167" i="12"/>
  <c r="U167" i="12" s="1"/>
  <c r="V167" i="12" s="1"/>
  <c r="AD167" i="12" s="1"/>
  <c r="P173" i="12"/>
  <c r="Q173" i="12" s="1"/>
  <c r="T173" i="12"/>
  <c r="U173" i="12" s="1"/>
  <c r="V173" i="12" s="1"/>
  <c r="P171" i="12"/>
  <c r="Q171" i="12" s="1"/>
  <c r="T171" i="12"/>
  <c r="T176" i="12"/>
  <c r="T175" i="12"/>
  <c r="T177" i="12"/>
  <c r="U177" i="12" s="1"/>
  <c r="P135" i="12"/>
  <c r="Q135" i="12" s="1"/>
  <c r="T135" i="12"/>
  <c r="U135" i="12" s="1"/>
  <c r="V135" i="12" s="1"/>
  <c r="T134" i="12"/>
  <c r="U134" i="12" s="1"/>
  <c r="P132" i="12"/>
  <c r="T132" i="12"/>
  <c r="P131" i="12"/>
  <c r="T131" i="12"/>
  <c r="R129" i="12"/>
  <c r="T129" i="12"/>
  <c r="U129" i="12" s="1"/>
  <c r="V129" i="12" s="1"/>
  <c r="Z129" i="12" s="1"/>
  <c r="T127" i="12"/>
  <c r="U127" i="12" s="1"/>
  <c r="V127" i="12" s="1"/>
  <c r="P126" i="12"/>
  <c r="T126" i="12"/>
  <c r="U126" i="12" s="1"/>
  <c r="V126" i="12" s="1"/>
  <c r="AD126" i="12" s="1"/>
  <c r="P125" i="12"/>
  <c r="Q125" i="12" s="1"/>
  <c r="T125" i="12"/>
  <c r="P124" i="12"/>
  <c r="T124" i="12"/>
  <c r="U124" i="12" s="1"/>
  <c r="V124" i="12" s="1"/>
  <c r="P123" i="12"/>
  <c r="T123" i="12"/>
  <c r="U123" i="12" s="1"/>
  <c r="V123" i="12" s="1"/>
  <c r="AD123" i="12" s="1"/>
  <c r="T122" i="12"/>
  <c r="P121" i="12"/>
  <c r="Q121" i="12" s="1"/>
  <c r="T121" i="12"/>
  <c r="U121" i="12" s="1"/>
  <c r="V121" i="12" s="1"/>
  <c r="X121" i="12" s="1"/>
  <c r="T119" i="12"/>
  <c r="T118" i="12"/>
  <c r="R120" i="12"/>
  <c r="T120" i="12"/>
  <c r="U120" i="12" s="1"/>
  <c r="V120" i="12" s="1"/>
  <c r="P117" i="12"/>
  <c r="T117" i="12"/>
  <c r="U117" i="12" s="1"/>
  <c r="V117" i="12" s="1"/>
  <c r="AA117" i="12" s="1"/>
  <c r="P116" i="12"/>
  <c r="T116" i="12"/>
  <c r="U116" i="12" s="1"/>
  <c r="P115" i="12"/>
  <c r="Q115" i="12" s="1"/>
  <c r="T115" i="12"/>
  <c r="U115" i="12" s="1"/>
  <c r="T114" i="12"/>
  <c r="U114" i="12" s="1"/>
  <c r="V114" i="12" s="1"/>
  <c r="AG114" i="12" s="1"/>
  <c r="P114" i="12"/>
  <c r="Q114" i="12" s="1"/>
  <c r="T113" i="12"/>
  <c r="U113" i="12" s="1"/>
  <c r="V113" i="12" s="1"/>
  <c r="AK113" i="12" s="1"/>
  <c r="P113" i="12"/>
  <c r="Q113" i="12" s="1"/>
  <c r="R176" i="12"/>
  <c r="R127" i="12"/>
  <c r="R122" i="12"/>
  <c r="R119" i="12"/>
  <c r="R118" i="12"/>
  <c r="L8" i="18" a="1"/>
  <c r="L8" i="18" s="1"/>
  <c r="L9" i="18" a="1"/>
  <c r="L9" i="18" s="1"/>
  <c r="L10" i="18" a="1"/>
  <c r="L10" i="18" s="1"/>
  <c r="L11" i="18" a="1"/>
  <c r="L11" i="18" s="1"/>
  <c r="L12" i="18" a="1"/>
  <c r="L12" i="18" s="1"/>
  <c r="L13" i="18" a="1"/>
  <c r="L13" i="18" s="1"/>
  <c r="L14" i="18" a="1"/>
  <c r="L14" i="18" s="1"/>
  <c r="L15" i="18" a="1"/>
  <c r="L15" i="18" s="1"/>
  <c r="L16" i="18" a="1"/>
  <c r="L16" i="18" s="1"/>
  <c r="L17" i="18" a="1"/>
  <c r="L17" i="18" s="1"/>
  <c r="L18" i="18" a="1"/>
  <c r="L18" i="18" s="1"/>
  <c r="L19" i="18" a="1"/>
  <c r="L19" i="18" s="1"/>
  <c r="L20" i="18" a="1"/>
  <c r="L20" i="18" s="1"/>
  <c r="L21" i="18" a="1"/>
  <c r="L21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L7" i="18" a="1"/>
  <c r="L7" i="18" s="1"/>
  <c r="L6" i="18" a="1"/>
  <c r="L6" i="18" s="1"/>
  <c r="L5" i="18" a="1"/>
  <c r="L5" i="18" s="1"/>
  <c r="M5" i="17"/>
  <c r="N5" i="17" s="1"/>
  <c r="M6" i="17"/>
  <c r="N6" i="17" s="1"/>
  <c r="F20" i="17"/>
  <c r="F21" i="17"/>
  <c r="F22" i="17"/>
  <c r="F23" i="17"/>
  <c r="F24" i="17"/>
  <c r="F25" i="17"/>
  <c r="F26" i="17"/>
  <c r="F27" i="17"/>
  <c r="F28" i="17"/>
  <c r="F19" i="17"/>
  <c r="O6" i="17"/>
  <c r="O7" i="17"/>
  <c r="O8" i="17"/>
  <c r="O9" i="17"/>
  <c r="O10" i="17"/>
  <c r="O11" i="17"/>
  <c r="O12" i="17"/>
  <c r="O13" i="17"/>
  <c r="O14" i="17"/>
  <c r="M7" i="17"/>
  <c r="N7" i="17" s="1"/>
  <c r="M8" i="17"/>
  <c r="N8" i="17" s="1"/>
  <c r="M9" i="17"/>
  <c r="N9" i="17" s="1"/>
  <c r="M10" i="17"/>
  <c r="N10" i="17" s="1"/>
  <c r="M11" i="17"/>
  <c r="N11" i="17" s="1"/>
  <c r="M12" i="17"/>
  <c r="N12" i="17" s="1"/>
  <c r="M13" i="17"/>
  <c r="N13" i="17" s="1"/>
  <c r="M14" i="17"/>
  <c r="N14" i="17" s="1"/>
  <c r="L6" i="17"/>
  <c r="L7" i="17"/>
  <c r="L8" i="17"/>
  <c r="L9" i="17"/>
  <c r="L10" i="17"/>
  <c r="L11" i="17"/>
  <c r="L12" i="17"/>
  <c r="L13" i="17"/>
  <c r="L14" i="17"/>
  <c r="K6" i="17"/>
  <c r="K7" i="17"/>
  <c r="K8" i="17"/>
  <c r="K9" i="17"/>
  <c r="K10" i="17"/>
  <c r="K11" i="17"/>
  <c r="K12" i="17"/>
  <c r="K13" i="17"/>
  <c r="K14" i="17"/>
  <c r="J6" i="17"/>
  <c r="J7" i="17"/>
  <c r="J8" i="17"/>
  <c r="J9" i="17"/>
  <c r="J10" i="17"/>
  <c r="J11" i="17"/>
  <c r="J12" i="17"/>
  <c r="J13" i="17"/>
  <c r="J14" i="17"/>
  <c r="I6" i="17"/>
  <c r="I7" i="17"/>
  <c r="I8" i="17"/>
  <c r="I9" i="17"/>
  <c r="I10" i="17"/>
  <c r="I11" i="17"/>
  <c r="I12" i="17"/>
  <c r="I13" i="17"/>
  <c r="I14" i="17"/>
  <c r="H6" i="17"/>
  <c r="H7" i="17"/>
  <c r="H8" i="17"/>
  <c r="H9" i="17"/>
  <c r="H10" i="17"/>
  <c r="H11" i="17"/>
  <c r="H12" i="17"/>
  <c r="H13" i="17"/>
  <c r="H14" i="17"/>
  <c r="O5" i="17"/>
  <c r="L5" i="17"/>
  <c r="K5" i="17"/>
  <c r="J5" i="17"/>
  <c r="I5" i="17"/>
  <c r="H5" i="17"/>
  <c r="P181" i="12"/>
  <c r="Q181" i="12" s="1"/>
  <c r="T181" i="12"/>
  <c r="U181" i="12" s="1"/>
  <c r="P182" i="12"/>
  <c r="Q182" i="12" s="1"/>
  <c r="T182" i="12"/>
  <c r="U182" i="12" s="1"/>
  <c r="P183" i="12"/>
  <c r="Q183" i="12" s="1"/>
  <c r="T183" i="12"/>
  <c r="U183" i="12" s="1"/>
  <c r="V183" i="12" s="1"/>
  <c r="P184" i="12"/>
  <c r="Q184" i="12" s="1"/>
  <c r="T184" i="12"/>
  <c r="U184" i="12" s="1"/>
  <c r="V184" i="12" s="1"/>
  <c r="P185" i="12"/>
  <c r="Q185" i="12" s="1"/>
  <c r="T185" i="12"/>
  <c r="U185" i="12" s="1"/>
  <c r="P186" i="12"/>
  <c r="Q186" i="12" s="1"/>
  <c r="T186" i="12"/>
  <c r="U186" i="12" s="1"/>
  <c r="U6" i="17"/>
  <c r="U5" i="17"/>
  <c r="P89" i="12"/>
  <c r="Q89" i="12" s="1"/>
  <c r="T11" i="12"/>
  <c r="T12" i="12"/>
  <c r="T13" i="12"/>
  <c r="T85" i="12"/>
  <c r="P87" i="12"/>
  <c r="Q87" i="12" s="1"/>
  <c r="AG174" i="12" l="1"/>
  <c r="AH174" i="12"/>
  <c r="AO174" i="12"/>
  <c r="AL174" i="12"/>
  <c r="AI174" i="12"/>
  <c r="AJ113" i="12"/>
  <c r="AK174" i="12"/>
  <c r="X113" i="12"/>
  <c r="Y174" i="12"/>
  <c r="AD174" i="12"/>
  <c r="AN174" i="12"/>
  <c r="AF174" i="12"/>
  <c r="AI172" i="12"/>
  <c r="R168" i="12"/>
  <c r="AG113" i="12"/>
  <c r="Z174" i="12"/>
  <c r="AJ174" i="12"/>
  <c r="X174" i="12"/>
  <c r="V177" i="12"/>
  <c r="AI177" i="12" s="1"/>
  <c r="AI126" i="12"/>
  <c r="Q117" i="12"/>
  <c r="R117" i="12" s="1"/>
  <c r="Q124" i="12"/>
  <c r="R124" i="12" s="1"/>
  <c r="AM179" i="12"/>
  <c r="Q126" i="12"/>
  <c r="R126" i="12" s="1"/>
  <c r="AP174" i="12"/>
  <c r="AE174" i="12"/>
  <c r="Q169" i="12"/>
  <c r="R169" i="12" s="1"/>
  <c r="AJ172" i="12"/>
  <c r="AN126" i="12"/>
  <c r="AM174" i="12"/>
  <c r="X172" i="12"/>
  <c r="X126" i="12"/>
  <c r="AA174" i="12"/>
  <c r="Q131" i="12"/>
  <c r="R131" i="12" s="1"/>
  <c r="Q170" i="12"/>
  <c r="R170" i="12" s="1"/>
  <c r="Q123" i="12"/>
  <c r="R123" i="12" s="1"/>
  <c r="AC174" i="12"/>
  <c r="AC126" i="12"/>
  <c r="Q116" i="12"/>
  <c r="R116" i="12" s="1"/>
  <c r="Q132" i="12"/>
  <c r="R132" i="12" s="1"/>
  <c r="AE179" i="12"/>
  <c r="AC179" i="12"/>
  <c r="AB172" i="12"/>
  <c r="Z172" i="12"/>
  <c r="AO179" i="12"/>
  <c r="AG172" i="12"/>
  <c r="AL126" i="12"/>
  <c r="AO172" i="12"/>
  <c r="AJ126" i="12"/>
  <c r="AP179" i="12"/>
  <c r="AN179" i="12"/>
  <c r="AO126" i="12"/>
  <c r="AB179" i="12"/>
  <c r="AL179" i="12"/>
  <c r="R174" i="12"/>
  <c r="AN172" i="12"/>
  <c r="AL172" i="12"/>
  <c r="AE167" i="12"/>
  <c r="Z179" i="12"/>
  <c r="AL167" i="12"/>
  <c r="AK179" i="12"/>
  <c r="AJ179" i="12"/>
  <c r="AI167" i="12"/>
  <c r="AC172" i="12"/>
  <c r="AM167" i="12"/>
  <c r="AI179" i="12"/>
  <c r="AF179" i="12"/>
  <c r="AB126" i="12"/>
  <c r="Z126" i="12"/>
  <c r="AK126" i="12"/>
  <c r="AM117" i="12"/>
  <c r="Y126" i="12"/>
  <c r="Z167" i="12"/>
  <c r="AH167" i="12"/>
  <c r="AK172" i="12"/>
  <c r="AG126" i="12"/>
  <c r="AA179" i="12"/>
  <c r="AF126" i="12"/>
  <c r="Y179" i="12"/>
  <c r="AP126" i="12"/>
  <c r="X179" i="12"/>
  <c r="AG167" i="12"/>
  <c r="AO167" i="12"/>
  <c r="AH179" i="12"/>
  <c r="AC167" i="12"/>
  <c r="Y167" i="12"/>
  <c r="AN167" i="12"/>
  <c r="AG179" i="12"/>
  <c r="AB167" i="12"/>
  <c r="AC123" i="12"/>
  <c r="Z123" i="12"/>
  <c r="AL114" i="12"/>
  <c r="AK123" i="12"/>
  <c r="Y114" i="12"/>
  <c r="R173" i="12"/>
  <c r="AJ167" i="12"/>
  <c r="AP167" i="12"/>
  <c r="V134" i="12"/>
  <c r="Y134" i="12" s="1"/>
  <c r="V116" i="12"/>
  <c r="AP116" i="12" s="1"/>
  <c r="AD121" i="12"/>
  <c r="AA129" i="12"/>
  <c r="U176" i="12"/>
  <c r="V176" i="12" s="1"/>
  <c r="U180" i="12"/>
  <c r="V180" i="12" s="1"/>
  <c r="AK121" i="12"/>
  <c r="AB129" i="12"/>
  <c r="AF121" i="12"/>
  <c r="U171" i="12"/>
  <c r="V171" i="12" s="1"/>
  <c r="U169" i="12"/>
  <c r="V169" i="12" s="1"/>
  <c r="AK129" i="12"/>
  <c r="Y121" i="12"/>
  <c r="AL129" i="12"/>
  <c r="R171" i="12"/>
  <c r="AI121" i="12"/>
  <c r="AJ129" i="12"/>
  <c r="AO121" i="12"/>
  <c r="AF129" i="12"/>
  <c r="R180" i="12"/>
  <c r="AH121" i="12"/>
  <c r="AH129" i="12"/>
  <c r="AG129" i="12"/>
  <c r="X167" i="12"/>
  <c r="AA167" i="12"/>
  <c r="AF167" i="12"/>
  <c r="AK167" i="12"/>
  <c r="AE129" i="12"/>
  <c r="R167" i="12"/>
  <c r="R178" i="12"/>
  <c r="AN123" i="12"/>
  <c r="AP129" i="12"/>
  <c r="AA172" i="12"/>
  <c r="AD172" i="12"/>
  <c r="AE172" i="12"/>
  <c r="AF172" i="12"/>
  <c r="AH172" i="12"/>
  <c r="AM172" i="12"/>
  <c r="AP172" i="12"/>
  <c r="R179" i="12"/>
  <c r="AG121" i="12"/>
  <c r="AM123" i="12"/>
  <c r="AD129" i="12"/>
  <c r="R172" i="12"/>
  <c r="U12" i="17"/>
  <c r="AE121" i="12"/>
  <c r="AA123" i="12"/>
  <c r="AN129" i="12"/>
  <c r="AP121" i="12"/>
  <c r="AL123" i="12"/>
  <c r="AM129" i="12"/>
  <c r="AC129" i="12"/>
  <c r="U175" i="12"/>
  <c r="V175" i="12" s="1"/>
  <c r="U168" i="12"/>
  <c r="V168" i="12" s="1"/>
  <c r="R135" i="12"/>
  <c r="U132" i="12"/>
  <c r="V132" i="12" s="1"/>
  <c r="U131" i="12"/>
  <c r="V131" i="12" s="1"/>
  <c r="Y129" i="12"/>
  <c r="AO129" i="12"/>
  <c r="X129" i="12"/>
  <c r="AI129" i="12"/>
  <c r="AH126" i="12"/>
  <c r="AA126" i="12"/>
  <c r="AE126" i="12"/>
  <c r="AM126" i="12"/>
  <c r="Y123" i="12"/>
  <c r="AJ123" i="12"/>
  <c r="AG123" i="12"/>
  <c r="X123" i="12"/>
  <c r="AP123" i="12"/>
  <c r="AE123" i="12"/>
  <c r="AI123" i="12"/>
  <c r="AO123" i="12"/>
  <c r="AF123" i="12"/>
  <c r="U125" i="12"/>
  <c r="V125" i="12" s="1"/>
  <c r="R125" i="12"/>
  <c r="AH123" i="12"/>
  <c r="AB123" i="12"/>
  <c r="AC121" i="12"/>
  <c r="AB121" i="12"/>
  <c r="AM121" i="12"/>
  <c r="AA121" i="12"/>
  <c r="AJ121" i="12"/>
  <c r="AL121" i="12"/>
  <c r="Z121" i="12"/>
  <c r="U122" i="12"/>
  <c r="V122" i="12" s="1"/>
  <c r="AN121" i="12"/>
  <c r="R121" i="12"/>
  <c r="L3" i="18"/>
  <c r="J5" i="18" a="1"/>
  <c r="J5" i="18" s="1"/>
  <c r="J7" i="18" a="1"/>
  <c r="J7" i="18" s="1"/>
  <c r="J6" i="18" a="1"/>
  <c r="J6" i="18" s="1"/>
  <c r="K7" i="18" a="1"/>
  <c r="K7" i="18" s="1"/>
  <c r="K5" i="18" a="1"/>
  <c r="K5" i="18" s="1"/>
  <c r="K6" i="18" a="1"/>
  <c r="K6" i="18" s="1"/>
  <c r="U119" i="12"/>
  <c r="V119" i="12" s="1"/>
  <c r="U118" i="12"/>
  <c r="V118" i="12" s="1"/>
  <c r="AB117" i="12"/>
  <c r="X117" i="12"/>
  <c r="AJ117" i="12"/>
  <c r="AN117" i="12"/>
  <c r="AK117" i="12"/>
  <c r="AL117" i="12"/>
  <c r="Y117" i="12"/>
  <c r="Z117" i="12"/>
  <c r="AH117" i="12"/>
  <c r="AG117" i="12"/>
  <c r="AF117" i="12"/>
  <c r="AI117" i="12"/>
  <c r="AE117" i="12"/>
  <c r="AO117" i="12"/>
  <c r="AP117" i="12"/>
  <c r="AD117" i="12"/>
  <c r="AC117" i="12"/>
  <c r="R115" i="12"/>
  <c r="V115" i="12"/>
  <c r="AH115" i="12" s="1"/>
  <c r="Z114" i="12"/>
  <c r="AJ114" i="12"/>
  <c r="AI114" i="12"/>
  <c r="AH114" i="12"/>
  <c r="AE114" i="12"/>
  <c r="X114" i="12"/>
  <c r="AO114" i="12"/>
  <c r="AA114" i="12"/>
  <c r="AM114" i="12"/>
  <c r="AF114" i="12"/>
  <c r="AN114" i="12"/>
  <c r="AP114" i="12"/>
  <c r="AB114" i="12"/>
  <c r="AD114" i="12"/>
  <c r="R114" i="12"/>
  <c r="AC114" i="12"/>
  <c r="AK114" i="12"/>
  <c r="AI113" i="12"/>
  <c r="AN113" i="12"/>
  <c r="AP113" i="12"/>
  <c r="AM113" i="12"/>
  <c r="AA113" i="12"/>
  <c r="Y113" i="12"/>
  <c r="AH113" i="12"/>
  <c r="AF113" i="12"/>
  <c r="AB113" i="12"/>
  <c r="AO113" i="12"/>
  <c r="R113" i="12"/>
  <c r="AC113" i="12"/>
  <c r="AE113" i="12"/>
  <c r="AD113" i="12"/>
  <c r="AL113" i="12"/>
  <c r="Z113" i="12"/>
  <c r="AI178" i="12"/>
  <c r="AA178" i="12"/>
  <c r="AM178" i="12"/>
  <c r="AC178" i="12"/>
  <c r="AO178" i="12"/>
  <c r="AD178" i="12"/>
  <c r="AP178" i="12"/>
  <c r="AE178" i="12"/>
  <c r="AF178" i="12"/>
  <c r="AH178" i="12"/>
  <c r="Y178" i="12"/>
  <c r="Z178" i="12"/>
  <c r="X178" i="12"/>
  <c r="AB178" i="12"/>
  <c r="AG178" i="12"/>
  <c r="AJ178" i="12"/>
  <c r="AK178" i="12"/>
  <c r="AL178" i="12"/>
  <c r="AN178" i="12"/>
  <c r="AB173" i="12"/>
  <c r="AN173" i="12"/>
  <c r="AF173" i="12"/>
  <c r="AH173" i="12"/>
  <c r="X173" i="12"/>
  <c r="AI173" i="12"/>
  <c r="AJ173" i="12"/>
  <c r="Y173" i="12"/>
  <c r="AK173" i="12"/>
  <c r="AA173" i="12"/>
  <c r="AM173" i="12"/>
  <c r="AC173" i="12"/>
  <c r="AD173" i="12"/>
  <c r="AE173" i="12"/>
  <c r="AL173" i="12"/>
  <c r="AO173" i="12"/>
  <c r="AP173" i="12"/>
  <c r="AG173" i="12"/>
  <c r="Z173" i="12"/>
  <c r="AB127" i="12"/>
  <c r="AN127" i="12"/>
  <c r="AO127" i="12"/>
  <c r="AC127" i="12"/>
  <c r="AE127" i="12"/>
  <c r="AF127" i="12"/>
  <c r="AH127" i="12"/>
  <c r="AI127" i="12"/>
  <c r="X127" i="12"/>
  <c r="AJ127" i="12"/>
  <c r="Y127" i="12"/>
  <c r="AK127" i="12"/>
  <c r="AA127" i="12"/>
  <c r="AM127" i="12"/>
  <c r="Z127" i="12"/>
  <c r="AG127" i="12"/>
  <c r="AL127" i="12"/>
  <c r="AP127" i="12"/>
  <c r="AD127" i="12"/>
  <c r="AI135" i="12"/>
  <c r="X135" i="12"/>
  <c r="AA135" i="12"/>
  <c r="AM135" i="12"/>
  <c r="AC135" i="12"/>
  <c r="AO135" i="12"/>
  <c r="AD135" i="12"/>
  <c r="AP135" i="12"/>
  <c r="AE135" i="12"/>
  <c r="AF135" i="12"/>
  <c r="AH135" i="12"/>
  <c r="AJ135" i="12"/>
  <c r="AL135" i="12"/>
  <c r="AN135" i="12"/>
  <c r="Y135" i="12"/>
  <c r="Z135" i="12"/>
  <c r="AB135" i="12"/>
  <c r="AG135" i="12"/>
  <c r="AK135" i="12"/>
  <c r="AE170" i="12"/>
  <c r="AI170" i="12"/>
  <c r="Y170" i="12"/>
  <c r="AK170" i="12"/>
  <c r="Z170" i="12"/>
  <c r="AL170" i="12"/>
  <c r="AA170" i="12"/>
  <c r="AM170" i="12"/>
  <c r="AB170" i="12"/>
  <c r="AN170" i="12"/>
  <c r="AD170" i="12"/>
  <c r="AP170" i="12"/>
  <c r="X170" i="12"/>
  <c r="AF170" i="12"/>
  <c r="AG170" i="12"/>
  <c r="AH170" i="12"/>
  <c r="AJ170" i="12"/>
  <c r="AO170" i="12"/>
  <c r="AC170" i="12"/>
  <c r="AE124" i="12"/>
  <c r="AF124" i="12"/>
  <c r="AH124" i="12"/>
  <c r="AI124" i="12"/>
  <c r="X124" i="12"/>
  <c r="Y124" i="12"/>
  <c r="AK124" i="12"/>
  <c r="Z124" i="12"/>
  <c r="AL124" i="12"/>
  <c r="AA124" i="12"/>
  <c r="AM124" i="12"/>
  <c r="AB124" i="12"/>
  <c r="AN124" i="12"/>
  <c r="AD124" i="12"/>
  <c r="AP124" i="12"/>
  <c r="AG124" i="12"/>
  <c r="AJ124" i="12"/>
  <c r="AO124" i="12"/>
  <c r="AC124" i="12"/>
  <c r="AI120" i="12"/>
  <c r="X120" i="12"/>
  <c r="Z120" i="12"/>
  <c r="AL120" i="12"/>
  <c r="AA120" i="12"/>
  <c r="AM120" i="12"/>
  <c r="AB120" i="12"/>
  <c r="AN120" i="12"/>
  <c r="AC120" i="12"/>
  <c r="AO120" i="12"/>
  <c r="AD120" i="12"/>
  <c r="AP120" i="12"/>
  <c r="AE120" i="12"/>
  <c r="AF120" i="12"/>
  <c r="AH120" i="12"/>
  <c r="AJ120" i="12"/>
  <c r="Y120" i="12"/>
  <c r="AK120" i="12"/>
  <c r="AG120" i="12"/>
  <c r="P108" i="12"/>
  <c r="T108" i="12"/>
  <c r="U13" i="17"/>
  <c r="T102" i="12"/>
  <c r="U102" i="12" s="1"/>
  <c r="V102" i="12" s="1"/>
  <c r="U7" i="17"/>
  <c r="T104" i="12"/>
  <c r="U104" i="12" s="1"/>
  <c r="V104" i="12" s="1"/>
  <c r="U9" i="17"/>
  <c r="P103" i="12"/>
  <c r="P99" i="12"/>
  <c r="P106" i="12"/>
  <c r="Q106" i="12" s="1"/>
  <c r="U4" i="17"/>
  <c r="K22" i="17" s="1"/>
  <c r="V182" i="12"/>
  <c r="AH182" i="12" s="1"/>
  <c r="P105" i="12"/>
  <c r="V186" i="12"/>
  <c r="AK186" i="12" s="1"/>
  <c r="R184" i="12"/>
  <c r="R182" i="12"/>
  <c r="T107" i="12"/>
  <c r="U107" i="12" s="1"/>
  <c r="R183" i="12"/>
  <c r="U8" i="17"/>
  <c r="V185" i="12"/>
  <c r="AK185" i="12" s="1"/>
  <c r="P107" i="12"/>
  <c r="Q107" i="12" s="1"/>
  <c r="T100" i="12"/>
  <c r="U100" i="12" s="1"/>
  <c r="V100" i="12" s="1"/>
  <c r="AP100" i="12" s="1"/>
  <c r="U14" i="17"/>
  <c r="O23" i="17" s="1"/>
  <c r="P101" i="12"/>
  <c r="U10" i="17"/>
  <c r="I25" i="17" s="1"/>
  <c r="U11" i="17"/>
  <c r="H28" i="17" s="1"/>
  <c r="E3" i="18"/>
  <c r="L19" i="17"/>
  <c r="L28" i="17"/>
  <c r="L27" i="17"/>
  <c r="L26" i="17"/>
  <c r="L25" i="17"/>
  <c r="L23" i="17"/>
  <c r="L22" i="17"/>
  <c r="L24" i="17"/>
  <c r="L21" i="17"/>
  <c r="L20" i="17"/>
  <c r="T109" i="12"/>
  <c r="P109" i="12"/>
  <c r="Y184" i="12"/>
  <c r="AK184" i="12"/>
  <c r="AM184" i="12"/>
  <c r="AP184" i="12"/>
  <c r="Z184" i="12"/>
  <c r="AL184" i="12"/>
  <c r="AA184" i="12"/>
  <c r="AE184" i="12"/>
  <c r="AB184" i="12"/>
  <c r="AN184" i="12"/>
  <c r="AC184" i="12"/>
  <c r="AO184" i="12"/>
  <c r="AD184" i="12"/>
  <c r="AF184" i="12"/>
  <c r="AG184" i="12"/>
  <c r="X184" i="12"/>
  <c r="AH184" i="12"/>
  <c r="AI184" i="12"/>
  <c r="AJ184" i="12"/>
  <c r="Z183" i="12"/>
  <c r="AL183" i="12"/>
  <c r="AN183" i="12"/>
  <c r="AE183" i="12"/>
  <c r="AA183" i="12"/>
  <c r="AM183" i="12"/>
  <c r="AB183" i="12"/>
  <c r="AC183" i="12"/>
  <c r="AO183" i="12"/>
  <c r="AD183" i="12"/>
  <c r="AP183" i="12"/>
  <c r="AF183" i="12"/>
  <c r="AG183" i="12"/>
  <c r="AH183" i="12"/>
  <c r="X183" i="12"/>
  <c r="Y183" i="12"/>
  <c r="AI183" i="12"/>
  <c r="AJ183" i="12"/>
  <c r="AK183" i="12"/>
  <c r="R186" i="12"/>
  <c r="R185" i="12"/>
  <c r="V181" i="12"/>
  <c r="R181" i="12"/>
  <c r="T103" i="12"/>
  <c r="U103" i="12" s="1"/>
  <c r="V103" i="12" s="1"/>
  <c r="AM103" i="12" s="1"/>
  <c r="P104" i="12"/>
  <c r="Q104" i="12" s="1"/>
  <c r="P102" i="12"/>
  <c r="Q102" i="12" s="1"/>
  <c r="P83" i="12"/>
  <c r="Q83" i="12" s="1"/>
  <c r="T83" i="12"/>
  <c r="U83" i="12" s="1"/>
  <c r="V83" i="12" s="1"/>
  <c r="X83" i="12" s="1"/>
  <c r="T99" i="12"/>
  <c r="U99" i="12" s="1"/>
  <c r="V99" i="12" s="1"/>
  <c r="AB99" i="12" s="1"/>
  <c r="T105" i="12"/>
  <c r="U105" i="12" s="1"/>
  <c r="V105" i="12" s="1"/>
  <c r="T89" i="12"/>
  <c r="U89" i="12" s="1"/>
  <c r="T106" i="12"/>
  <c r="U106" i="12" s="1"/>
  <c r="P100" i="12"/>
  <c r="Q100" i="12" s="1"/>
  <c r="P13" i="12"/>
  <c r="Q13" i="12" s="1"/>
  <c r="R13" i="12" s="1"/>
  <c r="T88" i="12"/>
  <c r="P88" i="12"/>
  <c r="T101" i="12"/>
  <c r="R89" i="12"/>
  <c r="T87" i="12"/>
  <c r="U87" i="12" s="1"/>
  <c r="V87" i="12" s="1"/>
  <c r="AG87" i="12" s="1"/>
  <c r="T86" i="12"/>
  <c r="P86" i="12"/>
  <c r="Q86" i="12" s="1"/>
  <c r="P85" i="12"/>
  <c r="Q85" i="12" s="1"/>
  <c r="P11" i="12"/>
  <c r="Q11" i="12" s="1"/>
  <c r="R11" i="12" s="1"/>
  <c r="U85" i="12"/>
  <c r="V85" i="12" s="1"/>
  <c r="R87" i="12"/>
  <c r="P12" i="12"/>
  <c r="Q12" i="12" s="1"/>
  <c r="R12" i="12" s="1"/>
  <c r="U11" i="12"/>
  <c r="V11" i="12" s="1"/>
  <c r="U12" i="12"/>
  <c r="V12" i="12" s="1"/>
  <c r="U13" i="12"/>
  <c r="V13" i="12" s="1"/>
  <c r="P76" i="12"/>
  <c r="Q76" i="12" s="1"/>
  <c r="T76" i="12"/>
  <c r="P75" i="12"/>
  <c r="Q75" i="12" s="1"/>
  <c r="T75" i="12"/>
  <c r="P74" i="12"/>
  <c r="Q74" i="12" s="1"/>
  <c r="T74" i="12"/>
  <c r="W118" i="1"/>
  <c r="V118" i="1"/>
  <c r="R118" i="1"/>
  <c r="R45" i="1" s="1"/>
  <c r="Q118" i="1"/>
  <c r="P118" i="1"/>
  <c r="O118" i="1"/>
  <c r="M118" i="1"/>
  <c r="L45" i="1"/>
  <c r="E69" i="11"/>
  <c r="E68" i="11"/>
  <c r="AJ177" i="12" l="1"/>
  <c r="AJ68" i="11"/>
  <c r="AR68" i="11"/>
  <c r="AZ68" i="11"/>
  <c r="BH68" i="11"/>
  <c r="BP68" i="11"/>
  <c r="BX68" i="11"/>
  <c r="CF68" i="11"/>
  <c r="CN68" i="11"/>
  <c r="CV68" i="11"/>
  <c r="DD68" i="11"/>
  <c r="DL68" i="11"/>
  <c r="DT68" i="11"/>
  <c r="EB68" i="11"/>
  <c r="EJ68" i="11"/>
  <c r="ER68" i="11"/>
  <c r="EZ68" i="11"/>
  <c r="FH68" i="11"/>
  <c r="FP68" i="11"/>
  <c r="FX68" i="11"/>
  <c r="GF68" i="11"/>
  <c r="U68" i="11"/>
  <c r="AC68" i="11"/>
  <c r="AK68" i="11"/>
  <c r="AS68" i="11"/>
  <c r="BA68" i="11"/>
  <c r="BI68" i="11"/>
  <c r="BQ68" i="11"/>
  <c r="BY68" i="11"/>
  <c r="CG68" i="11"/>
  <c r="CO68" i="11"/>
  <c r="CW68" i="11"/>
  <c r="DE68" i="11"/>
  <c r="DM68" i="11"/>
  <c r="DU68" i="11"/>
  <c r="EC68" i="11"/>
  <c r="EK68" i="11"/>
  <c r="ES68" i="11"/>
  <c r="FA68" i="11"/>
  <c r="FI68" i="11"/>
  <c r="FQ68" i="11"/>
  <c r="FY68" i="11"/>
  <c r="GG68" i="11"/>
  <c r="BZ68" i="11"/>
  <c r="CH68" i="11"/>
  <c r="CP68" i="11"/>
  <c r="CX68" i="11"/>
  <c r="DF68" i="11"/>
  <c r="DN68" i="11"/>
  <c r="DV68" i="11"/>
  <c r="ED68" i="11"/>
  <c r="EL68" i="11"/>
  <c r="ET68" i="11"/>
  <c r="FB68" i="11"/>
  <c r="FJ68" i="11"/>
  <c r="FR68" i="11"/>
  <c r="FZ68" i="11"/>
  <c r="GH68" i="11"/>
  <c r="Q68" i="11"/>
  <c r="V68" i="11"/>
  <c r="M68" i="11"/>
  <c r="FG68" i="11"/>
  <c r="CU68" i="11"/>
  <c r="AI68" i="11"/>
  <c r="EH68" i="11"/>
  <c r="BV68" i="11"/>
  <c r="FU68" i="11"/>
  <c r="DI68" i="11"/>
  <c r="AW68" i="11"/>
  <c r="EV68" i="11"/>
  <c r="CJ68" i="11"/>
  <c r="X68" i="11"/>
  <c r="GI68" i="11"/>
  <c r="DW68" i="11"/>
  <c r="BK68" i="11"/>
  <c r="DY68" i="11"/>
  <c r="N68" i="11"/>
  <c r="EY68" i="11"/>
  <c r="CM68" i="11"/>
  <c r="AA68" i="11"/>
  <c r="DZ68" i="11"/>
  <c r="BN68" i="11"/>
  <c r="FM68" i="11"/>
  <c r="DA68" i="11"/>
  <c r="AO68" i="11"/>
  <c r="EN68" i="11"/>
  <c r="CB68" i="11"/>
  <c r="P68" i="11"/>
  <c r="GA68" i="11"/>
  <c r="DO68" i="11"/>
  <c r="BC68" i="11"/>
  <c r="EX68" i="11"/>
  <c r="BM68" i="11"/>
  <c r="BR68" i="11"/>
  <c r="EQ68" i="11"/>
  <c r="CE68" i="11"/>
  <c r="S68" i="11"/>
  <c r="GD68" i="11"/>
  <c r="DR68" i="11"/>
  <c r="BF68" i="11"/>
  <c r="FE68" i="11"/>
  <c r="CS68" i="11"/>
  <c r="AG68" i="11"/>
  <c r="EF68" i="11"/>
  <c r="BT68" i="11"/>
  <c r="FS68" i="11"/>
  <c r="DG68" i="11"/>
  <c r="AU68" i="11"/>
  <c r="AY68" i="11"/>
  <c r="AN68" i="11"/>
  <c r="O68" i="11"/>
  <c r="BJ68" i="11"/>
  <c r="EI68" i="11"/>
  <c r="BW68" i="11"/>
  <c r="FV68" i="11"/>
  <c r="DJ68" i="11"/>
  <c r="AX68" i="11"/>
  <c r="EW68" i="11"/>
  <c r="CK68" i="11"/>
  <c r="Y68" i="11"/>
  <c r="L68" i="11"/>
  <c r="DX68" i="11"/>
  <c r="BL68" i="11"/>
  <c r="FK68" i="11"/>
  <c r="CY68" i="11"/>
  <c r="AM68" i="11"/>
  <c r="FL68" i="11"/>
  <c r="BB68" i="11"/>
  <c r="AB68" i="11"/>
  <c r="EA68" i="11"/>
  <c r="BO68" i="11"/>
  <c r="FN68" i="11"/>
  <c r="DB68" i="11"/>
  <c r="AP68" i="11"/>
  <c r="EO68" i="11"/>
  <c r="CC68" i="11"/>
  <c r="GB68" i="11"/>
  <c r="DP68" i="11"/>
  <c r="BD68" i="11"/>
  <c r="FC68" i="11"/>
  <c r="CQ68" i="11"/>
  <c r="AE68" i="11"/>
  <c r="AT68" i="11"/>
  <c r="T68" i="11"/>
  <c r="GE68" i="11"/>
  <c r="DS68" i="11"/>
  <c r="BG68" i="11"/>
  <c r="FF68" i="11"/>
  <c r="CT68" i="11"/>
  <c r="AH68" i="11"/>
  <c r="EG68" i="11"/>
  <c r="BU68" i="11"/>
  <c r="FT68" i="11"/>
  <c r="DH68" i="11"/>
  <c r="AV68" i="11"/>
  <c r="EU68" i="11"/>
  <c r="CI68" i="11"/>
  <c r="W68" i="11"/>
  <c r="AL68" i="11"/>
  <c r="FW68" i="11"/>
  <c r="DK68" i="11"/>
  <c r="CL68" i="11"/>
  <c r="CZ68" i="11"/>
  <c r="CA68" i="11"/>
  <c r="AD68" i="11"/>
  <c r="FO68" i="11"/>
  <c r="DC68" i="11"/>
  <c r="AQ68" i="11"/>
  <c r="EP68" i="11"/>
  <c r="CD68" i="11"/>
  <c r="R68" i="11"/>
  <c r="GC68" i="11"/>
  <c r="DQ68" i="11"/>
  <c r="BE68" i="11"/>
  <c r="FD68" i="11"/>
  <c r="CR68" i="11"/>
  <c r="AF68" i="11"/>
  <c r="EE68" i="11"/>
  <c r="BS68" i="11"/>
  <c r="Z68" i="11"/>
  <c r="EM68" i="11"/>
  <c r="FU69" i="11"/>
  <c r="GC69" i="11"/>
  <c r="EH69" i="11"/>
  <c r="BV69" i="11"/>
  <c r="DI69" i="11"/>
  <c r="AW69" i="11"/>
  <c r="FT69" i="11"/>
  <c r="DH69" i="11"/>
  <c r="AV69" i="11"/>
  <c r="EU69" i="11"/>
  <c r="CI69" i="11"/>
  <c r="W69" i="11"/>
  <c r="GH69" i="11"/>
  <c r="DV69" i="11"/>
  <c r="BJ69" i="11"/>
  <c r="FA69" i="11"/>
  <c r="CO69" i="11"/>
  <c r="AC69" i="11"/>
  <c r="EJ69" i="11"/>
  <c r="BX69" i="11"/>
  <c r="FW69" i="11"/>
  <c r="DK69" i="11"/>
  <c r="AY69" i="11"/>
  <c r="CM69" i="11"/>
  <c r="Z69" i="11"/>
  <c r="AM69" i="11"/>
  <c r="EZ69" i="11"/>
  <c r="BO69" i="11"/>
  <c r="Q69" i="11"/>
  <c r="DZ69" i="11"/>
  <c r="BN69" i="11"/>
  <c r="FM69" i="11"/>
  <c r="DA69" i="11"/>
  <c r="AO69" i="11"/>
  <c r="FL69" i="11"/>
  <c r="CZ69" i="11"/>
  <c r="AN69" i="11"/>
  <c r="EM69" i="11"/>
  <c r="CA69" i="11"/>
  <c r="O69" i="11"/>
  <c r="FZ69" i="11"/>
  <c r="DN69" i="11"/>
  <c r="BB69" i="11"/>
  <c r="ES69" i="11"/>
  <c r="CG69" i="11"/>
  <c r="U69" i="11"/>
  <c r="EB69" i="11"/>
  <c r="BP69" i="11"/>
  <c r="FO69" i="11"/>
  <c r="DC69" i="11"/>
  <c r="AQ69" i="11"/>
  <c r="EY69" i="11"/>
  <c r="CL69" i="11"/>
  <c r="CN69" i="11"/>
  <c r="EA69" i="11"/>
  <c r="GD69" i="11"/>
  <c r="DR69" i="11"/>
  <c r="BF69" i="11"/>
  <c r="FE69" i="11"/>
  <c r="CS69" i="11"/>
  <c r="AG69" i="11"/>
  <c r="FD69" i="11"/>
  <c r="CR69" i="11"/>
  <c r="AF69" i="11"/>
  <c r="EE69" i="11"/>
  <c r="BS69" i="11"/>
  <c r="FR69" i="11"/>
  <c r="DF69" i="11"/>
  <c r="AT69" i="11"/>
  <c r="EK69" i="11"/>
  <c r="BY69" i="11"/>
  <c r="M69" i="11"/>
  <c r="GF69" i="11"/>
  <c r="DT69" i="11"/>
  <c r="BH69" i="11"/>
  <c r="FG69" i="11"/>
  <c r="CU69" i="11"/>
  <c r="AI69" i="11"/>
  <c r="AA69" i="11"/>
  <c r="DY69" i="11"/>
  <c r="EL69" i="11"/>
  <c r="N69" i="11"/>
  <c r="AS69" i="11"/>
  <c r="FV69" i="11"/>
  <c r="DJ69" i="11"/>
  <c r="AX69" i="11"/>
  <c r="EW69" i="11"/>
  <c r="CK69" i="11"/>
  <c r="Y69" i="11"/>
  <c r="EV69" i="11"/>
  <c r="CJ69" i="11"/>
  <c r="X69" i="11"/>
  <c r="GI69" i="11"/>
  <c r="DW69" i="11"/>
  <c r="BK69" i="11"/>
  <c r="FJ69" i="11"/>
  <c r="CX69" i="11"/>
  <c r="AL69" i="11"/>
  <c r="EC69" i="11"/>
  <c r="BQ69" i="11"/>
  <c r="FX69" i="11"/>
  <c r="DL69" i="11"/>
  <c r="AZ69" i="11"/>
  <c r="L69" i="11"/>
  <c r="FN69" i="11"/>
  <c r="DB69" i="11"/>
  <c r="AP69" i="11"/>
  <c r="EO69" i="11"/>
  <c r="CC69" i="11"/>
  <c r="EN69" i="11"/>
  <c r="CB69" i="11"/>
  <c r="P69" i="11"/>
  <c r="GA69" i="11"/>
  <c r="DO69" i="11"/>
  <c r="BC69" i="11"/>
  <c r="FB69" i="11"/>
  <c r="CP69" i="11"/>
  <c r="AD69" i="11"/>
  <c r="GG69" i="11"/>
  <c r="DU69" i="11"/>
  <c r="BI69" i="11"/>
  <c r="FP69" i="11"/>
  <c r="DD69" i="11"/>
  <c r="AR69" i="11"/>
  <c r="EQ69" i="11"/>
  <c r="CE69" i="11"/>
  <c r="S69" i="11"/>
  <c r="EX69" i="11"/>
  <c r="CY69" i="11"/>
  <c r="FQ69" i="11"/>
  <c r="AB69" i="11"/>
  <c r="FF69" i="11"/>
  <c r="CT69" i="11"/>
  <c r="AH69" i="11"/>
  <c r="EG69" i="11"/>
  <c r="BU69" i="11"/>
  <c r="EF69" i="11"/>
  <c r="BT69" i="11"/>
  <c r="FS69" i="11"/>
  <c r="DG69" i="11"/>
  <c r="AU69" i="11"/>
  <c r="ET69" i="11"/>
  <c r="CH69" i="11"/>
  <c r="V69" i="11"/>
  <c r="FY69" i="11"/>
  <c r="DM69" i="11"/>
  <c r="BA69" i="11"/>
  <c r="FH69" i="11"/>
  <c r="CV69" i="11"/>
  <c r="AJ69" i="11"/>
  <c r="EI69" i="11"/>
  <c r="BW69" i="11"/>
  <c r="BM69" i="11"/>
  <c r="DX69" i="11"/>
  <c r="BL69" i="11"/>
  <c r="FK69" i="11"/>
  <c r="BZ69" i="11"/>
  <c r="DE69" i="11"/>
  <c r="EP69" i="11"/>
  <c r="CD69" i="11"/>
  <c r="R69" i="11"/>
  <c r="DQ69" i="11"/>
  <c r="BE69" i="11"/>
  <c r="GB69" i="11"/>
  <c r="DP69" i="11"/>
  <c r="BD69" i="11"/>
  <c r="FC69" i="11"/>
  <c r="CQ69" i="11"/>
  <c r="AE69" i="11"/>
  <c r="ED69" i="11"/>
  <c r="BR69" i="11"/>
  <c r="FI69" i="11"/>
  <c r="CW69" i="11"/>
  <c r="AK69" i="11"/>
  <c r="ER69" i="11"/>
  <c r="CF69" i="11"/>
  <c r="T69" i="11"/>
  <c r="GE69" i="11"/>
  <c r="DS69" i="11"/>
  <c r="BG69" i="11"/>
  <c r="Y177" i="12"/>
  <c r="O55" i="1"/>
  <c r="O57" i="1"/>
  <c r="O54" i="1"/>
  <c r="O45" i="1"/>
  <c r="O46" i="1"/>
  <c r="O44" i="1"/>
  <c r="P44" i="1"/>
  <c r="P57" i="1"/>
  <c r="P45" i="1"/>
  <c r="P55" i="1"/>
  <c r="P46" i="1"/>
  <c r="P54" i="1"/>
  <c r="M57" i="1"/>
  <c r="M45" i="1"/>
  <c r="M46" i="1"/>
  <c r="M54" i="1"/>
  <c r="M55" i="1"/>
  <c r="M44" i="1"/>
  <c r="O51" i="5"/>
  <c r="O43" i="5"/>
  <c r="O57" i="5"/>
  <c r="Q57" i="5"/>
  <c r="Q51" i="5"/>
  <c r="Q43" i="5"/>
  <c r="O50" i="5"/>
  <c r="O31" i="5"/>
  <c r="O46" i="5"/>
  <c r="O60" i="5"/>
  <c r="O47" i="5"/>
  <c r="O44" i="5"/>
  <c r="O39" i="5"/>
  <c r="O42" i="5"/>
  <c r="O49" i="5"/>
  <c r="O36" i="5"/>
  <c r="O45" i="5"/>
  <c r="O38" i="5"/>
  <c r="O37" i="5"/>
  <c r="O40" i="5"/>
  <c r="O53" i="5"/>
  <c r="O33" i="5"/>
  <c r="O34" i="5"/>
  <c r="O62" i="5"/>
  <c r="O35" i="5"/>
  <c r="O32" i="5"/>
  <c r="O56" i="5"/>
  <c r="O52" i="5"/>
  <c r="O58" i="5"/>
  <c r="O61" i="5"/>
  <c r="O48" i="5"/>
  <c r="O41" i="5"/>
  <c r="O59" i="5"/>
  <c r="O54" i="5"/>
  <c r="O55" i="5"/>
  <c r="Q35" i="5"/>
  <c r="Q50" i="5"/>
  <c r="Q53" i="5"/>
  <c r="Q49" i="5"/>
  <c r="Q31" i="5"/>
  <c r="Q62" i="5"/>
  <c r="Q46" i="5"/>
  <c r="Q45" i="5"/>
  <c r="Q59" i="5"/>
  <c r="Q39" i="5"/>
  <c r="Q40" i="5"/>
  <c r="Q56" i="5"/>
  <c r="Q37" i="5"/>
  <c r="Q33" i="5"/>
  <c r="Q55" i="5"/>
  <c r="Q58" i="5"/>
  <c r="Q42" i="5"/>
  <c r="Q44" i="5"/>
  <c r="Q41" i="5"/>
  <c r="Q61" i="5"/>
  <c r="Q52" i="5"/>
  <c r="Q48" i="5"/>
  <c r="Q47" i="5"/>
  <c r="Q54" i="5"/>
  <c r="Q38" i="5"/>
  <c r="Q36" i="5"/>
  <c r="Q60" i="5"/>
  <c r="Q32" i="5"/>
  <c r="Q34" i="5"/>
  <c r="U54" i="5"/>
  <c r="U34" i="5"/>
  <c r="U32" i="5"/>
  <c r="U59" i="5"/>
  <c r="U60" i="5"/>
  <c r="U46" i="5"/>
  <c r="U41" i="5"/>
  <c r="U33" i="5"/>
  <c r="U61" i="5"/>
  <c r="U44" i="5"/>
  <c r="U58" i="5"/>
  <c r="U52" i="5"/>
  <c r="U47" i="5"/>
  <c r="U40" i="5"/>
  <c r="U38" i="5"/>
  <c r="U55" i="5"/>
  <c r="U53" i="5"/>
  <c r="U49" i="5"/>
  <c r="U36" i="5"/>
  <c r="U39" i="5"/>
  <c r="U50" i="5"/>
  <c r="U48" i="5"/>
  <c r="U42" i="5"/>
  <c r="U37" i="5"/>
  <c r="U35" i="5"/>
  <c r="U31" i="5"/>
  <c r="U62" i="5"/>
  <c r="U56" i="5"/>
  <c r="U45" i="5"/>
  <c r="V45" i="5"/>
  <c r="V35" i="5"/>
  <c r="V44" i="5"/>
  <c r="V37" i="5"/>
  <c r="V60" i="5"/>
  <c r="V58" i="5"/>
  <c r="V55" i="5"/>
  <c r="V40" i="5"/>
  <c r="V38" i="5"/>
  <c r="V61" i="5"/>
  <c r="V53" i="5"/>
  <c r="V49" i="5"/>
  <c r="V36" i="5"/>
  <c r="V39" i="5"/>
  <c r="V59" i="5"/>
  <c r="V42" i="5"/>
  <c r="V52" i="5"/>
  <c r="V50" i="5"/>
  <c r="V32" i="5"/>
  <c r="V46" i="5"/>
  <c r="V41" i="5"/>
  <c r="V31" i="5"/>
  <c r="V56" i="5"/>
  <c r="V54" i="5"/>
  <c r="V33" i="5"/>
  <c r="V47" i="5"/>
  <c r="V62" i="5"/>
  <c r="V48" i="5"/>
  <c r="V34" i="5"/>
  <c r="Q45" i="1"/>
  <c r="R44" i="1"/>
  <c r="R57" i="1"/>
  <c r="R46" i="1"/>
  <c r="R54" i="1"/>
  <c r="R55" i="1"/>
  <c r="R56" i="1"/>
  <c r="L55" i="1"/>
  <c r="L57" i="1"/>
  <c r="L44" i="1"/>
  <c r="L54" i="1"/>
  <c r="L46" i="1"/>
  <c r="L56" i="1"/>
  <c r="Q54" i="1"/>
  <c r="Q44" i="1"/>
  <c r="Q56" i="1"/>
  <c r="Q55" i="1"/>
  <c r="Q57" i="1"/>
  <c r="Q46" i="1"/>
  <c r="AD177" i="12"/>
  <c r="AO177" i="12"/>
  <c r="Z177" i="12"/>
  <c r="AG177" i="12"/>
  <c r="AF177" i="12"/>
  <c r="AL177" i="12"/>
  <c r="AA177" i="12"/>
  <c r="AE177" i="12"/>
  <c r="O21" i="1"/>
  <c r="AM177" i="12"/>
  <c r="AP177" i="12"/>
  <c r="AK177" i="12"/>
  <c r="AN177" i="12"/>
  <c r="AH177" i="12"/>
  <c r="AB177" i="12"/>
  <c r="AC177" i="12"/>
  <c r="X177" i="12"/>
  <c r="Q99" i="12"/>
  <c r="R99" i="12" s="1"/>
  <c r="Q109" i="12"/>
  <c r="R109" i="12" s="1"/>
  <c r="Q103" i="12"/>
  <c r="R103" i="12" s="1"/>
  <c r="Q105" i="12"/>
  <c r="R105" i="12" s="1"/>
  <c r="Q108" i="12"/>
  <c r="R108" i="12" s="1"/>
  <c r="Q101" i="12"/>
  <c r="R101" i="12" s="1"/>
  <c r="Q88" i="12"/>
  <c r="R88" i="12" s="1"/>
  <c r="AN116" i="12"/>
  <c r="AL116" i="12"/>
  <c r="AA116" i="12"/>
  <c r="N6" i="18"/>
  <c r="N5" i="18"/>
  <c r="N7" i="18"/>
  <c r="AO116" i="12"/>
  <c r="AK116" i="12"/>
  <c r="Z116" i="12"/>
  <c r="AJ116" i="12"/>
  <c r="Z134" i="12"/>
  <c r="X116" i="12"/>
  <c r="AI116" i="12"/>
  <c r="AH116" i="12"/>
  <c r="AI134" i="12"/>
  <c r="AE134" i="12"/>
  <c r="AB116" i="12"/>
  <c r="AN134" i="12"/>
  <c r="Z115" i="12"/>
  <c r="AP134" i="12"/>
  <c r="AG115" i="12"/>
  <c r="AD134" i="12"/>
  <c r="I27" i="17"/>
  <c r="AC134" i="12"/>
  <c r="AA134" i="12"/>
  <c r="AI115" i="12"/>
  <c r="AD116" i="12"/>
  <c r="AB134" i="12"/>
  <c r="AN185" i="12"/>
  <c r="AM116" i="12"/>
  <c r="AH134" i="12"/>
  <c r="AE103" i="12"/>
  <c r="AN103" i="12"/>
  <c r="R106" i="12"/>
  <c r="AG134" i="12"/>
  <c r="AF134" i="12"/>
  <c r="AL185" i="12"/>
  <c r="K21" i="17"/>
  <c r="AM185" i="12"/>
  <c r="AG116" i="12"/>
  <c r="AB115" i="12"/>
  <c r="AO134" i="12"/>
  <c r="AK134" i="12"/>
  <c r="AF116" i="12"/>
  <c r="AM134" i="12"/>
  <c r="AJ134" i="12"/>
  <c r="AC116" i="12"/>
  <c r="AE116" i="12"/>
  <c r="AL134" i="12"/>
  <c r="X134" i="12"/>
  <c r="K26" i="17"/>
  <c r="Y116" i="12"/>
  <c r="Y169" i="12"/>
  <c r="AO169" i="12"/>
  <c r="AE169" i="12"/>
  <c r="AF169" i="12"/>
  <c r="X169" i="12"/>
  <c r="AG169" i="12"/>
  <c r="AJ169" i="12"/>
  <c r="AI169" i="12"/>
  <c r="Z169" i="12"/>
  <c r="AP169" i="12"/>
  <c r="AH169" i="12"/>
  <c r="AL169" i="12"/>
  <c r="AA169" i="12"/>
  <c r="AK169" i="12"/>
  <c r="AM169" i="12"/>
  <c r="AB169" i="12"/>
  <c r="AD169" i="12"/>
  <c r="AC169" i="12"/>
  <c r="AN169" i="12"/>
  <c r="Z175" i="12"/>
  <c r="AI175" i="12"/>
  <c r="AJ175" i="12"/>
  <c r="AC175" i="12"/>
  <c r="AM175" i="12"/>
  <c r="AN175" i="12"/>
  <c r="AO175" i="12"/>
  <c r="X175" i="12"/>
  <c r="AA175" i="12"/>
  <c r="AB175" i="12"/>
  <c r="AE175" i="12"/>
  <c r="AG175" i="12"/>
  <c r="Y175" i="12"/>
  <c r="AH175" i="12"/>
  <c r="AF175" i="12"/>
  <c r="AP175" i="12"/>
  <c r="AD175" i="12"/>
  <c r="AL175" i="12"/>
  <c r="AK175" i="12"/>
  <c r="AF171" i="12"/>
  <c r="AB171" i="12"/>
  <c r="AE171" i="12"/>
  <c r="AG171" i="12"/>
  <c r="AK171" i="12"/>
  <c r="Z171" i="12"/>
  <c r="AL171" i="12"/>
  <c r="AI171" i="12"/>
  <c r="AA171" i="12"/>
  <c r="AM171" i="12"/>
  <c r="AJ171" i="12"/>
  <c r="AN171" i="12"/>
  <c r="AC171" i="12"/>
  <c r="AD171" i="12"/>
  <c r="AO171" i="12"/>
  <c r="AP171" i="12"/>
  <c r="AH171" i="12"/>
  <c r="X171" i="12"/>
  <c r="Y171" i="12"/>
  <c r="O25" i="17"/>
  <c r="O26" i="17"/>
  <c r="X180" i="12"/>
  <c r="AJ180" i="12"/>
  <c r="AE180" i="12"/>
  <c r="AH180" i="12"/>
  <c r="AA180" i="12"/>
  <c r="AL180" i="12"/>
  <c r="AI180" i="12"/>
  <c r="AM180" i="12"/>
  <c r="AB180" i="12"/>
  <c r="Z180" i="12"/>
  <c r="AN180" i="12"/>
  <c r="Y180" i="12"/>
  <c r="AC180" i="12"/>
  <c r="AP180" i="12"/>
  <c r="AO180" i="12"/>
  <c r="AD180" i="12"/>
  <c r="AF180" i="12"/>
  <c r="AG180" i="12"/>
  <c r="AK180" i="12"/>
  <c r="Y103" i="12"/>
  <c r="AB176" i="12"/>
  <c r="AM176" i="12"/>
  <c r="AN176" i="12"/>
  <c r="AA176" i="12"/>
  <c r="Z176" i="12"/>
  <c r="AD176" i="12"/>
  <c r="AG176" i="12"/>
  <c r="AI176" i="12"/>
  <c r="AF176" i="12"/>
  <c r="AP176" i="12"/>
  <c r="AH176" i="12"/>
  <c r="X176" i="12"/>
  <c r="AO176" i="12"/>
  <c r="AL176" i="12"/>
  <c r="AJ176" i="12"/>
  <c r="Y176" i="12"/>
  <c r="AK176" i="12"/>
  <c r="AC176" i="12"/>
  <c r="AE176" i="12"/>
  <c r="X103" i="12"/>
  <c r="X168" i="12"/>
  <c r="AE168" i="12"/>
  <c r="AI168" i="12"/>
  <c r="AL168" i="12"/>
  <c r="AH168" i="12"/>
  <c r="Y168" i="12"/>
  <c r="AK168" i="12"/>
  <c r="AA168" i="12"/>
  <c r="AM168" i="12"/>
  <c r="AB168" i="12"/>
  <c r="AN168" i="12"/>
  <c r="AP168" i="12"/>
  <c r="AJ168" i="12"/>
  <c r="Z168" i="12"/>
  <c r="AC168" i="12"/>
  <c r="AO168" i="12"/>
  <c r="AD168" i="12"/>
  <c r="AG168" i="12"/>
  <c r="AF168" i="12"/>
  <c r="AA103" i="12"/>
  <c r="K27" i="17"/>
  <c r="AF103" i="12"/>
  <c r="AF115" i="12"/>
  <c r="AA132" i="12"/>
  <c r="AM132" i="12"/>
  <c r="AN132" i="12"/>
  <c r="AO132" i="12"/>
  <c r="Z132" i="12"/>
  <c r="AE132" i="12"/>
  <c r="AF132" i="12"/>
  <c r="AG132" i="12"/>
  <c r="AH132" i="12"/>
  <c r="X132" i="12"/>
  <c r="AJ132" i="12"/>
  <c r="AD132" i="12"/>
  <c r="AB132" i="12"/>
  <c r="Y132" i="12"/>
  <c r="AI132" i="12"/>
  <c r="AK132" i="12"/>
  <c r="AL132" i="12"/>
  <c r="AC132" i="12"/>
  <c r="AP132" i="12"/>
  <c r="Z131" i="12"/>
  <c r="AE131" i="12"/>
  <c r="AI131" i="12"/>
  <c r="AB131" i="12"/>
  <c r="AJ131" i="12"/>
  <c r="AM131" i="12"/>
  <c r="AN131" i="12"/>
  <c r="AO131" i="12"/>
  <c r="X131" i="12"/>
  <c r="AA131" i="12"/>
  <c r="AC131" i="12"/>
  <c r="Y131" i="12"/>
  <c r="AP131" i="12"/>
  <c r="AH131" i="12"/>
  <c r="AD131" i="12"/>
  <c r="AL131" i="12"/>
  <c r="AG131" i="12"/>
  <c r="AF131" i="12"/>
  <c r="AK131" i="12"/>
  <c r="AI125" i="12"/>
  <c r="AN125" i="12"/>
  <c r="AD125" i="12"/>
  <c r="AC125" i="12"/>
  <c r="AP125" i="12"/>
  <c r="AO125" i="12"/>
  <c r="AG125" i="12"/>
  <c r="AE125" i="12"/>
  <c r="AH125" i="12"/>
  <c r="X125" i="12"/>
  <c r="AJ125" i="12"/>
  <c r="AF125" i="12"/>
  <c r="AB125" i="12"/>
  <c r="Y125" i="12"/>
  <c r="AM125" i="12"/>
  <c r="AK125" i="12"/>
  <c r="Z125" i="12"/>
  <c r="AL125" i="12"/>
  <c r="AA125" i="12"/>
  <c r="AI122" i="12"/>
  <c r="AE122" i="12"/>
  <c r="Y122" i="12"/>
  <c r="AF122" i="12"/>
  <c r="AK122" i="12"/>
  <c r="Z122" i="12"/>
  <c r="AJ122" i="12"/>
  <c r="AL122" i="12"/>
  <c r="AA122" i="12"/>
  <c r="AC122" i="12"/>
  <c r="AM122" i="12"/>
  <c r="AG122" i="12"/>
  <c r="AP122" i="12"/>
  <c r="AB122" i="12"/>
  <c r="AN122" i="12"/>
  <c r="AH122" i="12"/>
  <c r="AO122" i="12"/>
  <c r="X122" i="12"/>
  <c r="AD122" i="12"/>
  <c r="J24" i="17"/>
  <c r="K20" i="17"/>
  <c r="J23" i="17"/>
  <c r="J27" i="17"/>
  <c r="O22" i="17"/>
  <c r="J26" i="17"/>
  <c r="J21" i="17"/>
  <c r="J25" i="17"/>
  <c r="K24" i="17"/>
  <c r="K28" i="17"/>
  <c r="K23" i="17"/>
  <c r="K25" i="17"/>
  <c r="J22" i="17"/>
  <c r="J28" i="17"/>
  <c r="J20" i="17"/>
  <c r="K19" i="17"/>
  <c r="J19" i="17"/>
  <c r="I3" i="18"/>
  <c r="J3" i="18"/>
  <c r="K3" i="18"/>
  <c r="Z119" i="12"/>
  <c r="AL119" i="12"/>
  <c r="AH119" i="12"/>
  <c r="AF119" i="12"/>
  <c r="AJ119" i="12"/>
  <c r="AG119" i="12"/>
  <c r="AK119" i="12"/>
  <c r="AI119" i="12"/>
  <c r="AE119" i="12"/>
  <c r="AA119" i="12"/>
  <c r="Y119" i="12"/>
  <c r="AM119" i="12"/>
  <c r="AB119" i="12"/>
  <c r="AN119" i="12"/>
  <c r="AC119" i="12"/>
  <c r="AO119" i="12"/>
  <c r="AD119" i="12"/>
  <c r="AP119" i="12"/>
  <c r="X119" i="12"/>
  <c r="AI118" i="12"/>
  <c r="AM118" i="12"/>
  <c r="AA118" i="12"/>
  <c r="AF118" i="12"/>
  <c r="Y118" i="12"/>
  <c r="AG118" i="12"/>
  <c r="Z118" i="12"/>
  <c r="AL118" i="12"/>
  <c r="AB118" i="12"/>
  <c r="AP118" i="12"/>
  <c r="AK118" i="12"/>
  <c r="AH118" i="12"/>
  <c r="X118" i="12"/>
  <c r="AJ118" i="12"/>
  <c r="AN118" i="12"/>
  <c r="AC118" i="12"/>
  <c r="AO118" i="12"/>
  <c r="AD118" i="12"/>
  <c r="AE118" i="12"/>
  <c r="AE115" i="12"/>
  <c r="AN115" i="12"/>
  <c r="AP115" i="12"/>
  <c r="AL115" i="12"/>
  <c r="AD115" i="12"/>
  <c r="AO115" i="12"/>
  <c r="AA115" i="12"/>
  <c r="AK115" i="12"/>
  <c r="Y115" i="12"/>
  <c r="AM115" i="12"/>
  <c r="AC115" i="12"/>
  <c r="AJ115" i="12"/>
  <c r="X115" i="12"/>
  <c r="AM182" i="12"/>
  <c r="AJ182" i="12"/>
  <c r="Z185" i="12"/>
  <c r="Z186" i="12"/>
  <c r="AD182" i="12"/>
  <c r="AP182" i="12"/>
  <c r="AF185" i="12"/>
  <c r="X182" i="12"/>
  <c r="AJ185" i="12"/>
  <c r="AA185" i="12"/>
  <c r="AG185" i="12"/>
  <c r="AH185" i="12"/>
  <c r="R107" i="12"/>
  <c r="AB185" i="12"/>
  <c r="AI185" i="12"/>
  <c r="AB182" i="12"/>
  <c r="AO185" i="12"/>
  <c r="AO186" i="12"/>
  <c r="AN182" i="12"/>
  <c r="AG182" i="12"/>
  <c r="AM186" i="12"/>
  <c r="AC185" i="12"/>
  <c r="Y185" i="12"/>
  <c r="AI186" i="12"/>
  <c r="AL186" i="12"/>
  <c r="I24" i="17"/>
  <c r="H27" i="17"/>
  <c r="V107" i="12"/>
  <c r="Z107" i="12" s="1"/>
  <c r="AC186" i="12"/>
  <c r="H25" i="17"/>
  <c r="I26" i="17"/>
  <c r="I22" i="17"/>
  <c r="AB186" i="12"/>
  <c r="H21" i="17"/>
  <c r="O20" i="17"/>
  <c r="O19" i="17"/>
  <c r="AD186" i="12"/>
  <c r="Y186" i="12"/>
  <c r="I28" i="17"/>
  <c r="AA182" i="12"/>
  <c r="AF182" i="12"/>
  <c r="AK182" i="12"/>
  <c r="AL182" i="12"/>
  <c r="AO182" i="12"/>
  <c r="AC182" i="12"/>
  <c r="Y182" i="12"/>
  <c r="Z182" i="12"/>
  <c r="AE182" i="12"/>
  <c r="AI182" i="12"/>
  <c r="AF186" i="12"/>
  <c r="AJ186" i="12"/>
  <c r="I21" i="17"/>
  <c r="I20" i="17"/>
  <c r="O27" i="17"/>
  <c r="AH186" i="12"/>
  <c r="X186" i="12"/>
  <c r="H19" i="17"/>
  <c r="H23" i="17"/>
  <c r="I23" i="17"/>
  <c r="H20" i="17"/>
  <c r="N24" i="17"/>
  <c r="N26" i="17"/>
  <c r="N19" i="17"/>
  <c r="N22" i="17"/>
  <c r="N27" i="17"/>
  <c r="N21" i="17"/>
  <c r="N28" i="17"/>
  <c r="N20" i="17"/>
  <c r="N23" i="17"/>
  <c r="N25" i="17"/>
  <c r="H22" i="17"/>
  <c r="AG186" i="12"/>
  <c r="AN186" i="12"/>
  <c r="H26" i="17"/>
  <c r="X185" i="12"/>
  <c r="AD185" i="12"/>
  <c r="AE185" i="12"/>
  <c r="AP185" i="12"/>
  <c r="U108" i="12"/>
  <c r="V108" i="12" s="1"/>
  <c r="AE186" i="12"/>
  <c r="AA186" i="12"/>
  <c r="O21" i="17"/>
  <c r="O28" i="17"/>
  <c r="AJ103" i="12"/>
  <c r="AP186" i="12"/>
  <c r="H24" i="17"/>
  <c r="O24" i="17"/>
  <c r="I19" i="17"/>
  <c r="U109" i="12"/>
  <c r="V109" i="12" s="1"/>
  <c r="AB181" i="12"/>
  <c r="AN181" i="12"/>
  <c r="AC181" i="12"/>
  <c r="AO181" i="12"/>
  <c r="AD181" i="12"/>
  <c r="AP181" i="12"/>
  <c r="AG181" i="12"/>
  <c r="AE181" i="12"/>
  <c r="AF181" i="12"/>
  <c r="AH181" i="12"/>
  <c r="AI181" i="12"/>
  <c r="X181" i="12"/>
  <c r="AJ181" i="12"/>
  <c r="Z181" i="12"/>
  <c r="AM181" i="12"/>
  <c r="Y181" i="12"/>
  <c r="AK181" i="12"/>
  <c r="AL181" i="12"/>
  <c r="AA181" i="12"/>
  <c r="AK103" i="12"/>
  <c r="AG103" i="12"/>
  <c r="AI103" i="12"/>
  <c r="AB103" i="12"/>
  <c r="AH103" i="12"/>
  <c r="AL103" i="12"/>
  <c r="AP103" i="12"/>
  <c r="Z103" i="12"/>
  <c r="AD103" i="12"/>
  <c r="AO103" i="12"/>
  <c r="AC103" i="12"/>
  <c r="AE83" i="12"/>
  <c r="R83" i="12"/>
  <c r="AO83" i="12"/>
  <c r="Z83" i="12"/>
  <c r="AK83" i="12"/>
  <c r="AH83" i="12"/>
  <c r="AD83" i="12"/>
  <c r="AC83" i="12"/>
  <c r="AL83" i="12"/>
  <c r="AG104" i="12"/>
  <c r="AH104" i="12"/>
  <c r="AI104" i="12"/>
  <c r="X104" i="12"/>
  <c r="AJ104" i="12"/>
  <c r="Y104" i="12"/>
  <c r="AK104" i="12"/>
  <c r="Z104" i="12"/>
  <c r="AL104" i="12"/>
  <c r="AC104" i="12"/>
  <c r="AO104" i="12"/>
  <c r="AD104" i="12"/>
  <c r="AP104" i="12"/>
  <c r="AE104" i="12"/>
  <c r="AF104" i="12"/>
  <c r="AA104" i="12"/>
  <c r="AM104" i="12"/>
  <c r="AB104" i="12"/>
  <c r="AN104" i="12"/>
  <c r="R104" i="12"/>
  <c r="AG102" i="12"/>
  <c r="AH102" i="12"/>
  <c r="AI102" i="12"/>
  <c r="X102" i="12"/>
  <c r="AJ102" i="12"/>
  <c r="Y102" i="12"/>
  <c r="AK102" i="12"/>
  <c r="Z102" i="12"/>
  <c r="AL102" i="12"/>
  <c r="AA102" i="12"/>
  <c r="AM102" i="12"/>
  <c r="AC102" i="12"/>
  <c r="AO102" i="12"/>
  <c r="AD102" i="12"/>
  <c r="AP102" i="12"/>
  <c r="AE102" i="12"/>
  <c r="AF102" i="12"/>
  <c r="AB102" i="12"/>
  <c r="AN102" i="12"/>
  <c r="R102" i="12"/>
  <c r="AJ83" i="12"/>
  <c r="AB83" i="12"/>
  <c r="AP83" i="12"/>
  <c r="AA83" i="12"/>
  <c r="Y99" i="12"/>
  <c r="AN83" i="12"/>
  <c r="AI83" i="12"/>
  <c r="AA99" i="12"/>
  <c r="AM83" i="12"/>
  <c r="AG83" i="12"/>
  <c r="Y83" i="12"/>
  <c r="AK99" i="12"/>
  <c r="AH99" i="12"/>
  <c r="AG99" i="12"/>
  <c r="AF99" i="12"/>
  <c r="AM99" i="12"/>
  <c r="R85" i="12"/>
  <c r="AF83" i="12"/>
  <c r="AI99" i="12"/>
  <c r="X99" i="12"/>
  <c r="AH100" i="12"/>
  <c r="AN99" i="12"/>
  <c r="AE99" i="12"/>
  <c r="AJ99" i="12"/>
  <c r="AP99" i="12"/>
  <c r="AL99" i="12"/>
  <c r="AD99" i="12"/>
  <c r="Z99" i="12"/>
  <c r="AO99" i="12"/>
  <c r="AC99" i="12"/>
  <c r="V89" i="12"/>
  <c r="X89" i="12" s="1"/>
  <c r="V106" i="12"/>
  <c r="X106" i="12" s="1"/>
  <c r="AA100" i="12"/>
  <c r="R100" i="12"/>
  <c r="AG100" i="12"/>
  <c r="AJ100" i="12"/>
  <c r="AM100" i="12"/>
  <c r="X100" i="12"/>
  <c r="AN100" i="12"/>
  <c r="AB100" i="12"/>
  <c r="AK100" i="12"/>
  <c r="AF100" i="12"/>
  <c r="AE100" i="12"/>
  <c r="AC100" i="12"/>
  <c r="AO100" i="12"/>
  <c r="Z100" i="12"/>
  <c r="AD100" i="12"/>
  <c r="AL100" i="12"/>
  <c r="U88" i="12"/>
  <c r="V88" i="12" s="1"/>
  <c r="R86" i="12"/>
  <c r="Y100" i="12"/>
  <c r="AI100" i="12"/>
  <c r="U101" i="12"/>
  <c r="V101" i="12" s="1"/>
  <c r="AE87" i="12"/>
  <c r="AK87" i="12"/>
  <c r="AF87" i="12"/>
  <c r="AB87" i="12"/>
  <c r="AP87" i="12"/>
  <c r="AD87" i="12"/>
  <c r="Y87" i="12"/>
  <c r="AO87" i="12"/>
  <c r="AJ87" i="12"/>
  <c r="AC87" i="12"/>
  <c r="X87" i="12"/>
  <c r="AN87" i="12"/>
  <c r="AI87" i="12"/>
  <c r="AM87" i="12"/>
  <c r="AL87" i="12"/>
  <c r="AA87" i="12"/>
  <c r="Z87" i="12"/>
  <c r="AH87" i="12"/>
  <c r="U86" i="12"/>
  <c r="V86" i="12" s="1"/>
  <c r="AI105" i="12"/>
  <c r="X105" i="12"/>
  <c r="AJ105" i="12"/>
  <c r="Y105" i="12"/>
  <c r="AK105" i="12"/>
  <c r="AF105" i="12"/>
  <c r="Z105" i="12"/>
  <c r="AL105" i="12"/>
  <c r="AP105" i="12"/>
  <c r="AG105" i="12"/>
  <c r="AA105" i="12"/>
  <c r="AM105" i="12"/>
  <c r="AB105" i="12"/>
  <c r="AN105" i="12"/>
  <c r="AD105" i="12"/>
  <c r="AC105" i="12"/>
  <c r="AO105" i="12"/>
  <c r="AE105" i="12"/>
  <c r="AH105" i="12"/>
  <c r="AE85" i="12"/>
  <c r="Z85" i="12"/>
  <c r="AO85" i="12"/>
  <c r="AF85" i="12"/>
  <c r="AG85" i="12"/>
  <c r="AH85" i="12"/>
  <c r="AL85" i="12"/>
  <c r="AC85" i="12"/>
  <c r="AI85" i="12"/>
  <c r="X85" i="12"/>
  <c r="AJ85" i="12"/>
  <c r="Y85" i="12"/>
  <c r="AK85" i="12"/>
  <c r="AN85" i="12"/>
  <c r="AA85" i="12"/>
  <c r="AM85" i="12"/>
  <c r="AD85" i="12"/>
  <c r="AP85" i="12"/>
  <c r="AB85" i="12"/>
  <c r="P81" i="12"/>
  <c r="Q81" i="12" s="1"/>
  <c r="T81" i="12"/>
  <c r="U74" i="12"/>
  <c r="V74" i="12" s="1"/>
  <c r="R74" i="12"/>
  <c r="U75" i="12"/>
  <c r="V75" i="12" s="1"/>
  <c r="R75" i="12"/>
  <c r="U76" i="12"/>
  <c r="V76" i="12" s="1"/>
  <c r="R76" i="12"/>
  <c r="P82" i="12"/>
  <c r="Q82" i="12" s="1"/>
  <c r="T82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D46" i="1" l="1"/>
  <c r="A46" i="1"/>
  <c r="B46" i="1"/>
  <c r="C46" i="1"/>
  <c r="D45" i="1"/>
  <c r="D44" i="1"/>
  <c r="A45" i="1"/>
  <c r="B45" i="1"/>
  <c r="C45" i="1"/>
  <c r="S57" i="5"/>
  <c r="S43" i="5"/>
  <c r="S51" i="5"/>
  <c r="N43" i="5"/>
  <c r="N57" i="5"/>
  <c r="N51" i="5"/>
  <c r="R51" i="5"/>
  <c r="R43" i="5"/>
  <c r="R57" i="5"/>
  <c r="P51" i="5"/>
  <c r="P43" i="5"/>
  <c r="P57" i="5"/>
  <c r="N54" i="5"/>
  <c r="N52" i="5"/>
  <c r="N50" i="5"/>
  <c r="N47" i="5"/>
  <c r="N31" i="5"/>
  <c r="N61" i="5"/>
  <c r="N36" i="5"/>
  <c r="N53" i="5"/>
  <c r="N60" i="5"/>
  <c r="N42" i="5"/>
  <c r="N34" i="5"/>
  <c r="N49" i="5"/>
  <c r="N59" i="5"/>
  <c r="N58" i="5"/>
  <c r="N55" i="5"/>
  <c r="N62" i="5"/>
  <c r="N44" i="5"/>
  <c r="N45" i="5"/>
  <c r="N41" i="5"/>
  <c r="N39" i="5"/>
  <c r="N32" i="5"/>
  <c r="N37" i="5"/>
  <c r="N48" i="5"/>
  <c r="N40" i="5"/>
  <c r="N56" i="5"/>
  <c r="N38" i="5"/>
  <c r="N33" i="5"/>
  <c r="N35" i="5"/>
  <c r="N46" i="5"/>
  <c r="P61" i="5"/>
  <c r="P60" i="5"/>
  <c r="P46" i="5"/>
  <c r="P58" i="5"/>
  <c r="P42" i="5"/>
  <c r="P59" i="5"/>
  <c r="P38" i="5"/>
  <c r="P39" i="5"/>
  <c r="P48" i="5"/>
  <c r="P53" i="5"/>
  <c r="P44" i="5"/>
  <c r="P35" i="5"/>
  <c r="P37" i="5"/>
  <c r="P45" i="5"/>
  <c r="P31" i="5"/>
  <c r="P56" i="5"/>
  <c r="P49" i="5"/>
  <c r="P33" i="5"/>
  <c r="P62" i="5"/>
  <c r="P54" i="5"/>
  <c r="P47" i="5"/>
  <c r="P41" i="5"/>
  <c r="P36" i="5"/>
  <c r="P55" i="5"/>
  <c r="P32" i="5"/>
  <c r="P40" i="5"/>
  <c r="P52" i="5"/>
  <c r="P50" i="5"/>
  <c r="P34" i="5"/>
  <c r="S62" i="5"/>
  <c r="S60" i="5"/>
  <c r="S48" i="5"/>
  <c r="S45" i="5"/>
  <c r="S39" i="5"/>
  <c r="S53" i="5"/>
  <c r="S55" i="5"/>
  <c r="S52" i="5"/>
  <c r="S44" i="5"/>
  <c r="S41" i="5"/>
  <c r="S47" i="5"/>
  <c r="S46" i="5"/>
  <c r="S61" i="5"/>
  <c r="S49" i="5"/>
  <c r="S35" i="5"/>
  <c r="S40" i="5"/>
  <c r="S36" i="5"/>
  <c r="S34" i="5"/>
  <c r="S59" i="5"/>
  <c r="S50" i="5"/>
  <c r="S42" i="5"/>
  <c r="S37" i="5"/>
  <c r="S32" i="5"/>
  <c r="S33" i="5"/>
  <c r="S58" i="5"/>
  <c r="S54" i="5"/>
  <c r="S31" i="5"/>
  <c r="S38" i="5"/>
  <c r="S56" i="5"/>
  <c r="R41" i="5"/>
  <c r="R39" i="5"/>
  <c r="R53" i="5"/>
  <c r="R47" i="5"/>
  <c r="R48" i="5"/>
  <c r="R33" i="5"/>
  <c r="R32" i="5"/>
  <c r="R31" i="5"/>
  <c r="R34" i="5"/>
  <c r="R61" i="5"/>
  <c r="R44" i="5"/>
  <c r="R60" i="5"/>
  <c r="R58" i="5"/>
  <c r="R56" i="5"/>
  <c r="R55" i="5"/>
  <c r="R46" i="5"/>
  <c r="R37" i="5"/>
  <c r="R36" i="5"/>
  <c r="R59" i="5"/>
  <c r="R49" i="5"/>
  <c r="R40" i="5"/>
  <c r="R54" i="5"/>
  <c r="R52" i="5"/>
  <c r="R45" i="5"/>
  <c r="R38" i="5"/>
  <c r="R35" i="5"/>
  <c r="R50" i="5"/>
  <c r="R42" i="5"/>
  <c r="R62" i="5"/>
  <c r="N3" i="18"/>
  <c r="AH107" i="12"/>
  <c r="AF107" i="12"/>
  <c r="AJ107" i="12"/>
  <c r="G26" i="17"/>
  <c r="C12" i="17" s="1"/>
  <c r="Y107" i="12"/>
  <c r="G23" i="17"/>
  <c r="B9" i="17" s="1"/>
  <c r="AI107" i="12"/>
  <c r="G19" i="17"/>
  <c r="C5" i="17" s="1"/>
  <c r="G25" i="17"/>
  <c r="C11" i="17" s="1"/>
  <c r="AP107" i="12"/>
  <c r="AG107" i="12"/>
  <c r="AD107" i="12"/>
  <c r="AN107" i="12"/>
  <c r="AB107" i="12"/>
  <c r="G24" i="17"/>
  <c r="B10" i="17" s="1"/>
  <c r="AM107" i="12"/>
  <c r="AL107" i="12"/>
  <c r="G22" i="17"/>
  <c r="A8" i="17" s="1"/>
  <c r="AK107" i="12"/>
  <c r="G20" i="17"/>
  <c r="C6" i="17" s="1"/>
  <c r="G27" i="17"/>
  <c r="A13" i="17" s="1"/>
  <c r="G28" i="17"/>
  <c r="C14" i="17" s="1"/>
  <c r="G21" i="17"/>
  <c r="B7" i="17" s="1"/>
  <c r="M3" i="18"/>
  <c r="AO107" i="12"/>
  <c r="AC107" i="12"/>
  <c r="X107" i="12"/>
  <c r="AE107" i="12"/>
  <c r="AA107" i="12"/>
  <c r="AD108" i="12"/>
  <c r="AC108" i="12"/>
  <c r="AI108" i="12"/>
  <c r="AO108" i="12"/>
  <c r="AG108" i="12"/>
  <c r="AM108" i="12"/>
  <c r="AJ108" i="12"/>
  <c r="AA108" i="12"/>
  <c r="X108" i="12"/>
  <c r="AP108" i="12"/>
  <c r="AN108" i="12"/>
  <c r="AB108" i="12"/>
  <c r="AL108" i="12"/>
  <c r="AH108" i="12"/>
  <c r="Z108" i="12"/>
  <c r="AE108" i="12"/>
  <c r="AK108" i="12"/>
  <c r="AF108" i="12"/>
  <c r="Y108" i="12"/>
  <c r="AF109" i="12"/>
  <c r="AM109" i="12"/>
  <c r="AG109" i="12"/>
  <c r="AB109" i="12"/>
  <c r="AH109" i="12"/>
  <c r="AN109" i="12"/>
  <c r="AI109" i="12"/>
  <c r="Y109" i="12"/>
  <c r="Z109" i="12"/>
  <c r="X109" i="12"/>
  <c r="AJ109" i="12"/>
  <c r="AL109" i="12"/>
  <c r="AC109" i="12"/>
  <c r="AK109" i="12"/>
  <c r="AO109" i="12"/>
  <c r="AA109" i="12"/>
  <c r="AE109" i="12"/>
  <c r="AD109" i="12"/>
  <c r="AP109" i="12"/>
  <c r="AA106" i="12"/>
  <c r="AD106" i="12"/>
  <c r="AF106" i="12"/>
  <c r="AB106" i="12"/>
  <c r="AM106" i="12"/>
  <c r="AI106" i="12"/>
  <c r="AE106" i="12"/>
  <c r="AO106" i="12"/>
  <c r="AC106" i="12"/>
  <c r="AH106" i="12"/>
  <c r="AN106" i="12"/>
  <c r="AL106" i="12"/>
  <c r="Z106" i="12"/>
  <c r="Y106" i="12"/>
  <c r="AK106" i="12"/>
  <c r="AG106" i="12"/>
  <c r="AJ106" i="12"/>
  <c r="AP106" i="12"/>
  <c r="Z89" i="12"/>
  <c r="AP89" i="12"/>
  <c r="AC89" i="12"/>
  <c r="AE89" i="12"/>
  <c r="AO89" i="12"/>
  <c r="AD89" i="12"/>
  <c r="AG89" i="12"/>
  <c r="AK89" i="12"/>
  <c r="AF89" i="12"/>
  <c r="AM89" i="12"/>
  <c r="AI89" i="12"/>
  <c r="AL89" i="12"/>
  <c r="AJ89" i="12"/>
  <c r="AB89" i="12"/>
  <c r="Y89" i="12"/>
  <c r="AA89" i="12"/>
  <c r="AH89" i="12"/>
  <c r="AN89" i="12"/>
  <c r="AB88" i="12"/>
  <c r="Y88" i="12"/>
  <c r="Z88" i="12"/>
  <c r="AI88" i="12"/>
  <c r="AJ88" i="12"/>
  <c r="AO88" i="12"/>
  <c r="AC88" i="12"/>
  <c r="AE88" i="12"/>
  <c r="AH88" i="12"/>
  <c r="AN88" i="12"/>
  <c r="AL88" i="12"/>
  <c r="AP88" i="12"/>
  <c r="AA88" i="12"/>
  <c r="X88" i="12"/>
  <c r="AG88" i="12"/>
  <c r="AD88" i="12"/>
  <c r="AM88" i="12"/>
  <c r="AK88" i="12"/>
  <c r="AF88" i="12"/>
  <c r="Z101" i="12"/>
  <c r="AE101" i="12"/>
  <c r="AL101" i="12"/>
  <c r="AF101" i="12"/>
  <c r="AA101" i="12"/>
  <c r="AM101" i="12"/>
  <c r="AG101" i="12"/>
  <c r="AB101" i="12"/>
  <c r="AC101" i="12"/>
  <c r="Y101" i="12"/>
  <c r="AK101" i="12"/>
  <c r="AI101" i="12"/>
  <c r="AN101" i="12"/>
  <c r="AP101" i="12"/>
  <c r="X101" i="12"/>
  <c r="AJ101" i="12"/>
  <c r="AO101" i="12"/>
  <c r="AH101" i="12"/>
  <c r="AD101" i="12"/>
  <c r="AF86" i="12"/>
  <c r="AA86" i="12"/>
  <c r="AM86" i="12"/>
  <c r="AJ86" i="12"/>
  <c r="Y86" i="12"/>
  <c r="AE86" i="12"/>
  <c r="AG86" i="12"/>
  <c r="AC86" i="12"/>
  <c r="AO86" i="12"/>
  <c r="AD86" i="12"/>
  <c r="AK86" i="12"/>
  <c r="AH86" i="12"/>
  <c r="AI86" i="12"/>
  <c r="AB86" i="12"/>
  <c r="AP86" i="12"/>
  <c r="Z86" i="12"/>
  <c r="AL86" i="12"/>
  <c r="X86" i="12"/>
  <c r="AN86" i="12"/>
  <c r="U82" i="12"/>
  <c r="V82" i="12" s="1"/>
  <c r="R82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U81" i="12"/>
  <c r="V81" i="12" s="1"/>
  <c r="R81" i="12"/>
  <c r="B12" i="3"/>
  <c r="I49" i="12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28" i="16"/>
  <c r="E47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28" i="16"/>
  <c r="O9" i="16"/>
  <c r="P6" i="16"/>
  <c r="P5" i="16"/>
  <c r="F20" i="15"/>
  <c r="I13" i="15"/>
  <c r="G13" i="15"/>
  <c r="H13" i="15" s="1"/>
  <c r="I12" i="15"/>
  <c r="G12" i="15"/>
  <c r="J12" i="15" s="1"/>
  <c r="I11" i="15"/>
  <c r="G11" i="15"/>
  <c r="J11" i="15" s="1"/>
  <c r="I10" i="15"/>
  <c r="G10" i="15"/>
  <c r="H10" i="15" s="1"/>
  <c r="J9" i="15"/>
  <c r="G9" i="15"/>
  <c r="H9" i="15" s="1"/>
  <c r="I9" i="15" s="1"/>
  <c r="J8" i="15"/>
  <c r="G8" i="15"/>
  <c r="H8" i="15" s="1"/>
  <c r="I8" i="15" s="1"/>
  <c r="J7" i="15"/>
  <c r="G7" i="15"/>
  <c r="H7" i="15" s="1"/>
  <c r="I7" i="15" s="1"/>
  <c r="J6" i="15"/>
  <c r="G6" i="15"/>
  <c r="H6" i="15" s="1"/>
  <c r="I6" i="15" s="1"/>
  <c r="J5" i="15"/>
  <c r="G5" i="15"/>
  <c r="H5" i="15" s="1"/>
  <c r="I5" i="15" s="1"/>
  <c r="J4" i="15"/>
  <c r="G4" i="15"/>
  <c r="H4" i="15" s="1"/>
  <c r="I4" i="15" s="1"/>
  <c r="J3" i="15"/>
  <c r="G3" i="15"/>
  <c r="H3" i="15" s="1"/>
  <c r="I3" i="15" s="1"/>
  <c r="E381" i="15"/>
  <c r="D381" i="15"/>
  <c r="C381" i="15"/>
  <c r="E380" i="15"/>
  <c r="D380" i="15"/>
  <c r="C380" i="15"/>
  <c r="E379" i="15"/>
  <c r="D379" i="15"/>
  <c r="C379" i="15"/>
  <c r="E378" i="15"/>
  <c r="D378" i="15"/>
  <c r="C378" i="15"/>
  <c r="E377" i="15"/>
  <c r="D377" i="15"/>
  <c r="C377" i="15"/>
  <c r="E376" i="15"/>
  <c r="D376" i="15"/>
  <c r="C376" i="15"/>
  <c r="E375" i="15"/>
  <c r="D375" i="15"/>
  <c r="C375" i="15"/>
  <c r="E374" i="15"/>
  <c r="D374" i="15"/>
  <c r="C374" i="15"/>
  <c r="E373" i="15"/>
  <c r="D373" i="15"/>
  <c r="C373" i="15"/>
  <c r="E372" i="15"/>
  <c r="D372" i="15"/>
  <c r="C372" i="15"/>
  <c r="E371" i="15"/>
  <c r="D371" i="15"/>
  <c r="C371" i="15"/>
  <c r="E370" i="15"/>
  <c r="D370" i="15"/>
  <c r="C370" i="15"/>
  <c r="E369" i="15"/>
  <c r="D369" i="15"/>
  <c r="C369" i="15"/>
  <c r="E368" i="15"/>
  <c r="D368" i="15"/>
  <c r="C368" i="15"/>
  <c r="E367" i="15"/>
  <c r="D367" i="15"/>
  <c r="C367" i="15"/>
  <c r="E366" i="15"/>
  <c r="D366" i="15"/>
  <c r="C366" i="15"/>
  <c r="E365" i="15"/>
  <c r="D365" i="15"/>
  <c r="C365" i="15"/>
  <c r="E364" i="15"/>
  <c r="D364" i="15"/>
  <c r="C364" i="15"/>
  <c r="E363" i="15"/>
  <c r="D363" i="15"/>
  <c r="C363" i="15"/>
  <c r="E362" i="15"/>
  <c r="D362" i="15"/>
  <c r="C362" i="15"/>
  <c r="E361" i="15"/>
  <c r="D361" i="15"/>
  <c r="C361" i="15"/>
  <c r="E360" i="15"/>
  <c r="D360" i="15"/>
  <c r="C360" i="15"/>
  <c r="E359" i="15"/>
  <c r="D359" i="15"/>
  <c r="C359" i="15"/>
  <c r="E358" i="15"/>
  <c r="D358" i="15"/>
  <c r="C358" i="15"/>
  <c r="E357" i="15"/>
  <c r="D357" i="15"/>
  <c r="C357" i="15"/>
  <c r="E356" i="15"/>
  <c r="D356" i="15"/>
  <c r="C356" i="15"/>
  <c r="E355" i="15"/>
  <c r="D355" i="15"/>
  <c r="C355" i="15"/>
  <c r="E354" i="15"/>
  <c r="D354" i="15"/>
  <c r="C354" i="15"/>
  <c r="E353" i="15"/>
  <c r="D353" i="15"/>
  <c r="C353" i="15"/>
  <c r="E352" i="15"/>
  <c r="D352" i="15"/>
  <c r="C352" i="15"/>
  <c r="E351" i="15"/>
  <c r="D351" i="15"/>
  <c r="C351" i="15"/>
  <c r="E350" i="15"/>
  <c r="D350" i="15"/>
  <c r="C350" i="15"/>
  <c r="E349" i="15"/>
  <c r="D349" i="15"/>
  <c r="C349" i="15"/>
  <c r="E348" i="15"/>
  <c r="D348" i="15"/>
  <c r="C348" i="15"/>
  <c r="E347" i="15"/>
  <c r="D347" i="15"/>
  <c r="C347" i="15"/>
  <c r="E346" i="15"/>
  <c r="D346" i="15"/>
  <c r="C346" i="15"/>
  <c r="E345" i="15"/>
  <c r="D345" i="15"/>
  <c r="C345" i="15"/>
  <c r="E344" i="15"/>
  <c r="D344" i="15"/>
  <c r="C344" i="15"/>
  <c r="E343" i="15"/>
  <c r="D343" i="15"/>
  <c r="C343" i="15"/>
  <c r="E342" i="15"/>
  <c r="D342" i="15"/>
  <c r="C342" i="15"/>
  <c r="E341" i="15"/>
  <c r="D341" i="15"/>
  <c r="C341" i="15"/>
  <c r="E340" i="15"/>
  <c r="D340" i="15"/>
  <c r="C340" i="15"/>
  <c r="E339" i="15"/>
  <c r="D339" i="15"/>
  <c r="C339" i="15"/>
  <c r="E338" i="15"/>
  <c r="D338" i="15"/>
  <c r="C338" i="15"/>
  <c r="E337" i="15"/>
  <c r="D337" i="15"/>
  <c r="C337" i="15"/>
  <c r="E336" i="15"/>
  <c r="D336" i="15"/>
  <c r="C336" i="15"/>
  <c r="E335" i="15"/>
  <c r="D335" i="15"/>
  <c r="C335" i="15"/>
  <c r="E334" i="15"/>
  <c r="D334" i="15"/>
  <c r="C334" i="15"/>
  <c r="E333" i="15"/>
  <c r="D333" i="15"/>
  <c r="C333" i="15"/>
  <c r="E332" i="15"/>
  <c r="D332" i="15"/>
  <c r="C332" i="15"/>
  <c r="E331" i="15"/>
  <c r="D331" i="15"/>
  <c r="C331" i="15"/>
  <c r="E330" i="15"/>
  <c r="D330" i="15"/>
  <c r="C330" i="15"/>
  <c r="E329" i="15"/>
  <c r="D329" i="15"/>
  <c r="C329" i="15"/>
  <c r="E328" i="15"/>
  <c r="D328" i="15"/>
  <c r="C328" i="15"/>
  <c r="E327" i="15"/>
  <c r="D327" i="15"/>
  <c r="C327" i="15"/>
  <c r="E326" i="15"/>
  <c r="D326" i="15"/>
  <c r="C326" i="15"/>
  <c r="E325" i="15"/>
  <c r="D325" i="15"/>
  <c r="C325" i="15"/>
  <c r="E324" i="15"/>
  <c r="D324" i="15"/>
  <c r="C324" i="15"/>
  <c r="E323" i="15"/>
  <c r="D323" i="15"/>
  <c r="C323" i="15"/>
  <c r="E322" i="15"/>
  <c r="D322" i="15"/>
  <c r="C322" i="15"/>
  <c r="E321" i="15"/>
  <c r="D321" i="15"/>
  <c r="C321" i="15"/>
  <c r="E320" i="15"/>
  <c r="D320" i="15"/>
  <c r="C320" i="15"/>
  <c r="E319" i="15"/>
  <c r="D319" i="15"/>
  <c r="C319" i="15"/>
  <c r="E318" i="15"/>
  <c r="D318" i="15"/>
  <c r="C318" i="15"/>
  <c r="E317" i="15"/>
  <c r="D317" i="15"/>
  <c r="C317" i="15"/>
  <c r="E316" i="15"/>
  <c r="D316" i="15"/>
  <c r="C316" i="15"/>
  <c r="E315" i="15"/>
  <c r="D315" i="15"/>
  <c r="C315" i="15"/>
  <c r="E314" i="15"/>
  <c r="D314" i="15"/>
  <c r="C314" i="15"/>
  <c r="E313" i="15"/>
  <c r="D313" i="15"/>
  <c r="C313" i="15"/>
  <c r="E312" i="15"/>
  <c r="D312" i="15"/>
  <c r="C312" i="15"/>
  <c r="E311" i="15"/>
  <c r="D311" i="15"/>
  <c r="C311" i="15"/>
  <c r="E310" i="15"/>
  <c r="D310" i="15"/>
  <c r="C310" i="15"/>
  <c r="E309" i="15"/>
  <c r="D309" i="15"/>
  <c r="C309" i="15"/>
  <c r="E308" i="15"/>
  <c r="D308" i="15"/>
  <c r="C308" i="15"/>
  <c r="E307" i="15"/>
  <c r="D307" i="15"/>
  <c r="C307" i="15"/>
  <c r="E306" i="15"/>
  <c r="D306" i="15"/>
  <c r="C306" i="15"/>
  <c r="E305" i="15"/>
  <c r="D305" i="15"/>
  <c r="C305" i="15"/>
  <c r="E304" i="15"/>
  <c r="D304" i="15"/>
  <c r="C304" i="15"/>
  <c r="E303" i="15"/>
  <c r="D303" i="15"/>
  <c r="C303" i="15"/>
  <c r="E302" i="15"/>
  <c r="D302" i="15"/>
  <c r="C302" i="15"/>
  <c r="E300" i="15"/>
  <c r="D300" i="15"/>
  <c r="C300" i="15"/>
  <c r="E299" i="15"/>
  <c r="D299" i="15"/>
  <c r="C299" i="15"/>
  <c r="E298" i="15"/>
  <c r="D298" i="15"/>
  <c r="C298" i="15"/>
  <c r="E297" i="15"/>
  <c r="D297" i="15"/>
  <c r="C297" i="15"/>
  <c r="E296" i="15"/>
  <c r="D296" i="15"/>
  <c r="C296" i="15"/>
  <c r="E295" i="15"/>
  <c r="D295" i="15"/>
  <c r="C295" i="15"/>
  <c r="E294" i="15"/>
  <c r="D294" i="15"/>
  <c r="C294" i="15"/>
  <c r="E293" i="15"/>
  <c r="D293" i="15"/>
  <c r="C293" i="15"/>
  <c r="E292" i="15"/>
  <c r="D292" i="15"/>
  <c r="C292" i="15"/>
  <c r="E291" i="15"/>
  <c r="D291" i="15"/>
  <c r="C291" i="15"/>
  <c r="E290" i="15"/>
  <c r="D290" i="15"/>
  <c r="C290" i="15"/>
  <c r="E289" i="15"/>
  <c r="D289" i="15"/>
  <c r="C289" i="15"/>
  <c r="E288" i="15"/>
  <c r="D288" i="15"/>
  <c r="C288" i="15"/>
  <c r="E287" i="15"/>
  <c r="D287" i="15"/>
  <c r="C287" i="15"/>
  <c r="E286" i="15"/>
  <c r="D286" i="15"/>
  <c r="C286" i="15"/>
  <c r="E285" i="15"/>
  <c r="D285" i="15"/>
  <c r="C285" i="15"/>
  <c r="E284" i="15"/>
  <c r="D284" i="15"/>
  <c r="C284" i="15"/>
  <c r="E283" i="15"/>
  <c r="D283" i="15"/>
  <c r="C283" i="15"/>
  <c r="E282" i="15"/>
  <c r="D282" i="15"/>
  <c r="C282" i="15"/>
  <c r="E281" i="15"/>
  <c r="D281" i="15"/>
  <c r="C281" i="15"/>
  <c r="E280" i="15"/>
  <c r="D280" i="15"/>
  <c r="C280" i="15"/>
  <c r="E279" i="15"/>
  <c r="D279" i="15"/>
  <c r="C279" i="15"/>
  <c r="E278" i="15"/>
  <c r="D278" i="15"/>
  <c r="C278" i="15"/>
  <c r="E277" i="15"/>
  <c r="D277" i="15"/>
  <c r="C277" i="15"/>
  <c r="E276" i="15"/>
  <c r="D276" i="15"/>
  <c r="C276" i="15"/>
  <c r="E275" i="15"/>
  <c r="D275" i="15"/>
  <c r="C275" i="15"/>
  <c r="E274" i="15"/>
  <c r="D274" i="15"/>
  <c r="C274" i="15"/>
  <c r="E273" i="15"/>
  <c r="D273" i="15"/>
  <c r="C273" i="15"/>
  <c r="E272" i="15"/>
  <c r="D272" i="15"/>
  <c r="C272" i="15"/>
  <c r="E271" i="15"/>
  <c r="D271" i="15"/>
  <c r="C271" i="15"/>
  <c r="E270" i="15"/>
  <c r="D270" i="15"/>
  <c r="C270" i="15"/>
  <c r="E269" i="15"/>
  <c r="D269" i="15"/>
  <c r="C269" i="15"/>
  <c r="E268" i="15"/>
  <c r="D268" i="15"/>
  <c r="C268" i="15"/>
  <c r="E267" i="15"/>
  <c r="D267" i="15"/>
  <c r="C267" i="15"/>
  <c r="E266" i="15"/>
  <c r="D266" i="15"/>
  <c r="C266" i="15"/>
  <c r="E265" i="15"/>
  <c r="D265" i="15"/>
  <c r="C265" i="15"/>
  <c r="E264" i="15"/>
  <c r="D264" i="15"/>
  <c r="C264" i="15"/>
  <c r="E263" i="15"/>
  <c r="D263" i="15"/>
  <c r="C263" i="15"/>
  <c r="E262" i="15"/>
  <c r="D262" i="15"/>
  <c r="C262" i="15"/>
  <c r="E261" i="15"/>
  <c r="D261" i="15"/>
  <c r="C261" i="15"/>
  <c r="E260" i="15"/>
  <c r="D260" i="15"/>
  <c r="C260" i="15"/>
  <c r="E259" i="15"/>
  <c r="D259" i="15"/>
  <c r="C259" i="15"/>
  <c r="E258" i="15"/>
  <c r="D258" i="15"/>
  <c r="C258" i="15"/>
  <c r="E257" i="15"/>
  <c r="D257" i="15"/>
  <c r="C257" i="15"/>
  <c r="E256" i="15"/>
  <c r="D256" i="15"/>
  <c r="C256" i="15"/>
  <c r="E255" i="15"/>
  <c r="D255" i="15"/>
  <c r="C255" i="15"/>
  <c r="E254" i="15"/>
  <c r="D254" i="15"/>
  <c r="C254" i="15"/>
  <c r="E253" i="15"/>
  <c r="D253" i="15"/>
  <c r="C253" i="15"/>
  <c r="E252" i="15"/>
  <c r="D252" i="15"/>
  <c r="C252" i="15"/>
  <c r="E251" i="15"/>
  <c r="D251" i="15"/>
  <c r="C251" i="15"/>
  <c r="E250" i="15"/>
  <c r="D250" i="15"/>
  <c r="C250" i="15"/>
  <c r="E249" i="15"/>
  <c r="D249" i="15"/>
  <c r="C249" i="15"/>
  <c r="E248" i="15"/>
  <c r="D248" i="15"/>
  <c r="C248" i="15"/>
  <c r="E247" i="15"/>
  <c r="D247" i="15"/>
  <c r="C247" i="15"/>
  <c r="E246" i="15"/>
  <c r="D246" i="15"/>
  <c r="C246" i="15"/>
  <c r="E245" i="15"/>
  <c r="D245" i="15"/>
  <c r="C245" i="15"/>
  <c r="E244" i="15"/>
  <c r="D244" i="15"/>
  <c r="C244" i="15"/>
  <c r="E243" i="15"/>
  <c r="D243" i="15"/>
  <c r="C243" i="15"/>
  <c r="E242" i="15"/>
  <c r="D242" i="15"/>
  <c r="C242" i="15"/>
  <c r="E241" i="15"/>
  <c r="D241" i="15"/>
  <c r="C241" i="15"/>
  <c r="E240" i="15"/>
  <c r="D240" i="15"/>
  <c r="C240" i="15"/>
  <c r="E239" i="15"/>
  <c r="D239" i="15"/>
  <c r="C239" i="15"/>
  <c r="E238" i="15"/>
  <c r="D238" i="15"/>
  <c r="C238" i="15"/>
  <c r="E237" i="15"/>
  <c r="D237" i="15"/>
  <c r="C237" i="15"/>
  <c r="E236" i="15"/>
  <c r="D236" i="15"/>
  <c r="C236" i="15"/>
  <c r="E235" i="15"/>
  <c r="D235" i="15"/>
  <c r="C235" i="15"/>
  <c r="E234" i="15"/>
  <c r="D234" i="15"/>
  <c r="C234" i="15"/>
  <c r="E233" i="15"/>
  <c r="D233" i="15"/>
  <c r="C233" i="15"/>
  <c r="E232" i="15"/>
  <c r="D232" i="15"/>
  <c r="C232" i="15"/>
  <c r="E231" i="15"/>
  <c r="D231" i="15"/>
  <c r="C231" i="15"/>
  <c r="E230" i="15"/>
  <c r="D230" i="15"/>
  <c r="C230" i="15"/>
  <c r="E229" i="15"/>
  <c r="D229" i="15"/>
  <c r="C229" i="15"/>
  <c r="E228" i="15"/>
  <c r="D228" i="15"/>
  <c r="C228" i="15"/>
  <c r="E227" i="15"/>
  <c r="D227" i="15"/>
  <c r="C227" i="15"/>
  <c r="E226" i="15"/>
  <c r="D226" i="15"/>
  <c r="C226" i="15"/>
  <c r="E225" i="15"/>
  <c r="D225" i="15"/>
  <c r="C225" i="15"/>
  <c r="E223" i="15"/>
  <c r="D223" i="15"/>
  <c r="C223" i="15"/>
  <c r="E222" i="15"/>
  <c r="D222" i="15"/>
  <c r="C222" i="15"/>
  <c r="E221" i="15"/>
  <c r="D221" i="15"/>
  <c r="C221" i="15"/>
  <c r="E220" i="15"/>
  <c r="D220" i="15"/>
  <c r="C220" i="15"/>
  <c r="E219" i="15"/>
  <c r="D219" i="15"/>
  <c r="C219" i="15"/>
  <c r="E218" i="15"/>
  <c r="D218" i="15"/>
  <c r="C218" i="15"/>
  <c r="E217" i="15"/>
  <c r="D217" i="15"/>
  <c r="C217" i="15"/>
  <c r="E216" i="15"/>
  <c r="D216" i="15"/>
  <c r="C216" i="15"/>
  <c r="E215" i="15"/>
  <c r="D215" i="15"/>
  <c r="C215" i="15"/>
  <c r="E214" i="15"/>
  <c r="D214" i="15"/>
  <c r="C214" i="15"/>
  <c r="E213" i="15"/>
  <c r="D213" i="15"/>
  <c r="C213" i="15"/>
  <c r="E212" i="15"/>
  <c r="D212" i="15"/>
  <c r="C212" i="15"/>
  <c r="E211" i="15"/>
  <c r="D211" i="15"/>
  <c r="C211" i="15"/>
  <c r="E210" i="15"/>
  <c r="D210" i="15"/>
  <c r="C210" i="15"/>
  <c r="E209" i="15"/>
  <c r="D209" i="15"/>
  <c r="C209" i="15"/>
  <c r="E208" i="15"/>
  <c r="D208" i="15"/>
  <c r="C208" i="15"/>
  <c r="E207" i="15"/>
  <c r="D207" i="15"/>
  <c r="C207" i="15"/>
  <c r="E206" i="15"/>
  <c r="D206" i="15"/>
  <c r="C206" i="15"/>
  <c r="E205" i="15"/>
  <c r="D205" i="15"/>
  <c r="C205" i="15"/>
  <c r="E204" i="15"/>
  <c r="D204" i="15"/>
  <c r="C204" i="15"/>
  <c r="E203" i="15"/>
  <c r="D203" i="15"/>
  <c r="C203" i="15"/>
  <c r="E202" i="15"/>
  <c r="D202" i="15"/>
  <c r="C202" i="15"/>
  <c r="E201" i="15"/>
  <c r="D201" i="15"/>
  <c r="C201" i="15"/>
  <c r="E200" i="15"/>
  <c r="D200" i="15"/>
  <c r="C200" i="15"/>
  <c r="E199" i="15"/>
  <c r="D199" i="15"/>
  <c r="C199" i="15"/>
  <c r="E198" i="15"/>
  <c r="D198" i="15"/>
  <c r="C198" i="15"/>
  <c r="E197" i="15"/>
  <c r="D197" i="15"/>
  <c r="C197" i="15"/>
  <c r="E196" i="15"/>
  <c r="D196" i="15"/>
  <c r="C196" i="15"/>
  <c r="E195" i="15"/>
  <c r="D195" i="15"/>
  <c r="C195" i="15"/>
  <c r="E194" i="15"/>
  <c r="D194" i="15"/>
  <c r="C194" i="15"/>
  <c r="E193" i="15"/>
  <c r="D193" i="15"/>
  <c r="C193" i="15"/>
  <c r="E192" i="15"/>
  <c r="D192" i="15"/>
  <c r="C192" i="15"/>
  <c r="E191" i="15"/>
  <c r="D191" i="15"/>
  <c r="C191" i="15"/>
  <c r="E190" i="15"/>
  <c r="D190" i="15"/>
  <c r="C190" i="15"/>
  <c r="E189" i="15"/>
  <c r="D189" i="15"/>
  <c r="C189" i="15"/>
  <c r="E188" i="15"/>
  <c r="D188" i="15"/>
  <c r="C188" i="15"/>
  <c r="E187" i="15"/>
  <c r="D187" i="15"/>
  <c r="C187" i="15"/>
  <c r="E186" i="15"/>
  <c r="D186" i="15"/>
  <c r="C186" i="15"/>
  <c r="E185" i="15"/>
  <c r="D185" i="15"/>
  <c r="C185" i="15"/>
  <c r="E184" i="15"/>
  <c r="D184" i="15"/>
  <c r="C184" i="15"/>
  <c r="E183" i="15"/>
  <c r="D183" i="15"/>
  <c r="C183" i="15"/>
  <c r="E182" i="15"/>
  <c r="D182" i="15"/>
  <c r="C182" i="15"/>
  <c r="E181" i="15"/>
  <c r="D181" i="15"/>
  <c r="C181" i="15"/>
  <c r="E180" i="15"/>
  <c r="D180" i="15"/>
  <c r="C180" i="15"/>
  <c r="E179" i="15"/>
  <c r="D179" i="15"/>
  <c r="C179" i="15"/>
  <c r="E178" i="15"/>
  <c r="D178" i="15"/>
  <c r="C178" i="15"/>
  <c r="E177" i="15"/>
  <c r="D177" i="15"/>
  <c r="C177" i="15"/>
  <c r="E176" i="15"/>
  <c r="D176" i="15"/>
  <c r="C176" i="15"/>
  <c r="E175" i="15"/>
  <c r="D175" i="15"/>
  <c r="C175" i="15"/>
  <c r="E174" i="15"/>
  <c r="D174" i="15"/>
  <c r="C174" i="15"/>
  <c r="E173" i="15"/>
  <c r="D173" i="15"/>
  <c r="C173" i="15"/>
  <c r="E172" i="15"/>
  <c r="D172" i="15"/>
  <c r="C172" i="15"/>
  <c r="E171" i="15"/>
  <c r="D171" i="15"/>
  <c r="C171" i="15"/>
  <c r="E170" i="15"/>
  <c r="D170" i="15"/>
  <c r="C170" i="15"/>
  <c r="E169" i="15"/>
  <c r="D169" i="15"/>
  <c r="C169" i="15"/>
  <c r="E168" i="15"/>
  <c r="D168" i="15"/>
  <c r="C168" i="15"/>
  <c r="E167" i="15"/>
  <c r="D167" i="15"/>
  <c r="C167" i="15"/>
  <c r="E166" i="15"/>
  <c r="D166" i="15"/>
  <c r="C166" i="15"/>
  <c r="E165" i="15"/>
  <c r="D165" i="15"/>
  <c r="C165" i="15"/>
  <c r="E164" i="15"/>
  <c r="D164" i="15"/>
  <c r="C164" i="15"/>
  <c r="E163" i="15"/>
  <c r="D163" i="15"/>
  <c r="C163" i="15"/>
  <c r="E162" i="15"/>
  <c r="D162" i="15"/>
  <c r="C162" i="15"/>
  <c r="E161" i="15"/>
  <c r="D161" i="15"/>
  <c r="C161" i="15"/>
  <c r="E160" i="15"/>
  <c r="D160" i="15"/>
  <c r="C160" i="15"/>
  <c r="E159" i="15"/>
  <c r="D159" i="15"/>
  <c r="C159" i="15"/>
  <c r="E158" i="15"/>
  <c r="D158" i="15"/>
  <c r="C158" i="15"/>
  <c r="E157" i="15"/>
  <c r="D157" i="15"/>
  <c r="C157" i="15"/>
  <c r="E156" i="15"/>
  <c r="D156" i="15"/>
  <c r="C156" i="15"/>
  <c r="E155" i="15"/>
  <c r="D155" i="15"/>
  <c r="C155" i="15"/>
  <c r="E154" i="15"/>
  <c r="D154" i="15"/>
  <c r="C154" i="15"/>
  <c r="E153" i="15"/>
  <c r="D153" i="15"/>
  <c r="C153" i="15"/>
  <c r="E152" i="15"/>
  <c r="D152" i="15"/>
  <c r="C152" i="15"/>
  <c r="E151" i="15"/>
  <c r="D151" i="15"/>
  <c r="C151" i="15"/>
  <c r="E150" i="15"/>
  <c r="D150" i="15"/>
  <c r="C150" i="15"/>
  <c r="E149" i="15"/>
  <c r="D149" i="15"/>
  <c r="C149" i="15"/>
  <c r="E148" i="15"/>
  <c r="D148" i="15"/>
  <c r="C148" i="15"/>
  <c r="E146" i="15"/>
  <c r="D146" i="15"/>
  <c r="C146" i="15"/>
  <c r="E145" i="15"/>
  <c r="D145" i="15"/>
  <c r="C145" i="15"/>
  <c r="E144" i="15"/>
  <c r="D144" i="15"/>
  <c r="C144" i="15"/>
  <c r="E143" i="15"/>
  <c r="D143" i="15"/>
  <c r="C143" i="15"/>
  <c r="E142" i="15"/>
  <c r="D142" i="15"/>
  <c r="C142" i="15"/>
  <c r="E141" i="15"/>
  <c r="D141" i="15"/>
  <c r="C141" i="15"/>
  <c r="E140" i="15"/>
  <c r="D140" i="15"/>
  <c r="C140" i="15"/>
  <c r="E139" i="15"/>
  <c r="D139" i="15"/>
  <c r="C139" i="15"/>
  <c r="E138" i="15"/>
  <c r="D138" i="15"/>
  <c r="C138" i="15"/>
  <c r="E137" i="15"/>
  <c r="D137" i="15"/>
  <c r="C137" i="15"/>
  <c r="E136" i="15"/>
  <c r="D136" i="15"/>
  <c r="C136" i="15"/>
  <c r="E135" i="15"/>
  <c r="D135" i="15"/>
  <c r="C135" i="15"/>
  <c r="E134" i="15"/>
  <c r="D134" i="15"/>
  <c r="C134" i="15"/>
  <c r="E133" i="15"/>
  <c r="D133" i="15"/>
  <c r="C133" i="15"/>
  <c r="E132" i="15"/>
  <c r="D132" i="15"/>
  <c r="C132" i="15"/>
  <c r="E131" i="15"/>
  <c r="D131" i="15"/>
  <c r="C131" i="15"/>
  <c r="E130" i="15"/>
  <c r="D130" i="15"/>
  <c r="C130" i="15"/>
  <c r="E129" i="15"/>
  <c r="D129" i="15"/>
  <c r="C129" i="15"/>
  <c r="E128" i="15"/>
  <c r="D128" i="15"/>
  <c r="C128" i="15"/>
  <c r="E127" i="15"/>
  <c r="D127" i="15"/>
  <c r="C127" i="15"/>
  <c r="E126" i="15"/>
  <c r="D126" i="15"/>
  <c r="C126" i="15"/>
  <c r="E125" i="15"/>
  <c r="D125" i="15"/>
  <c r="C125" i="15"/>
  <c r="E124" i="15"/>
  <c r="D124" i="15"/>
  <c r="C124" i="15"/>
  <c r="E123" i="15"/>
  <c r="D123" i="15"/>
  <c r="C123" i="15"/>
  <c r="E122" i="15"/>
  <c r="D122" i="15"/>
  <c r="C122" i="15"/>
  <c r="E121" i="15"/>
  <c r="D121" i="15"/>
  <c r="C121" i="15"/>
  <c r="E120" i="15"/>
  <c r="D120" i="15"/>
  <c r="C120" i="15"/>
  <c r="E119" i="15"/>
  <c r="D119" i="15"/>
  <c r="C119" i="15"/>
  <c r="E118" i="15"/>
  <c r="D118" i="15"/>
  <c r="C118" i="15"/>
  <c r="E117" i="15"/>
  <c r="D117" i="15"/>
  <c r="C117" i="15"/>
  <c r="E116" i="15"/>
  <c r="D116" i="15"/>
  <c r="C116" i="15"/>
  <c r="E115" i="15"/>
  <c r="D115" i="15"/>
  <c r="C115" i="15"/>
  <c r="E114" i="15"/>
  <c r="D114" i="15"/>
  <c r="C114" i="15"/>
  <c r="E113" i="15"/>
  <c r="D113" i="15"/>
  <c r="C113" i="15"/>
  <c r="E112" i="15"/>
  <c r="D112" i="15"/>
  <c r="C112" i="15"/>
  <c r="E111" i="15"/>
  <c r="D111" i="15"/>
  <c r="C111" i="15"/>
  <c r="E110" i="15"/>
  <c r="D110" i="15"/>
  <c r="C110" i="15"/>
  <c r="E109" i="15"/>
  <c r="D109" i="15"/>
  <c r="C109" i="15"/>
  <c r="E108" i="15"/>
  <c r="D108" i="15"/>
  <c r="C108" i="15"/>
  <c r="E107" i="15"/>
  <c r="D107" i="15"/>
  <c r="C107" i="15"/>
  <c r="E106" i="15"/>
  <c r="D106" i="15"/>
  <c r="C106" i="15"/>
  <c r="E105" i="15"/>
  <c r="D105" i="15"/>
  <c r="C105" i="15"/>
  <c r="E104" i="15"/>
  <c r="D104" i="15"/>
  <c r="C104" i="15"/>
  <c r="E103" i="15"/>
  <c r="D103" i="15"/>
  <c r="C103" i="15"/>
  <c r="E102" i="15"/>
  <c r="D102" i="15"/>
  <c r="C102" i="15"/>
  <c r="E101" i="15"/>
  <c r="D101" i="15"/>
  <c r="C101" i="15"/>
  <c r="E100" i="15"/>
  <c r="D100" i="15"/>
  <c r="C100" i="15"/>
  <c r="E99" i="15"/>
  <c r="D99" i="15"/>
  <c r="C99" i="15"/>
  <c r="E98" i="15"/>
  <c r="D98" i="15"/>
  <c r="C98" i="15"/>
  <c r="U97" i="15"/>
  <c r="V97" i="15" s="1"/>
  <c r="E97" i="15"/>
  <c r="D97" i="15"/>
  <c r="C97" i="15"/>
  <c r="U96" i="15"/>
  <c r="V96" i="15" s="1"/>
  <c r="E96" i="15"/>
  <c r="D96" i="15"/>
  <c r="C96" i="15"/>
  <c r="U95" i="15"/>
  <c r="V95" i="15" s="1"/>
  <c r="E95" i="15"/>
  <c r="D95" i="15"/>
  <c r="C95" i="15"/>
  <c r="U94" i="15"/>
  <c r="V94" i="15" s="1"/>
  <c r="H94" i="15"/>
  <c r="K94" i="15" s="1"/>
  <c r="E94" i="15"/>
  <c r="D94" i="15"/>
  <c r="C94" i="15"/>
  <c r="U93" i="15"/>
  <c r="V93" i="15" s="1"/>
  <c r="H93" i="15"/>
  <c r="K93" i="15" s="1"/>
  <c r="E93" i="15"/>
  <c r="D93" i="15"/>
  <c r="C93" i="15"/>
  <c r="U92" i="15"/>
  <c r="V92" i="15" s="1"/>
  <c r="H92" i="15"/>
  <c r="I92" i="15" s="1"/>
  <c r="J92" i="15" s="1"/>
  <c r="E92" i="15"/>
  <c r="D92" i="15"/>
  <c r="C92" i="15"/>
  <c r="U91" i="15"/>
  <c r="V91" i="15" s="1"/>
  <c r="H91" i="15"/>
  <c r="K91" i="15" s="1"/>
  <c r="E91" i="15"/>
  <c r="D91" i="15"/>
  <c r="C91" i="15"/>
  <c r="U90" i="15"/>
  <c r="V90" i="15" s="1"/>
  <c r="H90" i="15"/>
  <c r="I90" i="15" s="1"/>
  <c r="J90" i="15" s="1"/>
  <c r="E90" i="15"/>
  <c r="D90" i="15"/>
  <c r="C90" i="15"/>
  <c r="U89" i="15"/>
  <c r="V89" i="15" s="1"/>
  <c r="H89" i="15"/>
  <c r="I89" i="15" s="1"/>
  <c r="J89" i="15" s="1"/>
  <c r="E89" i="15"/>
  <c r="D89" i="15"/>
  <c r="C89" i="15"/>
  <c r="U88" i="15"/>
  <c r="V88" i="15" s="1"/>
  <c r="H88" i="15"/>
  <c r="I88" i="15" s="1"/>
  <c r="J88" i="15" s="1"/>
  <c r="E88" i="15"/>
  <c r="D88" i="15"/>
  <c r="C88" i="15"/>
  <c r="U87" i="15"/>
  <c r="V87" i="15" s="1"/>
  <c r="H87" i="15"/>
  <c r="K87" i="15" s="1"/>
  <c r="E87" i="15"/>
  <c r="D87" i="15"/>
  <c r="C87" i="15"/>
  <c r="U86" i="15"/>
  <c r="V86" i="15" s="1"/>
  <c r="H86" i="15"/>
  <c r="I86" i="15" s="1"/>
  <c r="J86" i="15" s="1"/>
  <c r="E86" i="15"/>
  <c r="D86" i="15"/>
  <c r="C86" i="15"/>
  <c r="U85" i="15"/>
  <c r="V85" i="15" s="1"/>
  <c r="H85" i="15"/>
  <c r="K85" i="15" s="1"/>
  <c r="E85" i="15"/>
  <c r="D85" i="15"/>
  <c r="C85" i="15"/>
  <c r="U84" i="15"/>
  <c r="V84" i="15" s="1"/>
  <c r="H84" i="15"/>
  <c r="I84" i="15" s="1"/>
  <c r="J84" i="15" s="1"/>
  <c r="E84" i="15"/>
  <c r="D84" i="15"/>
  <c r="C84" i="15"/>
  <c r="U83" i="15"/>
  <c r="V83" i="15" s="1"/>
  <c r="H83" i="15"/>
  <c r="I83" i="15" s="1"/>
  <c r="J83" i="15" s="1"/>
  <c r="E83" i="15"/>
  <c r="D83" i="15"/>
  <c r="C83" i="15"/>
  <c r="U82" i="15"/>
  <c r="V82" i="15" s="1"/>
  <c r="H82" i="15"/>
  <c r="K82" i="15" s="1"/>
  <c r="E82" i="15"/>
  <c r="D82" i="15"/>
  <c r="C82" i="15"/>
  <c r="U81" i="15"/>
  <c r="V81" i="15" s="1"/>
  <c r="H81" i="15"/>
  <c r="K81" i="15" s="1"/>
  <c r="E81" i="15"/>
  <c r="D81" i="15"/>
  <c r="C81" i="15"/>
  <c r="U80" i="15"/>
  <c r="V80" i="15" s="1"/>
  <c r="H80" i="15"/>
  <c r="K80" i="15" s="1"/>
  <c r="E80" i="15"/>
  <c r="D80" i="15"/>
  <c r="C80" i="15"/>
  <c r="U79" i="15"/>
  <c r="V79" i="15" s="1"/>
  <c r="H79" i="15"/>
  <c r="K79" i="15" s="1"/>
  <c r="E79" i="15"/>
  <c r="D79" i="15"/>
  <c r="C79" i="15"/>
  <c r="U78" i="15"/>
  <c r="V78" i="15" s="1"/>
  <c r="H78" i="15"/>
  <c r="I78" i="15" s="1"/>
  <c r="J78" i="15" s="1"/>
  <c r="E78" i="15"/>
  <c r="D78" i="15"/>
  <c r="C78" i="15"/>
  <c r="U77" i="15"/>
  <c r="V77" i="15" s="1"/>
  <c r="H77" i="15"/>
  <c r="I77" i="15" s="1"/>
  <c r="J77" i="15" s="1"/>
  <c r="E77" i="15"/>
  <c r="D77" i="15"/>
  <c r="C77" i="15"/>
  <c r="U76" i="15"/>
  <c r="V76" i="15" s="1"/>
  <c r="H76" i="15"/>
  <c r="K76" i="15" s="1"/>
  <c r="O76" i="15" s="1"/>
  <c r="E76" i="15"/>
  <c r="D76" i="15"/>
  <c r="C76" i="15"/>
  <c r="U75" i="15"/>
  <c r="V75" i="15" s="1"/>
  <c r="H75" i="15"/>
  <c r="I75" i="15" s="1"/>
  <c r="J75" i="15" s="1"/>
  <c r="E75" i="15"/>
  <c r="D75" i="15"/>
  <c r="C75" i="15"/>
  <c r="U74" i="15"/>
  <c r="V74" i="15" s="1"/>
  <c r="H74" i="15"/>
  <c r="I74" i="15" s="1"/>
  <c r="J74" i="15" s="1"/>
  <c r="E74" i="15"/>
  <c r="D74" i="15"/>
  <c r="C74" i="15"/>
  <c r="U73" i="15"/>
  <c r="V73" i="15" s="1"/>
  <c r="H73" i="15"/>
  <c r="K73" i="15" s="1"/>
  <c r="E73" i="15"/>
  <c r="D73" i="15"/>
  <c r="C73" i="15"/>
  <c r="U72" i="15"/>
  <c r="V72" i="15" s="1"/>
  <c r="H72" i="15"/>
  <c r="K72" i="15" s="1"/>
  <c r="E72" i="15"/>
  <c r="D72" i="15"/>
  <c r="C72" i="15"/>
  <c r="U71" i="15"/>
  <c r="V71" i="15" s="1"/>
  <c r="H71" i="15"/>
  <c r="I71" i="15" s="1"/>
  <c r="J71" i="15" s="1"/>
  <c r="E71" i="15"/>
  <c r="D71" i="15"/>
  <c r="C71" i="15"/>
  <c r="U70" i="15"/>
  <c r="V70" i="15" s="1"/>
  <c r="H70" i="15"/>
  <c r="K70" i="15" s="1"/>
  <c r="U69" i="15"/>
  <c r="V69" i="15" s="1"/>
  <c r="H69" i="15"/>
  <c r="K69" i="15" s="1"/>
  <c r="E69" i="15"/>
  <c r="D69" i="15"/>
  <c r="B69" i="15"/>
  <c r="U68" i="15"/>
  <c r="V68" i="15" s="1"/>
  <c r="H68" i="15"/>
  <c r="I68" i="15" s="1"/>
  <c r="J68" i="15" s="1"/>
  <c r="E68" i="15"/>
  <c r="D68" i="15"/>
  <c r="B68" i="15"/>
  <c r="U67" i="15"/>
  <c r="V67" i="15" s="1"/>
  <c r="H67" i="15"/>
  <c r="K67" i="15" s="1"/>
  <c r="E67" i="15"/>
  <c r="D67" i="15"/>
  <c r="B67" i="15"/>
  <c r="U66" i="15"/>
  <c r="V66" i="15" s="1"/>
  <c r="H66" i="15"/>
  <c r="K66" i="15" s="1"/>
  <c r="E66" i="15"/>
  <c r="D66" i="15"/>
  <c r="B66" i="15"/>
  <c r="U65" i="15"/>
  <c r="V65" i="15" s="1"/>
  <c r="H65" i="15"/>
  <c r="K65" i="15" s="1"/>
  <c r="E65" i="15"/>
  <c r="D65" i="15"/>
  <c r="B65" i="15"/>
  <c r="U64" i="15"/>
  <c r="V64" i="15" s="1"/>
  <c r="H64" i="15"/>
  <c r="K64" i="15" s="1"/>
  <c r="E64" i="15"/>
  <c r="D64" i="15"/>
  <c r="B64" i="15"/>
  <c r="U63" i="15"/>
  <c r="V63" i="15" s="1"/>
  <c r="H63" i="15"/>
  <c r="I63" i="15" s="1"/>
  <c r="J63" i="15" s="1"/>
  <c r="E63" i="15"/>
  <c r="D63" i="15"/>
  <c r="B63" i="15"/>
  <c r="U62" i="15"/>
  <c r="V62" i="15" s="1"/>
  <c r="H62" i="15"/>
  <c r="K62" i="15" s="1"/>
  <c r="E62" i="15"/>
  <c r="D62" i="15"/>
  <c r="B62" i="15"/>
  <c r="U61" i="15"/>
  <c r="V61" i="15" s="1"/>
  <c r="H61" i="15"/>
  <c r="I61" i="15" s="1"/>
  <c r="J61" i="15" s="1"/>
  <c r="E61" i="15"/>
  <c r="D61" i="15"/>
  <c r="B61" i="15"/>
  <c r="U60" i="15"/>
  <c r="V60" i="15" s="1"/>
  <c r="H60" i="15"/>
  <c r="K60" i="15" s="1"/>
  <c r="E60" i="15"/>
  <c r="D60" i="15"/>
  <c r="B60" i="15"/>
  <c r="U59" i="15"/>
  <c r="V59" i="15" s="1"/>
  <c r="H59" i="15"/>
  <c r="I59" i="15" s="1"/>
  <c r="J59" i="15" s="1"/>
  <c r="E59" i="15"/>
  <c r="D59" i="15"/>
  <c r="B59" i="15"/>
  <c r="U58" i="15"/>
  <c r="V58" i="15" s="1"/>
  <c r="H58" i="15"/>
  <c r="I58" i="15" s="1"/>
  <c r="J58" i="15" s="1"/>
  <c r="E58" i="15"/>
  <c r="D58" i="15"/>
  <c r="B58" i="15"/>
  <c r="U57" i="15"/>
  <c r="V57" i="15" s="1"/>
  <c r="H57" i="15"/>
  <c r="I57" i="15" s="1"/>
  <c r="J57" i="15" s="1"/>
  <c r="E57" i="15"/>
  <c r="D57" i="15"/>
  <c r="B57" i="15"/>
  <c r="U56" i="15"/>
  <c r="V56" i="15" s="1"/>
  <c r="H56" i="15"/>
  <c r="I56" i="15" s="1"/>
  <c r="J56" i="15" s="1"/>
  <c r="E56" i="15"/>
  <c r="D56" i="15"/>
  <c r="B56" i="15"/>
  <c r="U55" i="15"/>
  <c r="V55" i="15" s="1"/>
  <c r="H55" i="15"/>
  <c r="K55" i="15" s="1"/>
  <c r="E55" i="15"/>
  <c r="D55" i="15"/>
  <c r="B55" i="15"/>
  <c r="U54" i="15"/>
  <c r="V54" i="15" s="1"/>
  <c r="H54" i="15"/>
  <c r="K54" i="15" s="1"/>
  <c r="E54" i="15"/>
  <c r="D54" i="15"/>
  <c r="B54" i="15"/>
  <c r="U53" i="15"/>
  <c r="V53" i="15" s="1"/>
  <c r="H53" i="15"/>
  <c r="K53" i="15" s="1"/>
  <c r="E53" i="15"/>
  <c r="D53" i="15"/>
  <c r="B53" i="15"/>
  <c r="U52" i="15"/>
  <c r="V52" i="15" s="1"/>
  <c r="H52" i="15"/>
  <c r="K52" i="15" s="1"/>
  <c r="E52" i="15"/>
  <c r="D52" i="15"/>
  <c r="B52" i="15"/>
  <c r="U51" i="15"/>
  <c r="V51" i="15" s="1"/>
  <c r="H51" i="15"/>
  <c r="K51" i="15" s="1"/>
  <c r="O51" i="15" s="1"/>
  <c r="E51" i="15"/>
  <c r="D51" i="15"/>
  <c r="B51" i="15"/>
  <c r="U50" i="15"/>
  <c r="V50" i="15" s="1"/>
  <c r="H50" i="15"/>
  <c r="K50" i="15" s="1"/>
  <c r="O50" i="15" s="1"/>
  <c r="E50" i="15"/>
  <c r="D50" i="15"/>
  <c r="B50" i="15"/>
  <c r="U49" i="15"/>
  <c r="V49" i="15" s="1"/>
  <c r="H49" i="15"/>
  <c r="K49" i="15" s="1"/>
  <c r="M49" i="15" s="1"/>
  <c r="E49" i="15"/>
  <c r="D49" i="15"/>
  <c r="B49" i="15"/>
  <c r="U48" i="15"/>
  <c r="V48" i="15" s="1"/>
  <c r="H48" i="15"/>
  <c r="I48" i="15" s="1"/>
  <c r="J48" i="15" s="1"/>
  <c r="E48" i="15"/>
  <c r="D48" i="15"/>
  <c r="B48" i="15"/>
  <c r="U47" i="15"/>
  <c r="V47" i="15" s="1"/>
  <c r="H47" i="15"/>
  <c r="I47" i="15" s="1"/>
  <c r="J47" i="15" s="1"/>
  <c r="E47" i="15"/>
  <c r="D47" i="15"/>
  <c r="B47" i="15"/>
  <c r="U46" i="15"/>
  <c r="V46" i="15" s="1"/>
  <c r="H46" i="15"/>
  <c r="K46" i="15" s="1"/>
  <c r="O46" i="15" s="1"/>
  <c r="E46" i="15"/>
  <c r="D46" i="15"/>
  <c r="B46" i="15"/>
  <c r="U45" i="15"/>
  <c r="V45" i="15" s="1"/>
  <c r="H45" i="15"/>
  <c r="I45" i="15" s="1"/>
  <c r="J45" i="15" s="1"/>
  <c r="E45" i="15"/>
  <c r="D45" i="15"/>
  <c r="B45" i="15"/>
  <c r="U44" i="15"/>
  <c r="V44" i="15" s="1"/>
  <c r="H44" i="15"/>
  <c r="I44" i="15" s="1"/>
  <c r="J44" i="15" s="1"/>
  <c r="E44" i="15"/>
  <c r="D44" i="15"/>
  <c r="B44" i="15"/>
  <c r="U43" i="15"/>
  <c r="V43" i="15" s="1"/>
  <c r="H43" i="15"/>
  <c r="K43" i="15" s="1"/>
  <c r="E43" i="15"/>
  <c r="D43" i="15"/>
  <c r="B43" i="15"/>
  <c r="U42" i="15"/>
  <c r="V42" i="15" s="1"/>
  <c r="H42" i="15"/>
  <c r="K42" i="15" s="1"/>
  <c r="E42" i="15"/>
  <c r="D42" i="15"/>
  <c r="B42" i="15"/>
  <c r="U41" i="15"/>
  <c r="V41" i="15" s="1"/>
  <c r="H41" i="15"/>
  <c r="I41" i="15" s="1"/>
  <c r="J41" i="15" s="1"/>
  <c r="E41" i="15"/>
  <c r="D41" i="15"/>
  <c r="B41" i="15"/>
  <c r="U40" i="15"/>
  <c r="V40" i="15" s="1"/>
  <c r="H40" i="15"/>
  <c r="K40" i="15" s="1"/>
  <c r="E40" i="15"/>
  <c r="D40" i="15"/>
  <c r="B40" i="15"/>
  <c r="U39" i="15"/>
  <c r="V39" i="15" s="1"/>
  <c r="H39" i="15"/>
  <c r="K39" i="15" s="1"/>
  <c r="E39" i="15"/>
  <c r="D39" i="15"/>
  <c r="B39" i="15"/>
  <c r="U38" i="15"/>
  <c r="V38" i="15" s="1"/>
  <c r="H38" i="15"/>
  <c r="K38" i="15" s="1"/>
  <c r="O38" i="15" s="1"/>
  <c r="E38" i="15"/>
  <c r="D38" i="15"/>
  <c r="B38" i="15"/>
  <c r="U37" i="15"/>
  <c r="V37" i="15" s="1"/>
  <c r="H37" i="15"/>
  <c r="K37" i="15" s="1"/>
  <c r="M37" i="15" s="1"/>
  <c r="E37" i="15"/>
  <c r="D37" i="15"/>
  <c r="B37" i="15"/>
  <c r="U36" i="15"/>
  <c r="V36" i="15" s="1"/>
  <c r="H36" i="15"/>
  <c r="I36" i="15" s="1"/>
  <c r="J36" i="15" s="1"/>
  <c r="E36" i="15"/>
  <c r="D36" i="15"/>
  <c r="B36" i="15"/>
  <c r="U35" i="15"/>
  <c r="V35" i="15" s="1"/>
  <c r="H35" i="15"/>
  <c r="I35" i="15" s="1"/>
  <c r="J35" i="15" s="1"/>
  <c r="E35" i="15"/>
  <c r="D35" i="15"/>
  <c r="B35" i="15"/>
  <c r="U34" i="15"/>
  <c r="V34" i="15" s="1"/>
  <c r="H34" i="15"/>
  <c r="K34" i="15" s="1"/>
  <c r="E34" i="15"/>
  <c r="D34" i="15"/>
  <c r="B34" i="15"/>
  <c r="U33" i="15"/>
  <c r="V33" i="15" s="1"/>
  <c r="E33" i="15"/>
  <c r="D33" i="15"/>
  <c r="B33" i="15"/>
  <c r="D57" i="5" l="1"/>
  <c r="D51" i="5"/>
  <c r="D43" i="5"/>
  <c r="F23" i="16"/>
  <c r="D12" i="16"/>
  <c r="I23" i="16"/>
  <c r="D14" i="16"/>
  <c r="F22" i="16"/>
  <c r="F20" i="16"/>
  <c r="K88" i="15"/>
  <c r="O88" i="15" s="1"/>
  <c r="G18" i="16"/>
  <c r="B10" i="16"/>
  <c r="G8" i="16"/>
  <c r="B8" i="16"/>
  <c r="G7" i="16"/>
  <c r="C19" i="16"/>
  <c r="I22" i="16"/>
  <c r="C18" i="16"/>
  <c r="I8" i="16"/>
  <c r="D16" i="16"/>
  <c r="I7" i="16"/>
  <c r="D15" i="16"/>
  <c r="A12" i="17"/>
  <c r="A5" i="17"/>
  <c r="B12" i="17"/>
  <c r="B5" i="17"/>
  <c r="B8" i="17"/>
  <c r="K57" i="15"/>
  <c r="M57" i="15" s="1"/>
  <c r="K74" i="15"/>
  <c r="N74" i="15" s="1"/>
  <c r="F19" i="16"/>
  <c r="G6" i="16"/>
  <c r="I5" i="16"/>
  <c r="C16" i="16"/>
  <c r="E23" i="16"/>
  <c r="F18" i="16"/>
  <c r="H4" i="16"/>
  <c r="K86" i="15"/>
  <c r="N86" i="15" s="1"/>
  <c r="C14" i="16"/>
  <c r="E22" i="16"/>
  <c r="F16" i="16"/>
  <c r="H23" i="16"/>
  <c r="C12" i="16"/>
  <c r="E20" i="16"/>
  <c r="F7" i="16"/>
  <c r="H22" i="16"/>
  <c r="K35" i="15"/>
  <c r="N35" i="15" s="1"/>
  <c r="B16" i="16"/>
  <c r="C11" i="16"/>
  <c r="E18" i="16"/>
  <c r="F6" i="16"/>
  <c r="H20" i="16"/>
  <c r="I73" i="15"/>
  <c r="J73" i="15" s="1"/>
  <c r="B15" i="16"/>
  <c r="C10" i="16"/>
  <c r="E16" i="16"/>
  <c r="G4" i="16"/>
  <c r="H11" i="16"/>
  <c r="B14" i="16"/>
  <c r="D20" i="16"/>
  <c r="E15" i="16"/>
  <c r="G22" i="16"/>
  <c r="H8" i="16"/>
  <c r="K45" i="15"/>
  <c r="O45" i="15" s="1"/>
  <c r="K89" i="15"/>
  <c r="O89" i="15" s="1"/>
  <c r="B12" i="16"/>
  <c r="D19" i="16"/>
  <c r="E14" i="16"/>
  <c r="G20" i="16"/>
  <c r="H6" i="16"/>
  <c r="B11" i="16"/>
  <c r="D18" i="16"/>
  <c r="F4" i="16"/>
  <c r="G19" i="16"/>
  <c r="C13" i="17"/>
  <c r="A11" i="17"/>
  <c r="B13" i="17"/>
  <c r="C9" i="17"/>
  <c r="B11" i="17"/>
  <c r="A9" i="17"/>
  <c r="C8" i="17"/>
  <c r="A6" i="17"/>
  <c r="B6" i="17"/>
  <c r="C10" i="17"/>
  <c r="A10" i="17"/>
  <c r="B14" i="17"/>
  <c r="C7" i="17"/>
  <c r="A7" i="17"/>
  <c r="A14" i="17"/>
  <c r="D36" i="11"/>
  <c r="D37" i="11"/>
  <c r="G37" i="11" s="1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B4" i="16"/>
  <c r="C8" i="16"/>
  <c r="D10" i="16"/>
  <c r="F14" i="16"/>
  <c r="G16" i="16"/>
  <c r="I20" i="16"/>
  <c r="B23" i="16"/>
  <c r="C4" i="16"/>
  <c r="C7" i="16"/>
  <c r="D8" i="16"/>
  <c r="E11" i="16"/>
  <c r="F12" i="16"/>
  <c r="G15" i="16"/>
  <c r="H16" i="16"/>
  <c r="I19" i="16"/>
  <c r="B6" i="16"/>
  <c r="E12" i="16"/>
  <c r="H18" i="16"/>
  <c r="B22" i="16"/>
  <c r="C23" i="16"/>
  <c r="C6" i="16"/>
  <c r="D7" i="16"/>
  <c r="E10" i="16"/>
  <c r="F11" i="16"/>
  <c r="G14" i="16"/>
  <c r="H15" i="16"/>
  <c r="I18" i="16"/>
  <c r="B20" i="16"/>
  <c r="C22" i="16"/>
  <c r="D4" i="16"/>
  <c r="D6" i="16"/>
  <c r="E8" i="16"/>
  <c r="F10" i="16"/>
  <c r="G12" i="16"/>
  <c r="H14" i="16"/>
  <c r="I16" i="16"/>
  <c r="B18" i="16"/>
  <c r="C20" i="16"/>
  <c r="D22" i="16"/>
  <c r="E4" i="16"/>
  <c r="E6" i="16"/>
  <c r="F8" i="16"/>
  <c r="G10" i="16"/>
  <c r="H12" i="16"/>
  <c r="I14" i="16"/>
  <c r="I12" i="16"/>
  <c r="H10" i="16"/>
  <c r="I11" i="16"/>
  <c r="I4" i="16"/>
  <c r="I6" i="16"/>
  <c r="B19" i="16"/>
  <c r="B7" i="16"/>
  <c r="C15" i="16"/>
  <c r="D23" i="16"/>
  <c r="D11" i="16"/>
  <c r="E19" i="16"/>
  <c r="E7" i="16"/>
  <c r="F15" i="16"/>
  <c r="G23" i="16"/>
  <c r="G11" i="16"/>
  <c r="H19" i="16"/>
  <c r="H7" i="16"/>
  <c r="I15" i="16"/>
  <c r="B17" i="16"/>
  <c r="B5" i="16"/>
  <c r="C13" i="16"/>
  <c r="D21" i="16"/>
  <c r="D9" i="16"/>
  <c r="E17" i="16"/>
  <c r="E5" i="16"/>
  <c r="F13" i="16"/>
  <c r="G21" i="16"/>
  <c r="G9" i="16"/>
  <c r="H17" i="16"/>
  <c r="H5" i="16"/>
  <c r="I13" i="16"/>
  <c r="I10" i="16"/>
  <c r="B13" i="16"/>
  <c r="C21" i="16"/>
  <c r="C9" i="16"/>
  <c r="D17" i="16"/>
  <c r="D5" i="16"/>
  <c r="E13" i="16"/>
  <c r="F21" i="16"/>
  <c r="F9" i="16"/>
  <c r="G17" i="16"/>
  <c r="G5" i="16"/>
  <c r="H13" i="16"/>
  <c r="I21" i="16"/>
  <c r="I9" i="16"/>
  <c r="B21" i="16"/>
  <c r="B9" i="16"/>
  <c r="C17" i="16"/>
  <c r="C5" i="16"/>
  <c r="D13" i="16"/>
  <c r="E21" i="16"/>
  <c r="E9" i="16"/>
  <c r="F17" i="16"/>
  <c r="F5" i="16"/>
  <c r="G13" i="16"/>
  <c r="H21" i="16"/>
  <c r="H9" i="16"/>
  <c r="I17" i="16"/>
  <c r="O87" i="15"/>
  <c r="N87" i="15"/>
  <c r="O35" i="15"/>
  <c r="I49" i="15"/>
  <c r="J49" i="15" s="1"/>
  <c r="K61" i="15"/>
  <c r="O61" i="15" s="1"/>
  <c r="I55" i="15"/>
  <c r="J55" i="15" s="1"/>
  <c r="K63" i="15"/>
  <c r="O63" i="15" s="1"/>
  <c r="K78" i="15"/>
  <c r="O78" i="15" s="1"/>
  <c r="K92" i="15"/>
  <c r="M92" i="15" s="1"/>
  <c r="K56" i="15"/>
  <c r="L56" i="15" s="1"/>
  <c r="K90" i="15"/>
  <c r="O90" i="15" s="1"/>
  <c r="H12" i="15"/>
  <c r="K36" i="15"/>
  <c r="M36" i="15" s="1"/>
  <c r="I38" i="15"/>
  <c r="J38" i="15" s="1"/>
  <c r="I46" i="15"/>
  <c r="J46" i="15" s="1"/>
  <c r="I50" i="15"/>
  <c r="J50" i="15" s="1"/>
  <c r="K58" i="15"/>
  <c r="L58" i="15" s="1"/>
  <c r="K68" i="15"/>
  <c r="L68" i="15" s="1"/>
  <c r="K77" i="15"/>
  <c r="O77" i="15" s="1"/>
  <c r="I87" i="15"/>
  <c r="J87" i="15" s="1"/>
  <c r="K75" i="15"/>
  <c r="O75" i="15" s="1"/>
  <c r="I65" i="15"/>
  <c r="J65" i="15" s="1"/>
  <c r="J10" i="15"/>
  <c r="H11" i="15"/>
  <c r="J13" i="15"/>
  <c r="O62" i="15"/>
  <c r="L62" i="15"/>
  <c r="L93" i="15"/>
  <c r="O93" i="15"/>
  <c r="N93" i="15"/>
  <c r="M93" i="15"/>
  <c r="N69" i="15"/>
  <c r="M69" i="15"/>
  <c r="L69" i="15"/>
  <c r="O69" i="15"/>
  <c r="L72" i="15"/>
  <c r="N72" i="15"/>
  <c r="O72" i="15"/>
  <c r="M72" i="15"/>
  <c r="L73" i="15"/>
  <c r="N73" i="15"/>
  <c r="O73" i="15"/>
  <c r="M73" i="15"/>
  <c r="O85" i="15"/>
  <c r="N85" i="15"/>
  <c r="M85" i="15"/>
  <c r="L85" i="15"/>
  <c r="O34" i="15"/>
  <c r="N34" i="15"/>
  <c r="M34" i="15"/>
  <c r="L34" i="15"/>
  <c r="O60" i="15"/>
  <c r="N60" i="15"/>
  <c r="M60" i="15"/>
  <c r="L60" i="15"/>
  <c r="K48" i="15"/>
  <c r="I37" i="15"/>
  <c r="J37" i="15" s="1"/>
  <c r="L46" i="15"/>
  <c r="I62" i="15"/>
  <c r="J62" i="15" s="1"/>
  <c r="I67" i="15"/>
  <c r="J67" i="15" s="1"/>
  <c r="I80" i="15"/>
  <c r="J80" i="15" s="1"/>
  <c r="K44" i="15"/>
  <c r="M46" i="15"/>
  <c r="I51" i="15"/>
  <c r="J51" i="15" s="1"/>
  <c r="I82" i="15"/>
  <c r="J82" i="15" s="1"/>
  <c r="N46" i="15"/>
  <c r="I53" i="15"/>
  <c r="J53" i="15" s="1"/>
  <c r="I70" i="15"/>
  <c r="J70" i="15" s="1"/>
  <c r="I34" i="15"/>
  <c r="J34" i="15" s="1"/>
  <c r="I60" i="15"/>
  <c r="J60" i="15" s="1"/>
  <c r="I69" i="15"/>
  <c r="J69" i="15" s="1"/>
  <c r="I76" i="15"/>
  <c r="J76" i="15" s="1"/>
  <c r="I85" i="15"/>
  <c r="J85" i="15" s="1"/>
  <c r="I93" i="15"/>
  <c r="J93" i="15" s="1"/>
  <c r="M35" i="15"/>
  <c r="K59" i="15"/>
  <c r="K84" i="15"/>
  <c r="L87" i="15"/>
  <c r="I39" i="15"/>
  <c r="J39" i="15" s="1"/>
  <c r="I43" i="15"/>
  <c r="J43" i="15" s="1"/>
  <c r="L50" i="15"/>
  <c r="I72" i="15"/>
  <c r="J72" i="15" s="1"/>
  <c r="M87" i="15"/>
  <c r="K83" i="15"/>
  <c r="K47" i="15"/>
  <c r="K71" i="15"/>
  <c r="N40" i="15"/>
  <c r="M40" i="15"/>
  <c r="L40" i="15"/>
  <c r="O40" i="15"/>
  <c r="L42" i="15"/>
  <c r="O42" i="15"/>
  <c r="N42" i="15"/>
  <c r="M42" i="15"/>
  <c r="O67" i="15"/>
  <c r="N67" i="15"/>
  <c r="M67" i="15"/>
  <c r="L67" i="15"/>
  <c r="M80" i="15"/>
  <c r="L80" i="15"/>
  <c r="O80" i="15"/>
  <c r="N80" i="15"/>
  <c r="O82" i="15"/>
  <c r="N82" i="15"/>
  <c r="M82" i="15"/>
  <c r="L82" i="15"/>
  <c r="N91" i="15"/>
  <c r="M91" i="15"/>
  <c r="L91" i="15"/>
  <c r="O91" i="15"/>
  <c r="M53" i="15"/>
  <c r="L53" i="15"/>
  <c r="O53" i="15"/>
  <c r="N53" i="15"/>
  <c r="O55" i="15"/>
  <c r="N55" i="15"/>
  <c r="M55" i="15"/>
  <c r="L55" i="15"/>
  <c r="O94" i="15"/>
  <c r="N94" i="15"/>
  <c r="M94" i="15"/>
  <c r="L94" i="15"/>
  <c r="N64" i="15"/>
  <c r="M64" i="15"/>
  <c r="L64" i="15"/>
  <c r="O64" i="15"/>
  <c r="L66" i="15"/>
  <c r="O66" i="15"/>
  <c r="N66" i="15"/>
  <c r="M66" i="15"/>
  <c r="N79" i="15"/>
  <c r="M79" i="15"/>
  <c r="L79" i="15"/>
  <c r="O79" i="15"/>
  <c r="L81" i="15"/>
  <c r="O81" i="15"/>
  <c r="N81" i="15"/>
  <c r="M81" i="15"/>
  <c r="O39" i="15"/>
  <c r="N39" i="15"/>
  <c r="M39" i="15"/>
  <c r="L39" i="15"/>
  <c r="N52" i="15"/>
  <c r="M52" i="15"/>
  <c r="L52" i="15"/>
  <c r="O52" i="15"/>
  <c r="M65" i="15"/>
  <c r="L65" i="15"/>
  <c r="O65" i="15"/>
  <c r="N65" i="15"/>
  <c r="O70" i="15"/>
  <c r="N70" i="15"/>
  <c r="M70" i="15"/>
  <c r="L70" i="15"/>
  <c r="O43" i="15"/>
  <c r="N43" i="15"/>
  <c r="M43" i="15"/>
  <c r="L43" i="15"/>
  <c r="L54" i="15"/>
  <c r="O54" i="15"/>
  <c r="N54" i="15"/>
  <c r="M54" i="15"/>
  <c r="L37" i="15"/>
  <c r="I40" i="15"/>
  <c r="J40" i="15" s="1"/>
  <c r="L49" i="15"/>
  <c r="I52" i="15"/>
  <c r="J52" i="15" s="1"/>
  <c r="I64" i="15"/>
  <c r="J64" i="15" s="1"/>
  <c r="L76" i="15"/>
  <c r="I79" i="15"/>
  <c r="J79" i="15" s="1"/>
  <c r="L88" i="15"/>
  <c r="I91" i="15"/>
  <c r="J91" i="15" s="1"/>
  <c r="M76" i="15"/>
  <c r="N37" i="15"/>
  <c r="M38" i="15"/>
  <c r="I42" i="15"/>
  <c r="J42" i="15" s="1"/>
  <c r="N49" i="15"/>
  <c r="M50" i="15"/>
  <c r="L51" i="15"/>
  <c r="I54" i="15"/>
  <c r="J54" i="15" s="1"/>
  <c r="M62" i="15"/>
  <c r="I66" i="15"/>
  <c r="J66" i="15" s="1"/>
  <c r="N76" i="15"/>
  <c r="I81" i="15"/>
  <c r="J81" i="15" s="1"/>
  <c r="M61" i="15"/>
  <c r="O37" i="15"/>
  <c r="N38" i="15"/>
  <c r="K41" i="15"/>
  <c r="O49" i="15"/>
  <c r="N50" i="15"/>
  <c r="M51" i="15"/>
  <c r="N62" i="15"/>
  <c r="I94" i="15"/>
  <c r="J94" i="15" s="1"/>
  <c r="L38" i="15"/>
  <c r="N51" i="15"/>
  <c r="A57" i="5" l="1"/>
  <c r="B57" i="5"/>
  <c r="C57" i="5"/>
  <c r="A51" i="5"/>
  <c r="B51" i="5"/>
  <c r="C51" i="5"/>
  <c r="A43" i="5"/>
  <c r="B43" i="5"/>
  <c r="C43" i="5"/>
  <c r="N78" i="15"/>
  <c r="N63" i="15"/>
  <c r="L35" i="15"/>
  <c r="M88" i="15"/>
  <c r="N61" i="15"/>
  <c r="L86" i="15"/>
  <c r="EC37" i="11"/>
  <c r="EO37" i="11"/>
  <c r="FA37" i="11"/>
  <c r="FM37" i="11"/>
  <c r="FY37" i="11"/>
  <c r="DG37" i="11"/>
  <c r="DR37" i="11"/>
  <c r="ED37" i="11"/>
  <c r="EP37" i="11"/>
  <c r="FB37" i="11"/>
  <c r="FN37" i="11"/>
  <c r="FZ37" i="11"/>
  <c r="CV37" i="11"/>
  <c r="DH37" i="11"/>
  <c r="DS37" i="11"/>
  <c r="EE37" i="11"/>
  <c r="EQ37" i="11"/>
  <c r="FC37" i="11"/>
  <c r="FO37" i="11"/>
  <c r="GA37" i="11"/>
  <c r="CW37" i="11"/>
  <c r="DI37" i="11"/>
  <c r="EJ37" i="11"/>
  <c r="GF37" i="11"/>
  <c r="DN37" i="11"/>
  <c r="DT37" i="11"/>
  <c r="EF37" i="11"/>
  <c r="ER37" i="11"/>
  <c r="FD37" i="11"/>
  <c r="FP37" i="11"/>
  <c r="GB37" i="11"/>
  <c r="CX37" i="11"/>
  <c r="DJ37" i="11"/>
  <c r="DU37" i="11"/>
  <c r="EG37" i="11"/>
  <c r="ES37" i="11"/>
  <c r="FE37" i="11"/>
  <c r="FQ37" i="11"/>
  <c r="GC37" i="11"/>
  <c r="CY37" i="11"/>
  <c r="DK37" i="11"/>
  <c r="DX37" i="11"/>
  <c r="EV37" i="11"/>
  <c r="FT37" i="11"/>
  <c r="DV37" i="11"/>
  <c r="EH37" i="11"/>
  <c r="ET37" i="11"/>
  <c r="FF37" i="11"/>
  <c r="FR37" i="11"/>
  <c r="GD37" i="11"/>
  <c r="CZ37" i="11"/>
  <c r="DL37" i="11"/>
  <c r="DW37" i="11"/>
  <c r="EI37" i="11"/>
  <c r="EU37" i="11"/>
  <c r="FG37" i="11"/>
  <c r="FS37" i="11"/>
  <c r="GE37" i="11"/>
  <c r="DA37" i="11"/>
  <c r="DM37" i="11"/>
  <c r="FH37" i="11"/>
  <c r="DB37" i="11"/>
  <c r="EN37" i="11"/>
  <c r="FX37" i="11"/>
  <c r="DF37" i="11"/>
  <c r="EM37" i="11"/>
  <c r="DE37" i="11"/>
  <c r="EW37" i="11"/>
  <c r="GG37" i="11"/>
  <c r="DO37" i="11"/>
  <c r="EX37" i="11"/>
  <c r="GH37" i="11"/>
  <c r="DP37" i="11"/>
  <c r="DZ37" i="11"/>
  <c r="FL37" i="11"/>
  <c r="EK37" i="11"/>
  <c r="DC37" i="11"/>
  <c r="FV37" i="11"/>
  <c r="DD37" i="11"/>
  <c r="EY37" i="11"/>
  <c r="GI37" i="11"/>
  <c r="DQ37" i="11"/>
  <c r="DY37" i="11"/>
  <c r="FI37" i="11"/>
  <c r="FU37" i="11"/>
  <c r="EL37" i="11"/>
  <c r="EZ37" i="11"/>
  <c r="FJ37" i="11"/>
  <c r="EB37" i="11"/>
  <c r="EA37" i="11"/>
  <c r="FK37" i="11"/>
  <c r="FW37" i="11"/>
  <c r="M86" i="15"/>
  <c r="L61" i="15"/>
  <c r="M77" i="15"/>
  <c r="O36" i="15"/>
  <c r="O86" i="15"/>
  <c r="M45" i="15"/>
  <c r="L57" i="15"/>
  <c r="N88" i="15"/>
  <c r="O57" i="15"/>
  <c r="L45" i="15"/>
  <c r="N57" i="15"/>
  <c r="M56" i="15"/>
  <c r="M74" i="15"/>
  <c r="N75" i="15"/>
  <c r="O74" i="15"/>
  <c r="L89" i="15"/>
  <c r="M75" i="15"/>
  <c r="L74" i="15"/>
  <c r="N90" i="15"/>
  <c r="L90" i="15"/>
  <c r="M90" i="15"/>
  <c r="M89" i="15"/>
  <c r="N89" i="15"/>
  <c r="L75" i="15"/>
  <c r="N45" i="15"/>
  <c r="L78" i="15"/>
  <c r="L63" i="15"/>
  <c r="N92" i="15"/>
  <c r="M68" i="15"/>
  <c r="M58" i="15"/>
  <c r="O58" i="15"/>
  <c r="N36" i="15"/>
  <c r="L36" i="15"/>
  <c r="M78" i="15"/>
  <c r="O92" i="15"/>
  <c r="O68" i="15"/>
  <c r="N77" i="15"/>
  <c r="N58" i="15"/>
  <c r="M63" i="15"/>
  <c r="L77" i="15"/>
  <c r="L92" i="15"/>
  <c r="N68" i="15"/>
  <c r="N56" i="15"/>
  <c r="O56" i="15"/>
  <c r="O84" i="15"/>
  <c r="N84" i="15"/>
  <c r="M84" i="15"/>
  <c r="L84" i="15"/>
  <c r="O59" i="15"/>
  <c r="N59" i="15"/>
  <c r="M59" i="15"/>
  <c r="L59" i="15"/>
  <c r="L71" i="15"/>
  <c r="O71" i="15"/>
  <c r="M71" i="15"/>
  <c r="N71" i="15"/>
  <c r="O48" i="15"/>
  <c r="L48" i="15"/>
  <c r="N48" i="15"/>
  <c r="M48" i="15"/>
  <c r="L44" i="15"/>
  <c r="O44" i="15"/>
  <c r="N44" i="15"/>
  <c r="M44" i="15"/>
  <c r="O47" i="15"/>
  <c r="N47" i="15"/>
  <c r="M47" i="15"/>
  <c r="L47" i="15"/>
  <c r="L83" i="15"/>
  <c r="M83" i="15"/>
  <c r="O83" i="15"/>
  <c r="N83" i="15"/>
  <c r="M41" i="15"/>
  <c r="L41" i="15"/>
  <c r="O41" i="15"/>
  <c r="N41" i="15"/>
  <c r="I170" i="13" l="1"/>
  <c r="H170" i="13"/>
  <c r="G170" i="13"/>
  <c r="I169" i="13"/>
  <c r="H169" i="13"/>
  <c r="G169" i="13"/>
  <c r="I168" i="13"/>
  <c r="H168" i="13"/>
  <c r="G168" i="13"/>
  <c r="I167" i="13"/>
  <c r="H167" i="13"/>
  <c r="G167" i="13"/>
  <c r="I166" i="13"/>
  <c r="H166" i="13"/>
  <c r="G166" i="13"/>
  <c r="I165" i="13"/>
  <c r="H165" i="13"/>
  <c r="G165" i="13"/>
  <c r="I164" i="13"/>
  <c r="H164" i="13"/>
  <c r="G164" i="13"/>
  <c r="I163" i="13"/>
  <c r="H163" i="13"/>
  <c r="G163" i="13"/>
  <c r="I162" i="13"/>
  <c r="H162" i="13"/>
  <c r="G162" i="13"/>
  <c r="I161" i="13"/>
  <c r="H161" i="13"/>
  <c r="G161" i="13"/>
  <c r="I160" i="13"/>
  <c r="H160" i="13"/>
  <c r="G160" i="13"/>
  <c r="I159" i="13"/>
  <c r="H159" i="13"/>
  <c r="G159" i="13"/>
  <c r="I158" i="13"/>
  <c r="H158" i="13"/>
  <c r="G158" i="13"/>
  <c r="I157" i="13"/>
  <c r="H157" i="13"/>
  <c r="G157" i="13"/>
  <c r="I156" i="13"/>
  <c r="H156" i="13"/>
  <c r="G156" i="13"/>
  <c r="I155" i="13"/>
  <c r="H155" i="13"/>
  <c r="G155" i="13"/>
  <c r="I154" i="13"/>
  <c r="H154" i="13"/>
  <c r="G154" i="13"/>
  <c r="I153" i="13"/>
  <c r="H153" i="13"/>
  <c r="G153" i="13"/>
  <c r="I152" i="13"/>
  <c r="L13" i="13" s="1"/>
  <c r="M13" i="13" s="1"/>
  <c r="H152" i="13"/>
  <c r="G152" i="13"/>
  <c r="I151" i="13"/>
  <c r="H151" i="13"/>
  <c r="G151" i="13"/>
  <c r="I150" i="13"/>
  <c r="H150" i="13"/>
  <c r="G150" i="13"/>
  <c r="I149" i="13"/>
  <c r="H149" i="13"/>
  <c r="G149" i="13"/>
  <c r="I148" i="13"/>
  <c r="H148" i="13"/>
  <c r="G148" i="13"/>
  <c r="I147" i="13"/>
  <c r="H147" i="13"/>
  <c r="G147" i="13"/>
  <c r="I146" i="13"/>
  <c r="H146" i="13"/>
  <c r="G146" i="13"/>
  <c r="I145" i="13"/>
  <c r="H145" i="13"/>
  <c r="G145" i="13"/>
  <c r="I144" i="13"/>
  <c r="H144" i="13"/>
  <c r="G144" i="13"/>
  <c r="I143" i="13"/>
  <c r="H143" i="13"/>
  <c r="G143" i="13"/>
  <c r="I142" i="13"/>
  <c r="H142" i="13"/>
  <c r="G142" i="13"/>
  <c r="I141" i="13"/>
  <c r="H141" i="13"/>
  <c r="G141" i="13"/>
  <c r="I140" i="13"/>
  <c r="H140" i="13"/>
  <c r="G140" i="13"/>
  <c r="I139" i="13"/>
  <c r="H139" i="13"/>
  <c r="G139" i="13"/>
  <c r="I138" i="13"/>
  <c r="H138" i="13"/>
  <c r="G138" i="13"/>
  <c r="I137" i="13"/>
  <c r="H137" i="13"/>
  <c r="G137" i="13"/>
  <c r="I136" i="13"/>
  <c r="H136" i="13"/>
  <c r="G136" i="13"/>
  <c r="I135" i="13"/>
  <c r="H135" i="13"/>
  <c r="G135" i="13"/>
  <c r="I134" i="13"/>
  <c r="H134" i="13"/>
  <c r="G134" i="13"/>
  <c r="I133" i="13"/>
  <c r="H133" i="13"/>
  <c r="G133" i="13"/>
  <c r="I132" i="13"/>
  <c r="H132" i="13"/>
  <c r="G132" i="13"/>
  <c r="I131" i="13"/>
  <c r="H131" i="13"/>
  <c r="G131" i="13"/>
  <c r="I130" i="13"/>
  <c r="H130" i="13"/>
  <c r="G130" i="13"/>
  <c r="I129" i="13"/>
  <c r="H129" i="13"/>
  <c r="G129" i="13"/>
  <c r="I128" i="13"/>
  <c r="H128" i="13"/>
  <c r="G128" i="13"/>
  <c r="I127" i="13"/>
  <c r="H127" i="13"/>
  <c r="G127" i="13"/>
  <c r="I126" i="13"/>
  <c r="H126" i="13"/>
  <c r="G126" i="13"/>
  <c r="I125" i="13"/>
  <c r="H125" i="13"/>
  <c r="G125" i="13"/>
  <c r="I124" i="13"/>
  <c r="H124" i="13"/>
  <c r="G124" i="13"/>
  <c r="I123" i="13"/>
  <c r="H123" i="13"/>
  <c r="G123" i="13"/>
  <c r="I122" i="13"/>
  <c r="H122" i="13"/>
  <c r="G122" i="13"/>
  <c r="I121" i="13"/>
  <c r="H121" i="13"/>
  <c r="G121" i="13"/>
  <c r="I120" i="13"/>
  <c r="H120" i="13"/>
  <c r="G120" i="13"/>
  <c r="I119" i="13"/>
  <c r="H119" i="13"/>
  <c r="G119" i="13"/>
  <c r="I118" i="13"/>
  <c r="H118" i="13"/>
  <c r="G118" i="13"/>
  <c r="I117" i="13"/>
  <c r="H117" i="13"/>
  <c r="G117" i="13"/>
  <c r="I116" i="13"/>
  <c r="H116" i="13"/>
  <c r="G116" i="13"/>
  <c r="I115" i="13"/>
  <c r="H115" i="13"/>
  <c r="G115" i="13"/>
  <c r="I114" i="13"/>
  <c r="H114" i="13"/>
  <c r="G114" i="13"/>
  <c r="I113" i="13"/>
  <c r="H113" i="13"/>
  <c r="G113" i="13"/>
  <c r="I112" i="13"/>
  <c r="H112" i="13"/>
  <c r="G112" i="13"/>
  <c r="I111" i="13"/>
  <c r="H111" i="13"/>
  <c r="G111" i="13"/>
  <c r="I110" i="13"/>
  <c r="H110" i="13"/>
  <c r="G110" i="13"/>
  <c r="I109" i="13"/>
  <c r="H109" i="13"/>
  <c r="G109" i="13"/>
  <c r="I108" i="13"/>
  <c r="H108" i="13"/>
  <c r="G108" i="13"/>
  <c r="I107" i="13"/>
  <c r="H107" i="13"/>
  <c r="G107" i="13"/>
  <c r="I106" i="13"/>
  <c r="H106" i="13"/>
  <c r="G106" i="13"/>
  <c r="I105" i="13"/>
  <c r="H105" i="13"/>
  <c r="G105" i="13"/>
  <c r="I104" i="13"/>
  <c r="N11" i="13" s="1"/>
  <c r="H104" i="13"/>
  <c r="M11" i="13" s="1"/>
  <c r="G104" i="13"/>
  <c r="L11" i="13" s="1"/>
  <c r="I103" i="13"/>
  <c r="H103" i="13"/>
  <c r="G103" i="13"/>
  <c r="I102" i="13"/>
  <c r="H102" i="13"/>
  <c r="G102" i="13"/>
  <c r="I101" i="13"/>
  <c r="H101" i="13"/>
  <c r="G101" i="13"/>
  <c r="I100" i="13"/>
  <c r="H100" i="13"/>
  <c r="G100" i="13"/>
  <c r="I99" i="13"/>
  <c r="H99" i="13"/>
  <c r="G99" i="13"/>
  <c r="I98" i="13"/>
  <c r="H98" i="13"/>
  <c r="G98" i="13"/>
  <c r="I97" i="13"/>
  <c r="H97" i="13"/>
  <c r="G97" i="13"/>
  <c r="I96" i="13"/>
  <c r="H96" i="13"/>
  <c r="G96" i="13"/>
  <c r="I95" i="13"/>
  <c r="H95" i="13"/>
  <c r="G95" i="13"/>
  <c r="I94" i="13"/>
  <c r="H94" i="13"/>
  <c r="G94" i="13"/>
  <c r="I93" i="13"/>
  <c r="H93" i="13"/>
  <c r="G93" i="13"/>
  <c r="I92" i="13"/>
  <c r="H92" i="13"/>
  <c r="G92" i="13"/>
  <c r="I91" i="13"/>
  <c r="H91" i="13"/>
  <c r="G91" i="13"/>
  <c r="I90" i="13"/>
  <c r="H90" i="13"/>
  <c r="G90" i="13"/>
  <c r="I89" i="13"/>
  <c r="H89" i="13"/>
  <c r="G89" i="13"/>
  <c r="I88" i="13"/>
  <c r="H88" i="13"/>
  <c r="G88" i="13"/>
  <c r="I87" i="13"/>
  <c r="H87" i="13"/>
  <c r="G87" i="13"/>
  <c r="I86" i="13"/>
  <c r="H86" i="13"/>
  <c r="G86" i="13"/>
  <c r="I85" i="13"/>
  <c r="H85" i="13"/>
  <c r="G85" i="13"/>
  <c r="I84" i="13"/>
  <c r="H84" i="13"/>
  <c r="G84" i="13"/>
  <c r="I83" i="13"/>
  <c r="H83" i="13"/>
  <c r="G83" i="13"/>
  <c r="I82" i="13"/>
  <c r="H82" i="13"/>
  <c r="G82" i="13"/>
  <c r="I81" i="13"/>
  <c r="H81" i="13"/>
  <c r="G81" i="13"/>
  <c r="I80" i="13"/>
  <c r="H80" i="13"/>
  <c r="G80" i="13"/>
  <c r="I79" i="13"/>
  <c r="H79" i="13"/>
  <c r="G79" i="13"/>
  <c r="I78" i="13"/>
  <c r="H78" i="13"/>
  <c r="G78" i="13"/>
  <c r="I77" i="13"/>
  <c r="H77" i="13"/>
  <c r="G77" i="13"/>
  <c r="I76" i="13"/>
  <c r="H76" i="13"/>
  <c r="G76" i="13"/>
  <c r="I75" i="13"/>
  <c r="H75" i="13"/>
  <c r="G75" i="13"/>
  <c r="I74" i="13"/>
  <c r="H74" i="13"/>
  <c r="G74" i="13"/>
  <c r="I73" i="13"/>
  <c r="H73" i="13"/>
  <c r="G73" i="13"/>
  <c r="I72" i="13"/>
  <c r="H72" i="13"/>
  <c r="G72" i="13"/>
  <c r="I71" i="13"/>
  <c r="H71" i="13"/>
  <c r="G71" i="13"/>
  <c r="I70" i="13"/>
  <c r="H70" i="13"/>
  <c r="G70" i="13"/>
  <c r="I69" i="13"/>
  <c r="H69" i="13"/>
  <c r="G69" i="13"/>
  <c r="I68" i="13"/>
  <c r="H68" i="13"/>
  <c r="G68" i="13"/>
  <c r="I67" i="13"/>
  <c r="H67" i="13"/>
  <c r="G67" i="13"/>
  <c r="I66" i="13"/>
  <c r="H66" i="13"/>
  <c r="G66" i="13"/>
  <c r="I65" i="13"/>
  <c r="H65" i="13"/>
  <c r="G65" i="13"/>
  <c r="I64" i="13"/>
  <c r="H64" i="13"/>
  <c r="G64" i="13"/>
  <c r="I63" i="13"/>
  <c r="H63" i="13"/>
  <c r="G63" i="13"/>
  <c r="I62" i="13"/>
  <c r="H62" i="13"/>
  <c r="G62" i="13"/>
  <c r="I61" i="13"/>
  <c r="H61" i="13"/>
  <c r="G61" i="13"/>
  <c r="I60" i="13"/>
  <c r="H60" i="13"/>
  <c r="G60" i="13"/>
  <c r="I59" i="13"/>
  <c r="H59" i="13"/>
  <c r="G59" i="13"/>
  <c r="I58" i="13"/>
  <c r="N10" i="13" s="1"/>
  <c r="H58" i="13"/>
  <c r="M9" i="13" s="1"/>
  <c r="G58" i="13"/>
  <c r="L9" i="13" s="1"/>
  <c r="I57" i="13"/>
  <c r="N9" i="13" s="1"/>
  <c r="H57" i="13"/>
  <c r="G57" i="13"/>
  <c r="I56" i="13"/>
  <c r="H56" i="13"/>
  <c r="G56" i="13"/>
  <c r="I55" i="13"/>
  <c r="H55" i="13"/>
  <c r="G55" i="13"/>
  <c r="I54" i="13"/>
  <c r="H54" i="13"/>
  <c r="G54" i="13"/>
  <c r="I53" i="13"/>
  <c r="H53" i="13"/>
  <c r="G53" i="13"/>
  <c r="I52" i="13"/>
  <c r="H52" i="13"/>
  <c r="G52" i="13"/>
  <c r="I51" i="13"/>
  <c r="H51" i="13"/>
  <c r="G51" i="13"/>
  <c r="I50" i="13"/>
  <c r="H50" i="13"/>
  <c r="G50" i="13"/>
  <c r="I49" i="13"/>
  <c r="H49" i="13"/>
  <c r="G49" i="13"/>
  <c r="I48" i="13"/>
  <c r="H48" i="13"/>
  <c r="G48" i="13"/>
  <c r="I47" i="13"/>
  <c r="H47" i="13"/>
  <c r="G47" i="13"/>
  <c r="I46" i="13"/>
  <c r="H46" i="13"/>
  <c r="G46" i="13"/>
  <c r="I45" i="13"/>
  <c r="H45" i="13"/>
  <c r="G45" i="13"/>
  <c r="I44" i="13"/>
  <c r="H44" i="13"/>
  <c r="G44" i="13"/>
  <c r="I43" i="13"/>
  <c r="H43" i="13"/>
  <c r="G43" i="13"/>
  <c r="I42" i="13"/>
  <c r="H42" i="13"/>
  <c r="G42" i="13"/>
  <c r="I41" i="13"/>
  <c r="H41" i="13"/>
  <c r="G41" i="13"/>
  <c r="I40" i="13"/>
  <c r="H40" i="13"/>
  <c r="G40" i="13"/>
  <c r="I39" i="13"/>
  <c r="H39" i="13"/>
  <c r="G39" i="13"/>
  <c r="I38" i="13"/>
  <c r="H38" i="13"/>
  <c r="G38" i="13"/>
  <c r="I37" i="13"/>
  <c r="H37" i="13"/>
  <c r="G37" i="13"/>
  <c r="I36" i="13"/>
  <c r="H36" i="13"/>
  <c r="G36" i="13"/>
  <c r="I35" i="13"/>
  <c r="H35" i="13"/>
  <c r="G35" i="13"/>
  <c r="I34" i="13"/>
  <c r="H34" i="13"/>
  <c r="G34" i="13"/>
  <c r="I33" i="13"/>
  <c r="H33" i="13"/>
  <c r="G33" i="13"/>
  <c r="I32" i="13"/>
  <c r="H32" i="13"/>
  <c r="G32" i="13"/>
  <c r="I31" i="13"/>
  <c r="H31" i="13"/>
  <c r="G31" i="13"/>
  <c r="I30" i="13"/>
  <c r="H30" i="13"/>
  <c r="G30" i="13"/>
  <c r="I29" i="13"/>
  <c r="H29" i="13"/>
  <c r="G29" i="13"/>
  <c r="I28" i="13"/>
  <c r="H28" i="13"/>
  <c r="G28" i="13"/>
  <c r="I27" i="13"/>
  <c r="H27" i="13"/>
  <c r="G27" i="13"/>
  <c r="I26" i="13"/>
  <c r="H26" i="13"/>
  <c r="G26" i="13"/>
  <c r="I25" i="13"/>
  <c r="H25" i="13"/>
  <c r="G25" i="13"/>
  <c r="I24" i="13"/>
  <c r="H24" i="13"/>
  <c r="G24" i="13"/>
  <c r="I23" i="13"/>
  <c r="H23" i="13"/>
  <c r="G23" i="13"/>
  <c r="I22" i="13"/>
  <c r="H22" i="13"/>
  <c r="G22" i="13"/>
  <c r="I21" i="13"/>
  <c r="H21" i="13"/>
  <c r="G21" i="13"/>
  <c r="I20" i="13"/>
  <c r="H20" i="13"/>
  <c r="M10" i="13" s="1"/>
  <c r="G20" i="13"/>
  <c r="L10" i="13" s="1"/>
  <c r="I19" i="13"/>
  <c r="H19" i="13"/>
  <c r="G19" i="13"/>
  <c r="I18" i="13"/>
  <c r="H18" i="13"/>
  <c r="G18" i="13"/>
  <c r="I17" i="13"/>
  <c r="H17" i="13"/>
  <c r="G17" i="13"/>
  <c r="I16" i="13"/>
  <c r="H16" i="13"/>
  <c r="G16" i="13"/>
  <c r="I15" i="13"/>
  <c r="H15" i="13"/>
  <c r="G15" i="13"/>
  <c r="I14" i="13"/>
  <c r="H14" i="13"/>
  <c r="G14" i="13"/>
  <c r="I13" i="13"/>
  <c r="H13" i="13"/>
  <c r="G13" i="13"/>
  <c r="I12" i="13"/>
  <c r="H12" i="13"/>
  <c r="G12" i="13"/>
  <c r="I11" i="13"/>
  <c r="H11" i="13"/>
  <c r="G11" i="13"/>
  <c r="I10" i="13"/>
  <c r="H10" i="13"/>
  <c r="G10" i="13"/>
  <c r="I9" i="13"/>
  <c r="H9" i="13"/>
  <c r="G9" i="13"/>
  <c r="I8" i="13"/>
  <c r="H8" i="13"/>
  <c r="G8" i="13"/>
  <c r="I7" i="13"/>
  <c r="H7" i="13"/>
  <c r="G7" i="13"/>
  <c r="I6" i="13"/>
  <c r="H6" i="13"/>
  <c r="G6" i="13"/>
  <c r="I5" i="13"/>
  <c r="H5" i="13"/>
  <c r="G5" i="13"/>
  <c r="I4" i="13"/>
  <c r="H4" i="13"/>
  <c r="G4" i="13"/>
  <c r="I3" i="13"/>
  <c r="H3" i="13"/>
  <c r="G3" i="13"/>
  <c r="M6" i="13" l="1"/>
  <c r="M8" i="13" s="1"/>
  <c r="N6" i="13"/>
  <c r="AW8" i="20"/>
  <c r="BA8" i="25"/>
  <c r="AT14" i="20" a="1"/>
  <c r="AT14" i="20" s="1"/>
  <c r="E14" i="20" s="1"/>
  <c r="AT15" i="20" a="1"/>
  <c r="AT15" i="20" s="1"/>
  <c r="E15" i="20" s="1"/>
  <c r="AW10" i="20"/>
  <c r="L6" i="13"/>
  <c r="L12" i="13"/>
  <c r="M12" i="13" s="1"/>
  <c r="M14" i="13" s="1"/>
  <c r="D35" i="11"/>
  <c r="G35" i="11" s="1"/>
  <c r="P55" i="12"/>
  <c r="Q55" i="12" s="1"/>
  <c r="T54" i="12"/>
  <c r="U54" i="12" s="1"/>
  <c r="P54" i="12"/>
  <c r="Q54" i="12" s="1"/>
  <c r="T47" i="12"/>
  <c r="P47" i="12"/>
  <c r="Q47" i="12" s="1"/>
  <c r="P46" i="12"/>
  <c r="T45" i="12"/>
  <c r="T44" i="12"/>
  <c r="T43" i="12"/>
  <c r="T34" i="12"/>
  <c r="P33" i="12"/>
  <c r="Q33" i="12" s="1"/>
  <c r="R33" i="12" s="1"/>
  <c r="P32" i="12"/>
  <c r="T31" i="12"/>
  <c r="U31" i="12" s="1"/>
  <c r="T28" i="12"/>
  <c r="P28" i="12"/>
  <c r="P27" i="12"/>
  <c r="Q27" i="12" s="1"/>
  <c r="P26" i="12"/>
  <c r="T25" i="12"/>
  <c r="U25" i="12" s="1"/>
  <c r="T19" i="12"/>
  <c r="T18" i="12"/>
  <c r="T17" i="12"/>
  <c r="U17" i="12" s="1"/>
  <c r="P14" i="12"/>
  <c r="Q14" i="12" s="1"/>
  <c r="T10" i="12"/>
  <c r="U10" i="12" s="1"/>
  <c r="V10" i="12" s="1"/>
  <c r="P9" i="12"/>
  <c r="T9" i="12"/>
  <c r="P8" i="12"/>
  <c r="Q8" i="12" s="1"/>
  <c r="T7" i="12"/>
  <c r="U7" i="12" s="1"/>
  <c r="T6" i="12"/>
  <c r="U6" i="12" s="1"/>
  <c r="P5" i="12"/>
  <c r="Q5" i="12" s="1"/>
  <c r="P4" i="12"/>
  <c r="M81" i="11"/>
  <c r="L81" i="11"/>
  <c r="M80" i="11"/>
  <c r="L80" i="11"/>
  <c r="M79" i="11"/>
  <c r="L79" i="11"/>
  <c r="D41" i="11"/>
  <c r="G41" i="11" s="1"/>
  <c r="A35" i="11"/>
  <c r="AA27" i="11"/>
  <c r="Y27" i="11"/>
  <c r="U27" i="11"/>
  <c r="T27" i="11"/>
  <c r="S27" i="11"/>
  <c r="R27" i="11"/>
  <c r="AA26" i="11"/>
  <c r="Y26" i="11"/>
  <c r="U26" i="11"/>
  <c r="T26" i="11"/>
  <c r="S26" i="11"/>
  <c r="R26" i="11"/>
  <c r="AA25" i="11"/>
  <c r="Y25" i="11"/>
  <c r="U25" i="11"/>
  <c r="T25" i="11"/>
  <c r="S25" i="11"/>
  <c r="R25" i="11"/>
  <c r="AA24" i="11"/>
  <c r="Y24" i="11"/>
  <c r="U24" i="11"/>
  <c r="T24" i="11"/>
  <c r="S24" i="11"/>
  <c r="R24" i="11"/>
  <c r="AA23" i="11"/>
  <c r="Y23" i="11"/>
  <c r="U23" i="11"/>
  <c r="T23" i="11"/>
  <c r="S23" i="11"/>
  <c r="R23" i="11"/>
  <c r="AA22" i="11"/>
  <c r="Y22" i="11"/>
  <c r="U22" i="11"/>
  <c r="T22" i="11"/>
  <c r="S22" i="11"/>
  <c r="R22" i="11"/>
  <c r="AA21" i="11"/>
  <c r="Y21" i="11"/>
  <c r="U21" i="11"/>
  <c r="T21" i="11"/>
  <c r="S21" i="11"/>
  <c r="R21" i="11"/>
  <c r="AA20" i="11"/>
  <c r="F16" i="11" s="1"/>
  <c r="Y20" i="11"/>
  <c r="U20" i="11"/>
  <c r="T20" i="11"/>
  <c r="S20" i="11"/>
  <c r="R20" i="11"/>
  <c r="B6" i="11"/>
  <c r="G1" i="11"/>
  <c r="B1" i="11"/>
  <c r="AF54" i="11" l="1"/>
  <c r="I36" i="11"/>
  <c r="M7" i="13"/>
  <c r="T62" i="5"/>
  <c r="T60" i="5"/>
  <c r="T56" i="5"/>
  <c r="D56" i="5" s="1"/>
  <c r="T50" i="5"/>
  <c r="D50" i="5" s="1"/>
  <c r="T45" i="5"/>
  <c r="D45" i="5" s="1"/>
  <c r="T59" i="5"/>
  <c r="T52" i="5"/>
  <c r="D52" i="5" s="1"/>
  <c r="T44" i="5"/>
  <c r="D44" i="5" s="1"/>
  <c r="T36" i="5"/>
  <c r="D36" i="5" s="1"/>
  <c r="T47" i="5"/>
  <c r="D47" i="5" s="1"/>
  <c r="T46" i="5"/>
  <c r="D46" i="5" s="1"/>
  <c r="T41" i="5"/>
  <c r="D41" i="5" s="1"/>
  <c r="T32" i="5"/>
  <c r="D32" i="5" s="1"/>
  <c r="T33" i="5"/>
  <c r="D33" i="5" s="1"/>
  <c r="T48" i="5"/>
  <c r="D48" i="5" s="1"/>
  <c r="T58" i="5"/>
  <c r="D58" i="5" s="1"/>
  <c r="T40" i="5"/>
  <c r="D40" i="5" s="1"/>
  <c r="T31" i="5"/>
  <c r="D31" i="5" s="1"/>
  <c r="T54" i="5"/>
  <c r="D54" i="5" s="1"/>
  <c r="T61" i="5"/>
  <c r="T53" i="5"/>
  <c r="D53" i="5" s="1"/>
  <c r="T49" i="5"/>
  <c r="D49" i="5" s="1"/>
  <c r="T38" i="5"/>
  <c r="D38" i="5" s="1"/>
  <c r="T42" i="5"/>
  <c r="D42" i="5" s="1"/>
  <c r="T55" i="5"/>
  <c r="D55" i="5" s="1"/>
  <c r="T39" i="5"/>
  <c r="D39" i="5" s="1"/>
  <c r="T37" i="5"/>
  <c r="D37" i="5" s="1"/>
  <c r="T35" i="5"/>
  <c r="D35" i="5" s="1"/>
  <c r="T34" i="5"/>
  <c r="D34" i="5" s="1"/>
  <c r="DY35" i="11"/>
  <c r="EA35" i="11"/>
  <c r="EM35" i="11"/>
  <c r="EY35" i="11"/>
  <c r="FK35" i="11"/>
  <c r="FW35" i="11"/>
  <c r="GI35" i="11"/>
  <c r="DE35" i="11"/>
  <c r="DQ35" i="11"/>
  <c r="EN35" i="11"/>
  <c r="EZ35" i="11"/>
  <c r="FL35" i="11"/>
  <c r="FX35" i="11"/>
  <c r="DF35" i="11"/>
  <c r="EB35" i="11"/>
  <c r="EC35" i="11"/>
  <c r="EO35" i="11"/>
  <c r="FA35" i="11"/>
  <c r="FM35" i="11"/>
  <c r="FY35" i="11"/>
  <c r="DG35" i="11"/>
  <c r="DV35" i="11"/>
  <c r="DR35" i="11"/>
  <c r="ED35" i="11"/>
  <c r="EP35" i="11"/>
  <c r="FB35" i="11"/>
  <c r="FN35" i="11"/>
  <c r="FZ35" i="11"/>
  <c r="CV35" i="11"/>
  <c r="DH35" i="11"/>
  <c r="DS35" i="11"/>
  <c r="EE35" i="11"/>
  <c r="EQ35" i="11"/>
  <c r="FC35" i="11"/>
  <c r="FO35" i="11"/>
  <c r="GA35" i="11"/>
  <c r="CW35" i="11"/>
  <c r="DI35" i="11"/>
  <c r="EH35" i="11"/>
  <c r="ET35" i="11"/>
  <c r="FF35" i="11"/>
  <c r="FR35" i="11"/>
  <c r="DL35" i="11"/>
  <c r="DT35" i="11"/>
  <c r="EF35" i="11"/>
  <c r="ER35" i="11"/>
  <c r="FD35" i="11"/>
  <c r="FP35" i="11"/>
  <c r="GB35" i="11"/>
  <c r="CX35" i="11"/>
  <c r="DJ35" i="11"/>
  <c r="DU35" i="11"/>
  <c r="EG35" i="11"/>
  <c r="ES35" i="11"/>
  <c r="FE35" i="11"/>
  <c r="FQ35" i="11"/>
  <c r="GC35" i="11"/>
  <c r="CY35" i="11"/>
  <c r="DK35" i="11"/>
  <c r="GD35" i="11"/>
  <c r="CZ35" i="11"/>
  <c r="EL35" i="11"/>
  <c r="FV35" i="11"/>
  <c r="EK35" i="11"/>
  <c r="FU35" i="11"/>
  <c r="EU35" i="11"/>
  <c r="GE35" i="11"/>
  <c r="DA35" i="11"/>
  <c r="GF35" i="11"/>
  <c r="DB35" i="11"/>
  <c r="DW35" i="11"/>
  <c r="FH35" i="11"/>
  <c r="DZ35" i="11"/>
  <c r="EI35" i="11"/>
  <c r="FT35" i="11"/>
  <c r="EV35" i="11"/>
  <c r="EW35" i="11"/>
  <c r="GG35" i="11"/>
  <c r="DC35" i="11"/>
  <c r="FG35" i="11"/>
  <c r="DM35" i="11"/>
  <c r="FJ35" i="11"/>
  <c r="DP35" i="11"/>
  <c r="FS35" i="11"/>
  <c r="EJ35" i="11"/>
  <c r="EX35" i="11"/>
  <c r="GH35" i="11"/>
  <c r="DD35" i="11"/>
  <c r="DN35" i="11"/>
  <c r="DX35" i="11"/>
  <c r="FI35" i="11"/>
  <c r="DO35" i="11"/>
  <c r="DY41" i="11"/>
  <c r="EK41" i="11"/>
  <c r="EW41" i="11"/>
  <c r="FI41" i="11"/>
  <c r="FU41" i="11"/>
  <c r="GG41" i="11"/>
  <c r="DC41" i="11"/>
  <c r="DO41" i="11"/>
  <c r="DZ41" i="11"/>
  <c r="EL41" i="11"/>
  <c r="EX41" i="11"/>
  <c r="FJ41" i="11"/>
  <c r="FV41" i="11"/>
  <c r="GH41" i="11"/>
  <c r="EA41" i="11"/>
  <c r="EM41" i="11"/>
  <c r="EY41" i="11"/>
  <c r="FK41" i="11"/>
  <c r="FW41" i="11"/>
  <c r="GI41" i="11"/>
  <c r="DE41" i="11"/>
  <c r="DQ41" i="11"/>
  <c r="DF41" i="11"/>
  <c r="FP41" i="11"/>
  <c r="EB41" i="11"/>
  <c r="EN41" i="11"/>
  <c r="EZ41" i="11"/>
  <c r="FL41" i="11"/>
  <c r="FX41" i="11"/>
  <c r="ER41" i="11"/>
  <c r="DJ41" i="11"/>
  <c r="EC41" i="11"/>
  <c r="EO41" i="11"/>
  <c r="FA41" i="11"/>
  <c r="FM41" i="11"/>
  <c r="FY41" i="11"/>
  <c r="DG41" i="11"/>
  <c r="EF41" i="11"/>
  <c r="DR41" i="11"/>
  <c r="ED41" i="11"/>
  <c r="EP41" i="11"/>
  <c r="FB41" i="11"/>
  <c r="FN41" i="11"/>
  <c r="FZ41" i="11"/>
  <c r="CV41" i="11"/>
  <c r="DH41" i="11"/>
  <c r="DS41" i="11"/>
  <c r="EE41" i="11"/>
  <c r="EQ41" i="11"/>
  <c r="FC41" i="11"/>
  <c r="FO41" i="11"/>
  <c r="GA41" i="11"/>
  <c r="CW41" i="11"/>
  <c r="DI41" i="11"/>
  <c r="DT41" i="11"/>
  <c r="FD41" i="11"/>
  <c r="GB41" i="11"/>
  <c r="CX41" i="11"/>
  <c r="EV41" i="11"/>
  <c r="GF41" i="11"/>
  <c r="DM41" i="11"/>
  <c r="DL41" i="11"/>
  <c r="DU41" i="11"/>
  <c r="FE41" i="11"/>
  <c r="DN41" i="11"/>
  <c r="DV41" i="11"/>
  <c r="FF41" i="11"/>
  <c r="DP41" i="11"/>
  <c r="FQ41" i="11"/>
  <c r="CY41" i="11"/>
  <c r="FR41" i="11"/>
  <c r="CZ41" i="11"/>
  <c r="EI41" i="11"/>
  <c r="FT41" i="11"/>
  <c r="ES41" i="11"/>
  <c r="DK41" i="11"/>
  <c r="DW41" i="11"/>
  <c r="FG41" i="11"/>
  <c r="EG41" i="11"/>
  <c r="EH41" i="11"/>
  <c r="FS41" i="11"/>
  <c r="EJ41" i="11"/>
  <c r="GC41" i="11"/>
  <c r="DD41" i="11"/>
  <c r="GD41" i="11"/>
  <c r="EU41" i="11"/>
  <c r="DX41" i="11"/>
  <c r="FH41" i="11"/>
  <c r="DA41" i="11"/>
  <c r="DB41" i="11"/>
  <c r="ET41" i="11"/>
  <c r="GE41" i="11"/>
  <c r="DX49" i="11"/>
  <c r="EJ49" i="11"/>
  <c r="EV49" i="11"/>
  <c r="FH49" i="11"/>
  <c r="FT49" i="11"/>
  <c r="GF49" i="11"/>
  <c r="DZ50" i="11"/>
  <c r="EL50" i="11"/>
  <c r="EX50" i="11"/>
  <c r="FJ50" i="11"/>
  <c r="FV50" i="11"/>
  <c r="GH50" i="11"/>
  <c r="EB51" i="11"/>
  <c r="EN51" i="11"/>
  <c r="EZ51" i="11"/>
  <c r="FL51" i="11"/>
  <c r="FX51" i="11"/>
  <c r="DR52" i="11"/>
  <c r="ED52" i="11"/>
  <c r="EP52" i="11"/>
  <c r="FB52" i="11"/>
  <c r="FN52" i="11"/>
  <c r="FZ52" i="11"/>
  <c r="DT53" i="11"/>
  <c r="EF53" i="11"/>
  <c r="ER53" i="11"/>
  <c r="FD53" i="11"/>
  <c r="FP53" i="11"/>
  <c r="GB53" i="11"/>
  <c r="DV54" i="11"/>
  <c r="EH54" i="11"/>
  <c r="ET54" i="11"/>
  <c r="FF54" i="11"/>
  <c r="FR54" i="11"/>
  <c r="GD54" i="11"/>
  <c r="DX55" i="11"/>
  <c r="EJ55" i="11"/>
  <c r="EV55" i="11"/>
  <c r="FH55" i="11"/>
  <c r="FT55" i="11"/>
  <c r="GF55" i="11"/>
  <c r="DZ56" i="11"/>
  <c r="EL56" i="11"/>
  <c r="EX56" i="11"/>
  <c r="FJ56" i="11"/>
  <c r="FV56" i="11"/>
  <c r="GH56" i="11"/>
  <c r="EB57" i="11"/>
  <c r="EN57" i="11"/>
  <c r="EZ57" i="11"/>
  <c r="FL57" i="11"/>
  <c r="FX57" i="11"/>
  <c r="DR58" i="11"/>
  <c r="ED58" i="11"/>
  <c r="EP58" i="11"/>
  <c r="FB58" i="11"/>
  <c r="FN58" i="11"/>
  <c r="FZ58" i="11"/>
  <c r="DT59" i="11"/>
  <c r="EF59" i="11"/>
  <c r="DZ49" i="11"/>
  <c r="EL49" i="11"/>
  <c r="EX49" i="11"/>
  <c r="FJ49" i="11"/>
  <c r="EA49" i="11"/>
  <c r="EM49" i="11"/>
  <c r="EY49" i="11"/>
  <c r="FK49" i="11"/>
  <c r="FW49" i="11"/>
  <c r="GI49" i="11"/>
  <c r="EC50" i="11"/>
  <c r="EO50" i="11"/>
  <c r="FA50" i="11"/>
  <c r="FM50" i="11"/>
  <c r="FY50" i="11"/>
  <c r="DS51" i="11"/>
  <c r="EE51" i="11"/>
  <c r="EQ51" i="11"/>
  <c r="FC51" i="11"/>
  <c r="FO51" i="11"/>
  <c r="GA51" i="11"/>
  <c r="DU52" i="11"/>
  <c r="EG52" i="11"/>
  <c r="ES52" i="11"/>
  <c r="FE52" i="11"/>
  <c r="FQ52" i="11"/>
  <c r="GC52" i="11"/>
  <c r="DW53" i="11"/>
  <c r="EI53" i="11"/>
  <c r="EU53" i="11"/>
  <c r="FG53" i="11"/>
  <c r="FS53" i="11"/>
  <c r="GE53" i="11"/>
  <c r="DY54" i="11"/>
  <c r="EK54" i="11"/>
  <c r="EW54" i="11"/>
  <c r="FI54" i="11"/>
  <c r="FU54" i="11"/>
  <c r="GG54" i="11"/>
  <c r="EA55" i="11"/>
  <c r="EM55" i="11"/>
  <c r="EY55" i="11"/>
  <c r="FK55" i="11"/>
  <c r="FW55" i="11"/>
  <c r="GI55" i="11"/>
  <c r="EC56" i="11"/>
  <c r="EO56" i="11"/>
  <c r="FA56" i="11"/>
  <c r="FM56" i="11"/>
  <c r="FY56" i="11"/>
  <c r="DS57" i="11"/>
  <c r="EE57" i="11"/>
  <c r="EQ57" i="11"/>
  <c r="FC57" i="11"/>
  <c r="FO57" i="11"/>
  <c r="GA57" i="11"/>
  <c r="DU58" i="11"/>
  <c r="EG58" i="11"/>
  <c r="ES58" i="11"/>
  <c r="FE58" i="11"/>
  <c r="FQ58" i="11"/>
  <c r="GC58" i="11"/>
  <c r="DW59" i="11"/>
  <c r="EI59" i="11"/>
  <c r="DT49" i="11"/>
  <c r="EI49" i="11"/>
  <c r="FA49" i="11"/>
  <c r="FP49" i="11"/>
  <c r="GD49" i="11"/>
  <c r="EA50" i="11"/>
  <c r="EP50" i="11"/>
  <c r="FD50" i="11"/>
  <c r="FR50" i="11"/>
  <c r="GF50" i="11"/>
  <c r="EC51" i="11"/>
  <c r="ER51" i="11"/>
  <c r="FF51" i="11"/>
  <c r="FT51" i="11"/>
  <c r="DU49" i="11"/>
  <c r="EK49" i="11"/>
  <c r="FB49" i="11"/>
  <c r="FQ49" i="11"/>
  <c r="GE49" i="11"/>
  <c r="EB50" i="11"/>
  <c r="EQ50" i="11"/>
  <c r="FE50" i="11"/>
  <c r="FS50" i="11"/>
  <c r="GG50" i="11"/>
  <c r="ED51" i="11"/>
  <c r="ES51" i="11"/>
  <c r="FG51" i="11"/>
  <c r="FU51" i="11"/>
  <c r="DV49" i="11"/>
  <c r="EN49" i="11"/>
  <c r="FC49" i="11"/>
  <c r="FR49" i="11"/>
  <c r="GG49" i="11"/>
  <c r="ED50" i="11"/>
  <c r="ER50" i="11"/>
  <c r="FF50" i="11"/>
  <c r="FT50" i="11"/>
  <c r="GI50" i="11"/>
  <c r="EF51" i="11"/>
  <c r="ET51" i="11"/>
  <c r="FH51" i="11"/>
  <c r="DW49" i="11"/>
  <c r="EO49" i="11"/>
  <c r="FD49" i="11"/>
  <c r="FS49" i="11"/>
  <c r="GH49" i="11"/>
  <c r="EE50" i="11"/>
  <c r="ES50" i="11"/>
  <c r="FG50" i="11"/>
  <c r="FU50" i="11"/>
  <c r="DR51" i="11"/>
  <c r="EG51" i="11"/>
  <c r="EU51" i="11"/>
  <c r="FI51" i="11"/>
  <c r="FW51" i="11"/>
  <c r="DT52" i="11"/>
  <c r="EI52" i="11"/>
  <c r="EW52" i="11"/>
  <c r="FK52" i="11"/>
  <c r="FY52" i="11"/>
  <c r="DV53" i="11"/>
  <c r="EK53" i="11"/>
  <c r="EY53" i="11"/>
  <c r="FM53" i="11"/>
  <c r="GA53" i="11"/>
  <c r="DX54" i="11"/>
  <c r="EM54" i="11"/>
  <c r="FA54" i="11"/>
  <c r="FO54" i="11"/>
  <c r="GC54" i="11"/>
  <c r="DZ55" i="11"/>
  <c r="EO55" i="11"/>
  <c r="FC55" i="11"/>
  <c r="FQ55" i="11"/>
  <c r="GE55" i="11"/>
  <c r="EB56" i="11"/>
  <c r="EQ56" i="11"/>
  <c r="FE56" i="11"/>
  <c r="FS56" i="11"/>
  <c r="GG56" i="11"/>
  <c r="ED57" i="11"/>
  <c r="ES57" i="11"/>
  <c r="FG57" i="11"/>
  <c r="FU57" i="11"/>
  <c r="GI57" i="11"/>
  <c r="EF58" i="11"/>
  <c r="EU58" i="11"/>
  <c r="FI58" i="11"/>
  <c r="FW58" i="11"/>
  <c r="DS59" i="11"/>
  <c r="EH59" i="11"/>
  <c r="EU59" i="11"/>
  <c r="FG59" i="11"/>
  <c r="FS59" i="11"/>
  <c r="GE59" i="11"/>
  <c r="DY60" i="11"/>
  <c r="EK60" i="11"/>
  <c r="EW60" i="11"/>
  <c r="FI60" i="11"/>
  <c r="FU60" i="11"/>
  <c r="GG60" i="11"/>
  <c r="EA61" i="11"/>
  <c r="EM61" i="11"/>
  <c r="EY61" i="11"/>
  <c r="FK61" i="11"/>
  <c r="FW61" i="11"/>
  <c r="GI61" i="11"/>
  <c r="EC62" i="11"/>
  <c r="EO62" i="11"/>
  <c r="FA62" i="11"/>
  <c r="FM62" i="11"/>
  <c r="FY62" i="11"/>
  <c r="DS63" i="11"/>
  <c r="EE63" i="11"/>
  <c r="EQ63" i="11"/>
  <c r="FC63" i="11"/>
  <c r="FO63" i="11"/>
  <c r="GA63" i="11"/>
  <c r="DU64" i="11"/>
  <c r="EG64" i="11"/>
  <c r="ES64" i="11"/>
  <c r="FE64" i="11"/>
  <c r="FQ64" i="11"/>
  <c r="GC64" i="11"/>
  <c r="DY49" i="11"/>
  <c r="EP49" i="11"/>
  <c r="FE49" i="11"/>
  <c r="FU49" i="11"/>
  <c r="DR50" i="11"/>
  <c r="EF50" i="11"/>
  <c r="ET50" i="11"/>
  <c r="FH50" i="11"/>
  <c r="FW50" i="11"/>
  <c r="DT51" i="11"/>
  <c r="EH51" i="11"/>
  <c r="EV51" i="11"/>
  <c r="FJ51" i="11"/>
  <c r="EB49" i="11"/>
  <c r="EQ49" i="11"/>
  <c r="FF49" i="11"/>
  <c r="FV49" i="11"/>
  <c r="DS50" i="11"/>
  <c r="EG50" i="11"/>
  <c r="EU50" i="11"/>
  <c r="FI50" i="11"/>
  <c r="FX50" i="11"/>
  <c r="DU51" i="11"/>
  <c r="EI51" i="11"/>
  <c r="EW51" i="11"/>
  <c r="FK51" i="11"/>
  <c r="EC49" i="11"/>
  <c r="ER49" i="11"/>
  <c r="FG49" i="11"/>
  <c r="FX49" i="11"/>
  <c r="DT50" i="11"/>
  <c r="EH50" i="11"/>
  <c r="EV50" i="11"/>
  <c r="FK50" i="11"/>
  <c r="FZ50" i="11"/>
  <c r="DV51" i="11"/>
  <c r="EJ51" i="11"/>
  <c r="EX51" i="11"/>
  <c r="FM51" i="11"/>
  <c r="GB51" i="11"/>
  <c r="DX52" i="11"/>
  <c r="EL52" i="11"/>
  <c r="EZ52" i="11"/>
  <c r="FO52" i="11"/>
  <c r="GD52" i="11"/>
  <c r="DZ53" i="11"/>
  <c r="EN53" i="11"/>
  <c r="FB53" i="11"/>
  <c r="FQ53" i="11"/>
  <c r="GF53" i="11"/>
  <c r="EB54" i="11"/>
  <c r="EP54" i="11"/>
  <c r="FD54" i="11"/>
  <c r="FS54" i="11"/>
  <c r="GH54" i="11"/>
  <c r="ED55" i="11"/>
  <c r="ER55" i="11"/>
  <c r="FF55" i="11"/>
  <c r="FU55" i="11"/>
  <c r="DR56" i="11"/>
  <c r="EF56" i="11"/>
  <c r="ET56" i="11"/>
  <c r="FH56" i="11"/>
  <c r="FW56" i="11"/>
  <c r="DT57" i="11"/>
  <c r="EH57" i="11"/>
  <c r="EV57" i="11"/>
  <c r="FJ57" i="11"/>
  <c r="FY57" i="11"/>
  <c r="DV58" i="11"/>
  <c r="EJ58" i="11"/>
  <c r="EX58" i="11"/>
  <c r="FL58" i="11"/>
  <c r="GA58" i="11"/>
  <c r="DX59" i="11"/>
  <c r="EL59" i="11"/>
  <c r="EX59" i="11"/>
  <c r="FJ59" i="11"/>
  <c r="FV59" i="11"/>
  <c r="GH59" i="11"/>
  <c r="EB60" i="11"/>
  <c r="EN60" i="11"/>
  <c r="EZ60" i="11"/>
  <c r="ED49" i="11"/>
  <c r="ES49" i="11"/>
  <c r="FI49" i="11"/>
  <c r="FY49" i="11"/>
  <c r="DU50" i="11"/>
  <c r="EI50" i="11"/>
  <c r="EW50" i="11"/>
  <c r="FL50" i="11"/>
  <c r="GA50" i="11"/>
  <c r="DW51" i="11"/>
  <c r="EK51" i="11"/>
  <c r="EY51" i="11"/>
  <c r="FN51" i="11"/>
  <c r="GC51" i="11"/>
  <c r="DY52" i="11"/>
  <c r="EM52" i="11"/>
  <c r="FA52" i="11"/>
  <c r="FP52" i="11"/>
  <c r="GE52" i="11"/>
  <c r="EA53" i="11"/>
  <c r="EO53" i="11"/>
  <c r="FC53" i="11"/>
  <c r="FR53" i="11"/>
  <c r="GG53" i="11"/>
  <c r="EC54" i="11"/>
  <c r="EQ54" i="11"/>
  <c r="FE54" i="11"/>
  <c r="FT54" i="11"/>
  <c r="GI54" i="11"/>
  <c r="EE55" i="11"/>
  <c r="ES55" i="11"/>
  <c r="FG55" i="11"/>
  <c r="FV55" i="11"/>
  <c r="DS56" i="11"/>
  <c r="EG56" i="11"/>
  <c r="EU56" i="11"/>
  <c r="FI56" i="11"/>
  <c r="FX56" i="11"/>
  <c r="DU57" i="11"/>
  <c r="EI57" i="11"/>
  <c r="EW57" i="11"/>
  <c r="FK57" i="11"/>
  <c r="FZ57" i="11"/>
  <c r="DW58" i="11"/>
  <c r="EK58" i="11"/>
  <c r="EE49" i="11"/>
  <c r="ET49" i="11"/>
  <c r="FL49" i="11"/>
  <c r="FZ49" i="11"/>
  <c r="DV50" i="11"/>
  <c r="EJ50" i="11"/>
  <c r="EY50" i="11"/>
  <c r="FN50" i="11"/>
  <c r="GB50" i="11"/>
  <c r="DX51" i="11"/>
  <c r="EL51" i="11"/>
  <c r="FA51" i="11"/>
  <c r="FP51" i="11"/>
  <c r="EF49" i="11"/>
  <c r="EU49" i="11"/>
  <c r="FM49" i="11"/>
  <c r="GA49" i="11"/>
  <c r="DW50" i="11"/>
  <c r="EK50" i="11"/>
  <c r="EZ50" i="11"/>
  <c r="FO50" i="11"/>
  <c r="GC50" i="11"/>
  <c r="DY51" i="11"/>
  <c r="EM51" i="11"/>
  <c r="FB51" i="11"/>
  <c r="FQ51" i="11"/>
  <c r="GE51" i="11"/>
  <c r="EA52" i="11"/>
  <c r="EO52" i="11"/>
  <c r="FD52" i="11"/>
  <c r="FS52" i="11"/>
  <c r="GG52" i="11"/>
  <c r="EC53" i="11"/>
  <c r="EQ53" i="11"/>
  <c r="FF53" i="11"/>
  <c r="FU53" i="11"/>
  <c r="GI53" i="11"/>
  <c r="EE54" i="11"/>
  <c r="ES54" i="11"/>
  <c r="FH54" i="11"/>
  <c r="FW54" i="11"/>
  <c r="DS55" i="11"/>
  <c r="EG55" i="11"/>
  <c r="EU55" i="11"/>
  <c r="FJ55" i="11"/>
  <c r="FY55" i="11"/>
  <c r="DU56" i="11"/>
  <c r="EI56" i="11"/>
  <c r="EW56" i="11"/>
  <c r="FL56" i="11"/>
  <c r="GA56" i="11"/>
  <c r="DW57" i="11"/>
  <c r="EK57" i="11"/>
  <c r="EY57" i="11"/>
  <c r="FN57" i="11"/>
  <c r="GC57" i="11"/>
  <c r="DY58" i="11"/>
  <c r="EM58" i="11"/>
  <c r="FA58" i="11"/>
  <c r="FP58" i="11"/>
  <c r="GE58" i="11"/>
  <c r="EA59" i="11"/>
  <c r="EO59" i="11"/>
  <c r="FA59" i="11"/>
  <c r="FM59" i="11"/>
  <c r="FY59" i="11"/>
  <c r="DS60" i="11"/>
  <c r="EE60" i="11"/>
  <c r="EQ60" i="11"/>
  <c r="FC60" i="11"/>
  <c r="FO60" i="11"/>
  <c r="GA60" i="11"/>
  <c r="DU61" i="11"/>
  <c r="EG61" i="11"/>
  <c r="ES61" i="11"/>
  <c r="FE61" i="11"/>
  <c r="FQ61" i="11"/>
  <c r="GC61" i="11"/>
  <c r="DW62" i="11"/>
  <c r="EI62" i="11"/>
  <c r="EU62" i="11"/>
  <c r="FG62" i="11"/>
  <c r="DS49" i="11"/>
  <c r="EH49" i="11"/>
  <c r="EZ49" i="11"/>
  <c r="FO49" i="11"/>
  <c r="GC49" i="11"/>
  <c r="DY50" i="11"/>
  <c r="EN50" i="11"/>
  <c r="FC50" i="11"/>
  <c r="FQ50" i="11"/>
  <c r="GE50" i="11"/>
  <c r="EA51" i="11"/>
  <c r="EP51" i="11"/>
  <c r="FE51" i="11"/>
  <c r="FS51" i="11"/>
  <c r="GG51" i="11"/>
  <c r="EC52" i="11"/>
  <c r="ER52" i="11"/>
  <c r="FG52" i="11"/>
  <c r="FU52" i="11"/>
  <c r="GI52" i="11"/>
  <c r="EE53" i="11"/>
  <c r="ET53" i="11"/>
  <c r="FI53" i="11"/>
  <c r="FW53" i="11"/>
  <c r="DS54" i="11"/>
  <c r="EG54" i="11"/>
  <c r="EV54" i="11"/>
  <c r="FK54" i="11"/>
  <c r="FY54" i="11"/>
  <c r="DU55" i="11"/>
  <c r="EI55" i="11"/>
  <c r="EX55" i="11"/>
  <c r="FM55" i="11"/>
  <c r="GA55" i="11"/>
  <c r="DW56" i="11"/>
  <c r="EK56" i="11"/>
  <c r="EZ56" i="11"/>
  <c r="FO56" i="11"/>
  <c r="GC56" i="11"/>
  <c r="DY57" i="11"/>
  <c r="EM57" i="11"/>
  <c r="FB57" i="11"/>
  <c r="FQ57" i="11"/>
  <c r="GE57" i="11"/>
  <c r="EA58" i="11"/>
  <c r="EO58" i="11"/>
  <c r="FD58" i="11"/>
  <c r="FS58" i="11"/>
  <c r="GG58" i="11"/>
  <c r="EC59" i="11"/>
  <c r="EQ59" i="11"/>
  <c r="FC59" i="11"/>
  <c r="FO59" i="11"/>
  <c r="GA59" i="11"/>
  <c r="DU60" i="11"/>
  <c r="EG60" i="11"/>
  <c r="DR49" i="11"/>
  <c r="FD51" i="11"/>
  <c r="DZ52" i="11"/>
  <c r="EX52" i="11"/>
  <c r="FW52" i="11"/>
  <c r="ED53" i="11"/>
  <c r="FA53" i="11"/>
  <c r="FZ53" i="11"/>
  <c r="EI54" i="11"/>
  <c r="FG54" i="11"/>
  <c r="GE54" i="11"/>
  <c r="EL55" i="11"/>
  <c r="FL55" i="11"/>
  <c r="GH55" i="11"/>
  <c r="EP56" i="11"/>
  <c r="FP56" i="11"/>
  <c r="DV57" i="11"/>
  <c r="ET57" i="11"/>
  <c r="FS57" i="11"/>
  <c r="DZ58" i="11"/>
  <c r="EW58" i="11"/>
  <c r="FT58" i="11"/>
  <c r="DV59" i="11"/>
  <c r="ER59" i="11"/>
  <c r="FI59" i="11"/>
  <c r="GB59" i="11"/>
  <c r="EA60" i="11"/>
  <c r="ES60" i="11"/>
  <c r="FH60" i="11"/>
  <c r="FW60" i="11"/>
  <c r="DS61" i="11"/>
  <c r="EH61" i="11"/>
  <c r="EV61" i="11"/>
  <c r="FJ61" i="11"/>
  <c r="FY61" i="11"/>
  <c r="DU62" i="11"/>
  <c r="EJ62" i="11"/>
  <c r="EX62" i="11"/>
  <c r="FL62" i="11"/>
  <c r="FZ62" i="11"/>
  <c r="DU63" i="11"/>
  <c r="EH63" i="11"/>
  <c r="EU63" i="11"/>
  <c r="FH63" i="11"/>
  <c r="FU63" i="11"/>
  <c r="GH63" i="11"/>
  <c r="EC64" i="11"/>
  <c r="EP64" i="11"/>
  <c r="FC64" i="11"/>
  <c r="FP64" i="11"/>
  <c r="GD64" i="11"/>
  <c r="FN55" i="11"/>
  <c r="EY58" i="11"/>
  <c r="FK59" i="11"/>
  <c r="ET60" i="11"/>
  <c r="DT61" i="11"/>
  <c r="FL61" i="11"/>
  <c r="DV62" i="11"/>
  <c r="EY62" i="11"/>
  <c r="DV63" i="11"/>
  <c r="EV63" i="11"/>
  <c r="FV63" i="11"/>
  <c r="EQ64" i="11"/>
  <c r="FR64" i="11"/>
  <c r="EE64" i="11"/>
  <c r="DU59" i="11"/>
  <c r="EU61" i="11"/>
  <c r="FX62" i="11"/>
  <c r="FB64" i="11"/>
  <c r="EG49" i="11"/>
  <c r="FR51" i="11"/>
  <c r="EB52" i="11"/>
  <c r="EY52" i="11"/>
  <c r="FX52" i="11"/>
  <c r="EG53" i="11"/>
  <c r="FE53" i="11"/>
  <c r="GC53" i="11"/>
  <c r="EJ54" i="11"/>
  <c r="FJ54" i="11"/>
  <c r="GF54" i="11"/>
  <c r="EN55" i="11"/>
  <c r="DT56" i="11"/>
  <c r="ER56" i="11"/>
  <c r="FQ56" i="11"/>
  <c r="DX57" i="11"/>
  <c r="EU57" i="11"/>
  <c r="FT57" i="11"/>
  <c r="EB58" i="11"/>
  <c r="FU58" i="11"/>
  <c r="DY59" i="11"/>
  <c r="ES59" i="11"/>
  <c r="GC59" i="11"/>
  <c r="EC60" i="11"/>
  <c r="FJ60" i="11"/>
  <c r="FX60" i="11"/>
  <c r="EI61" i="11"/>
  <c r="EW61" i="11"/>
  <c r="FZ61" i="11"/>
  <c r="EK62" i="11"/>
  <c r="FN62" i="11"/>
  <c r="GA62" i="11"/>
  <c r="EI63" i="11"/>
  <c r="FI63" i="11"/>
  <c r="GI63" i="11"/>
  <c r="ED64" i="11"/>
  <c r="FD64" i="11"/>
  <c r="GE64" i="11"/>
  <c r="FF64" i="11"/>
  <c r="EP59" i="11"/>
  <c r="FI61" i="11"/>
  <c r="EG63" i="11"/>
  <c r="FO64" i="11"/>
  <c r="EW49" i="11"/>
  <c r="FV51" i="11"/>
  <c r="EE52" i="11"/>
  <c r="FC52" i="11"/>
  <c r="GA52" i="11"/>
  <c r="EH53" i="11"/>
  <c r="FH53" i="11"/>
  <c r="GD53" i="11"/>
  <c r="EL54" i="11"/>
  <c r="FL54" i="11"/>
  <c r="DR55" i="11"/>
  <c r="EP55" i="11"/>
  <c r="FO55" i="11"/>
  <c r="DV56" i="11"/>
  <c r="ES56" i="11"/>
  <c r="FR56" i="11"/>
  <c r="DZ57" i="11"/>
  <c r="EX57" i="11"/>
  <c r="FV57" i="11"/>
  <c r="EC58" i="11"/>
  <c r="EZ58" i="11"/>
  <c r="FV58" i="11"/>
  <c r="DZ59" i="11"/>
  <c r="ET59" i="11"/>
  <c r="FL59" i="11"/>
  <c r="GD59" i="11"/>
  <c r="ED60" i="11"/>
  <c r="EU60" i="11"/>
  <c r="FK60" i="11"/>
  <c r="FY60" i="11"/>
  <c r="DV61" i="11"/>
  <c r="EJ61" i="11"/>
  <c r="EX61" i="11"/>
  <c r="FM61" i="11"/>
  <c r="GA61" i="11"/>
  <c r="DX62" i="11"/>
  <c r="EL62" i="11"/>
  <c r="EZ62" i="11"/>
  <c r="FO62" i="11"/>
  <c r="GB62" i="11"/>
  <c r="DW63" i="11"/>
  <c r="EJ63" i="11"/>
  <c r="EW63" i="11"/>
  <c r="FJ63" i="11"/>
  <c r="FW63" i="11"/>
  <c r="DR64" i="11"/>
  <c r="ER64" i="11"/>
  <c r="FS64" i="11"/>
  <c r="GF64" i="11"/>
  <c r="DX58" i="11"/>
  <c r="FK62" i="11"/>
  <c r="FN49" i="11"/>
  <c r="FY51" i="11"/>
  <c r="EF52" i="11"/>
  <c r="FF52" i="11"/>
  <c r="GB52" i="11"/>
  <c r="EJ53" i="11"/>
  <c r="FJ53" i="11"/>
  <c r="GH53" i="11"/>
  <c r="EN54" i="11"/>
  <c r="FM54" i="11"/>
  <c r="DT55" i="11"/>
  <c r="EQ55" i="11"/>
  <c r="FP55" i="11"/>
  <c r="DX56" i="11"/>
  <c r="EV56" i="11"/>
  <c r="FT56" i="11"/>
  <c r="EA57" i="11"/>
  <c r="FA57" i="11"/>
  <c r="FW57" i="11"/>
  <c r="EE58" i="11"/>
  <c r="FC58" i="11"/>
  <c r="FX58" i="11"/>
  <c r="EB59" i="11"/>
  <c r="EV59" i="11"/>
  <c r="FN59" i="11"/>
  <c r="GF59" i="11"/>
  <c r="EF60" i="11"/>
  <c r="EV60" i="11"/>
  <c r="FL60" i="11"/>
  <c r="FZ60" i="11"/>
  <c r="DW61" i="11"/>
  <c r="EK61" i="11"/>
  <c r="EZ61" i="11"/>
  <c r="FN61" i="11"/>
  <c r="GB61" i="11"/>
  <c r="DY62" i="11"/>
  <c r="EM62" i="11"/>
  <c r="FB62" i="11"/>
  <c r="FP62" i="11"/>
  <c r="GC62" i="11"/>
  <c r="DX63" i="11"/>
  <c r="EK63" i="11"/>
  <c r="EX63" i="11"/>
  <c r="FK63" i="11"/>
  <c r="FX63" i="11"/>
  <c r="DS64" i="11"/>
  <c r="EF64" i="11"/>
  <c r="ET64" i="11"/>
  <c r="FG64" i="11"/>
  <c r="FT64" i="11"/>
  <c r="GG64" i="11"/>
  <c r="FR58" i="11"/>
  <c r="EF61" i="11"/>
  <c r="ET63" i="11"/>
  <c r="GB49" i="11"/>
  <c r="FZ51" i="11"/>
  <c r="EH52" i="11"/>
  <c r="FH52" i="11"/>
  <c r="GF52" i="11"/>
  <c r="EL53" i="11"/>
  <c r="FK53" i="11"/>
  <c r="DR54" i="11"/>
  <c r="EO54" i="11"/>
  <c r="FN54" i="11"/>
  <c r="DV55" i="11"/>
  <c r="ET55" i="11"/>
  <c r="FR55" i="11"/>
  <c r="DY56" i="11"/>
  <c r="EY56" i="11"/>
  <c r="FU56" i="11"/>
  <c r="EC57" i="11"/>
  <c r="FD57" i="11"/>
  <c r="GB57" i="11"/>
  <c r="EH58" i="11"/>
  <c r="FF58" i="11"/>
  <c r="FY58" i="11"/>
  <c r="ED59" i="11"/>
  <c r="EW59" i="11"/>
  <c r="FP59" i="11"/>
  <c r="GG59" i="11"/>
  <c r="EH60" i="11"/>
  <c r="EX60" i="11"/>
  <c r="FM60" i="11"/>
  <c r="GB60" i="11"/>
  <c r="DX61" i="11"/>
  <c r="EL61" i="11"/>
  <c r="FA61" i="11"/>
  <c r="FO61" i="11"/>
  <c r="GD61" i="11"/>
  <c r="DZ62" i="11"/>
  <c r="EN62" i="11"/>
  <c r="FC62" i="11"/>
  <c r="FQ62" i="11"/>
  <c r="GD62" i="11"/>
  <c r="DY63" i="11"/>
  <c r="EL63" i="11"/>
  <c r="EY63" i="11"/>
  <c r="FL63" i="11"/>
  <c r="FY63" i="11"/>
  <c r="DT64" i="11"/>
  <c r="EH64" i="11"/>
  <c r="EU64" i="11"/>
  <c r="FH64" i="11"/>
  <c r="FU64" i="11"/>
  <c r="GH64" i="11"/>
  <c r="DW55" i="11"/>
  <c r="FE57" i="11"/>
  <c r="GB58" i="11"/>
  <c r="FQ59" i="11"/>
  <c r="EI60" i="11"/>
  <c r="FN60" i="11"/>
  <c r="DY61" i="11"/>
  <c r="FB61" i="11"/>
  <c r="GE61" i="11"/>
  <c r="FD62" i="11"/>
  <c r="DZ63" i="11"/>
  <c r="FM63" i="11"/>
  <c r="DV64" i="11"/>
  <c r="EV64" i="11"/>
  <c r="FV64" i="11"/>
  <c r="FZ64" i="11"/>
  <c r="FR57" i="11"/>
  <c r="GG63" i="11"/>
  <c r="DX50" i="11"/>
  <c r="GD51" i="11"/>
  <c r="EJ52" i="11"/>
  <c r="FI52" i="11"/>
  <c r="GH52" i="11"/>
  <c r="EM53" i="11"/>
  <c r="FL53" i="11"/>
  <c r="DT54" i="11"/>
  <c r="ER54" i="11"/>
  <c r="FP54" i="11"/>
  <c r="EW55" i="11"/>
  <c r="FS55" i="11"/>
  <c r="EA56" i="11"/>
  <c r="FB56" i="11"/>
  <c r="FZ56" i="11"/>
  <c r="EF57" i="11"/>
  <c r="GD57" i="11"/>
  <c r="EI58" i="11"/>
  <c r="FG58" i="11"/>
  <c r="EE59" i="11"/>
  <c r="EY59" i="11"/>
  <c r="GI59" i="11"/>
  <c r="EY60" i="11"/>
  <c r="GC60" i="11"/>
  <c r="EN61" i="11"/>
  <c r="FP61" i="11"/>
  <c r="EA62" i="11"/>
  <c r="EP62" i="11"/>
  <c r="FR62" i="11"/>
  <c r="GE62" i="11"/>
  <c r="EM63" i="11"/>
  <c r="EZ63" i="11"/>
  <c r="FZ63" i="11"/>
  <c r="EI64" i="11"/>
  <c r="FI64" i="11"/>
  <c r="GI64" i="11"/>
  <c r="FM64" i="11"/>
  <c r="EN56" i="11"/>
  <c r="DT63" i="11"/>
  <c r="EM50" i="11"/>
  <c r="GF51" i="11"/>
  <c r="EK52" i="11"/>
  <c r="FJ52" i="11"/>
  <c r="DR53" i="11"/>
  <c r="EP53" i="11"/>
  <c r="FN53" i="11"/>
  <c r="DU54" i="11"/>
  <c r="EU54" i="11"/>
  <c r="FQ54" i="11"/>
  <c r="DY55" i="11"/>
  <c r="EZ55" i="11"/>
  <c r="FX55" i="11"/>
  <c r="ED56" i="11"/>
  <c r="FC56" i="11"/>
  <c r="GB56" i="11"/>
  <c r="EG57" i="11"/>
  <c r="FF57" i="11"/>
  <c r="GF57" i="11"/>
  <c r="EL58" i="11"/>
  <c r="FH58" i="11"/>
  <c r="GD58" i="11"/>
  <c r="EG59" i="11"/>
  <c r="EZ59" i="11"/>
  <c r="FR59" i="11"/>
  <c r="DR60" i="11"/>
  <c r="EJ60" i="11"/>
  <c r="FA60" i="11"/>
  <c r="FP60" i="11"/>
  <c r="GD60" i="11"/>
  <c r="DZ61" i="11"/>
  <c r="EO61" i="11"/>
  <c r="FC61" i="11"/>
  <c r="FR61" i="11"/>
  <c r="GF61" i="11"/>
  <c r="EB62" i="11"/>
  <c r="EQ62" i="11"/>
  <c r="FE62" i="11"/>
  <c r="FS62" i="11"/>
  <c r="GF62" i="11"/>
  <c r="EA63" i="11"/>
  <c r="EN63" i="11"/>
  <c r="FA63" i="11"/>
  <c r="FN63" i="11"/>
  <c r="GB63" i="11"/>
  <c r="DW64" i="11"/>
  <c r="EJ64" i="11"/>
  <c r="EW64" i="11"/>
  <c r="FJ64" i="11"/>
  <c r="FW64" i="11"/>
  <c r="FD61" i="11"/>
  <c r="EO63" i="11"/>
  <c r="GC63" i="11"/>
  <c r="DX64" i="11"/>
  <c r="EX64" i="11"/>
  <c r="FK64" i="11"/>
  <c r="FB55" i="11"/>
  <c r="FR60" i="11"/>
  <c r="ES62" i="11"/>
  <c r="EP63" i="11"/>
  <c r="EY64" i="11"/>
  <c r="EZ64" i="11"/>
  <c r="FI55" i="11"/>
  <c r="EH62" i="11"/>
  <c r="FB50" i="11"/>
  <c r="GH51" i="11"/>
  <c r="EN52" i="11"/>
  <c r="FL52" i="11"/>
  <c r="DS53" i="11"/>
  <c r="ES53" i="11"/>
  <c r="FO53" i="11"/>
  <c r="DW54" i="11"/>
  <c r="EX54" i="11"/>
  <c r="FV54" i="11"/>
  <c r="EB55" i="11"/>
  <c r="FA55" i="11"/>
  <c r="FZ55" i="11"/>
  <c r="EE56" i="11"/>
  <c r="FD56" i="11"/>
  <c r="GD56" i="11"/>
  <c r="EJ57" i="11"/>
  <c r="FH57" i="11"/>
  <c r="GG57" i="11"/>
  <c r="EN58" i="11"/>
  <c r="FJ58" i="11"/>
  <c r="GF58" i="11"/>
  <c r="EJ59" i="11"/>
  <c r="FB59" i="11"/>
  <c r="FT59" i="11"/>
  <c r="DT60" i="11"/>
  <c r="EL60" i="11"/>
  <c r="FB60" i="11"/>
  <c r="FQ60" i="11"/>
  <c r="GE60" i="11"/>
  <c r="EB61" i="11"/>
  <c r="EP61" i="11"/>
  <c r="FS61" i="11"/>
  <c r="GG61" i="11"/>
  <c r="ED62" i="11"/>
  <c r="ER62" i="11"/>
  <c r="FF62" i="11"/>
  <c r="FT62" i="11"/>
  <c r="GG62" i="11"/>
  <c r="EB63" i="11"/>
  <c r="FB63" i="11"/>
  <c r="FP63" i="11"/>
  <c r="EK64" i="11"/>
  <c r="FX64" i="11"/>
  <c r="FF56" i="11"/>
  <c r="GF60" i="11"/>
  <c r="EE62" i="11"/>
  <c r="GH62" i="11"/>
  <c r="FQ63" i="11"/>
  <c r="DY64" i="11"/>
  <c r="FL64" i="11"/>
  <c r="DR57" i="11"/>
  <c r="FG63" i="11"/>
  <c r="FP50" i="11"/>
  <c r="GI51" i="11"/>
  <c r="EQ52" i="11"/>
  <c r="FM52" i="11"/>
  <c r="DU53" i="11"/>
  <c r="EV53" i="11"/>
  <c r="FT53" i="11"/>
  <c r="DZ54" i="11"/>
  <c r="EY54" i="11"/>
  <c r="FX54" i="11"/>
  <c r="EC55" i="11"/>
  <c r="GB55" i="11"/>
  <c r="EH56" i="11"/>
  <c r="GE56" i="11"/>
  <c r="EL57" i="11"/>
  <c r="FI57" i="11"/>
  <c r="GH57" i="11"/>
  <c r="EQ58" i="11"/>
  <c r="FK58" i="11"/>
  <c r="GH58" i="11"/>
  <c r="EK59" i="11"/>
  <c r="FD59" i="11"/>
  <c r="FU59" i="11"/>
  <c r="DV60" i="11"/>
  <c r="EM60" i="11"/>
  <c r="FD60" i="11"/>
  <c r="EC61" i="11"/>
  <c r="EQ61" i="11"/>
  <c r="FF61" i="11"/>
  <c r="FT61" i="11"/>
  <c r="GH61" i="11"/>
  <c r="FH62" i="11"/>
  <c r="FU62" i="11"/>
  <c r="EC63" i="11"/>
  <c r="FD63" i="11"/>
  <c r="GD63" i="11"/>
  <c r="EL64" i="11"/>
  <c r="FY64" i="11"/>
  <c r="GG55" i="11"/>
  <c r="EB64" i="11"/>
  <c r="GD50" i="11"/>
  <c r="DS52" i="11"/>
  <c r="ET52" i="11"/>
  <c r="FR52" i="11"/>
  <c r="DX53" i="11"/>
  <c r="EW53" i="11"/>
  <c r="FV53" i="11"/>
  <c r="EA54" i="11"/>
  <c r="EZ54" i="11"/>
  <c r="FZ54" i="11"/>
  <c r="EF55" i="11"/>
  <c r="FD55" i="11"/>
  <c r="GC55" i="11"/>
  <c r="EJ56" i="11"/>
  <c r="FG56" i="11"/>
  <c r="GF56" i="11"/>
  <c r="EO57" i="11"/>
  <c r="FM57" i="11"/>
  <c r="DS58" i="11"/>
  <c r="ER58" i="11"/>
  <c r="FM58" i="11"/>
  <c r="GI58" i="11"/>
  <c r="EM59" i="11"/>
  <c r="FE59" i="11"/>
  <c r="FW59" i="11"/>
  <c r="DW60" i="11"/>
  <c r="EO60" i="11"/>
  <c r="FE60" i="11"/>
  <c r="FS60" i="11"/>
  <c r="GH60" i="11"/>
  <c r="ED61" i="11"/>
  <c r="ER61" i="11"/>
  <c r="FG61" i="11"/>
  <c r="FU61" i="11"/>
  <c r="DR62" i="11"/>
  <c r="EF62" i="11"/>
  <c r="ET62" i="11"/>
  <c r="FI62" i="11"/>
  <c r="FV62" i="11"/>
  <c r="GI62" i="11"/>
  <c r="ED63" i="11"/>
  <c r="ER63" i="11"/>
  <c r="FE63" i="11"/>
  <c r="FR63" i="11"/>
  <c r="GE63" i="11"/>
  <c r="DZ64" i="11"/>
  <c r="EM64" i="11"/>
  <c r="ER57" i="11"/>
  <c r="DT62" i="11"/>
  <c r="GB64" i="11"/>
  <c r="DZ51" i="11"/>
  <c r="DV52" i="11"/>
  <c r="EU52" i="11"/>
  <c r="FT52" i="11"/>
  <c r="DY53" i="11"/>
  <c r="EX53" i="11"/>
  <c r="FX53" i="11"/>
  <c r="ED54" i="11"/>
  <c r="FB54" i="11"/>
  <c r="GA54" i="11"/>
  <c r="EH55" i="11"/>
  <c r="FE55" i="11"/>
  <c r="GD55" i="11"/>
  <c r="EM56" i="11"/>
  <c r="FK56" i="11"/>
  <c r="GI56" i="11"/>
  <c r="EP57" i="11"/>
  <c r="FP57" i="11"/>
  <c r="DT58" i="11"/>
  <c r="ET58" i="11"/>
  <c r="FO58" i="11"/>
  <c r="DR59" i="11"/>
  <c r="EN59" i="11"/>
  <c r="FF59" i="11"/>
  <c r="FX59" i="11"/>
  <c r="DX60" i="11"/>
  <c r="EP60" i="11"/>
  <c r="FF60" i="11"/>
  <c r="FT60" i="11"/>
  <c r="GI60" i="11"/>
  <c r="EE61" i="11"/>
  <c r="ET61" i="11"/>
  <c r="FH61" i="11"/>
  <c r="FV61" i="11"/>
  <c r="DS62" i="11"/>
  <c r="EG62" i="11"/>
  <c r="EV62" i="11"/>
  <c r="FJ62" i="11"/>
  <c r="FW62" i="11"/>
  <c r="DR63" i="11"/>
  <c r="EF63" i="11"/>
  <c r="ES63" i="11"/>
  <c r="FF63" i="11"/>
  <c r="FS63" i="11"/>
  <c r="GF63" i="11"/>
  <c r="EA64" i="11"/>
  <c r="EN64" i="11"/>
  <c r="FA64" i="11"/>
  <c r="FN64" i="11"/>
  <c r="GA64" i="11"/>
  <c r="EO51" i="11"/>
  <c r="DW52" i="11"/>
  <c r="EV52" i="11"/>
  <c r="FV52" i="11"/>
  <c r="EB53" i="11"/>
  <c r="EZ53" i="11"/>
  <c r="FY53" i="11"/>
  <c r="EF54" i="11"/>
  <c r="FC54" i="11"/>
  <c r="GB54" i="11"/>
  <c r="EK55" i="11"/>
  <c r="FN56" i="11"/>
  <c r="EV58" i="11"/>
  <c r="FH59" i="11"/>
  <c r="FZ59" i="11"/>
  <c r="DZ60" i="11"/>
  <c r="ER60" i="11"/>
  <c r="FG60" i="11"/>
  <c r="FV60" i="11"/>
  <c r="DR61" i="11"/>
  <c r="FX61" i="11"/>
  <c r="EW62" i="11"/>
  <c r="FT63" i="11"/>
  <c r="EO64" i="11"/>
  <c r="D44" i="11"/>
  <c r="G44" i="11" s="1"/>
  <c r="DA49" i="11"/>
  <c r="DM49" i="11"/>
  <c r="DC50" i="11"/>
  <c r="DO50" i="11"/>
  <c r="DE51" i="11"/>
  <c r="DQ51" i="11"/>
  <c r="DG52" i="11"/>
  <c r="CW53" i="11"/>
  <c r="DI53" i="11"/>
  <c r="CY54" i="11"/>
  <c r="DK54" i="11"/>
  <c r="DA55" i="11"/>
  <c r="DM55" i="11"/>
  <c r="DC56" i="11"/>
  <c r="DO56" i="11"/>
  <c r="DE57" i="11"/>
  <c r="DQ57" i="11"/>
  <c r="DG58" i="11"/>
  <c r="CW59" i="11"/>
  <c r="DI59" i="11"/>
  <c r="CY60" i="11"/>
  <c r="DK60" i="11"/>
  <c r="DA61" i="11"/>
  <c r="DM61" i="11"/>
  <c r="DC62" i="11"/>
  <c r="DO62" i="11"/>
  <c r="DE63" i="11"/>
  <c r="DQ63" i="11"/>
  <c r="DG64" i="11"/>
  <c r="DE50" i="11"/>
  <c r="DI52" i="11"/>
  <c r="DO55" i="11"/>
  <c r="DG57" i="11"/>
  <c r="CY59" i="11"/>
  <c r="DO61" i="11"/>
  <c r="DG63" i="11"/>
  <c r="DB49" i="11"/>
  <c r="DN49" i="11"/>
  <c r="DD50" i="11"/>
  <c r="DP50" i="11"/>
  <c r="DF51" i="11"/>
  <c r="CV52" i="11"/>
  <c r="DH52" i="11"/>
  <c r="CX53" i="11"/>
  <c r="DJ53" i="11"/>
  <c r="CZ54" i="11"/>
  <c r="DL54" i="11"/>
  <c r="DB55" i="11"/>
  <c r="DN55" i="11"/>
  <c r="DD56" i="11"/>
  <c r="DP56" i="11"/>
  <c r="DF57" i="11"/>
  <c r="CV58" i="11"/>
  <c r="DH58" i="11"/>
  <c r="CX59" i="11"/>
  <c r="DJ59" i="11"/>
  <c r="CZ60" i="11"/>
  <c r="DL60" i="11"/>
  <c r="DB61" i="11"/>
  <c r="DN61" i="11"/>
  <c r="DD62" i="11"/>
  <c r="DP62" i="11"/>
  <c r="DF63" i="11"/>
  <c r="CV64" i="11"/>
  <c r="DH64" i="11"/>
  <c r="DC49" i="11"/>
  <c r="DO49" i="11"/>
  <c r="DG51" i="11"/>
  <c r="CY53" i="11"/>
  <c r="DC55" i="11"/>
  <c r="DE56" i="11"/>
  <c r="CW58" i="11"/>
  <c r="DC61" i="11"/>
  <c r="DD49" i="11"/>
  <c r="DP49" i="11"/>
  <c r="DF50" i="11"/>
  <c r="CV51" i="11"/>
  <c r="DH51" i="11"/>
  <c r="CX52" i="11"/>
  <c r="DJ52" i="11"/>
  <c r="CZ53" i="11"/>
  <c r="DL53" i="11"/>
  <c r="DB54" i="11"/>
  <c r="DN54" i="11"/>
  <c r="DD55" i="11"/>
  <c r="DP55" i="11"/>
  <c r="DF56" i="11"/>
  <c r="CV57" i="11"/>
  <c r="DH57" i="11"/>
  <c r="CX58" i="11"/>
  <c r="DJ58" i="11"/>
  <c r="CZ59" i="11"/>
  <c r="DL59" i="11"/>
  <c r="DB60" i="11"/>
  <c r="DN60" i="11"/>
  <c r="DD61" i="11"/>
  <c r="DP61" i="11"/>
  <c r="DF62" i="11"/>
  <c r="CV63" i="11"/>
  <c r="DH63" i="11"/>
  <c r="CX64" i="11"/>
  <c r="DJ64" i="11"/>
  <c r="DE49" i="11"/>
  <c r="DQ49" i="11"/>
  <c r="DG50" i="11"/>
  <c r="CW51" i="11"/>
  <c r="DI51" i="11"/>
  <c r="CY52" i="11"/>
  <c r="DK52" i="11"/>
  <c r="DA53" i="11"/>
  <c r="DM53" i="11"/>
  <c r="DC54" i="11"/>
  <c r="DO54" i="11"/>
  <c r="DE55" i="11"/>
  <c r="DQ55" i="11"/>
  <c r="DG56" i="11"/>
  <c r="CW57" i="11"/>
  <c r="DI57" i="11"/>
  <c r="CY58" i="11"/>
  <c r="DK58" i="11"/>
  <c r="DA59" i="11"/>
  <c r="DM59" i="11"/>
  <c r="DC60" i="11"/>
  <c r="DO60" i="11"/>
  <c r="DE61" i="11"/>
  <c r="DQ61" i="11"/>
  <c r="DG62" i="11"/>
  <c r="CW63" i="11"/>
  <c r="DI63" i="11"/>
  <c r="CY64" i="11"/>
  <c r="DK64" i="11"/>
  <c r="DF49" i="11"/>
  <c r="CV50" i="11"/>
  <c r="DH50" i="11"/>
  <c r="CX51" i="11"/>
  <c r="DJ51" i="11"/>
  <c r="CZ52" i="11"/>
  <c r="DL52" i="11"/>
  <c r="DB53" i="11"/>
  <c r="DN53" i="11"/>
  <c r="DD54" i="11"/>
  <c r="DP54" i="11"/>
  <c r="DF55" i="11"/>
  <c r="CV56" i="11"/>
  <c r="DH56" i="11"/>
  <c r="CX57" i="11"/>
  <c r="DJ57" i="11"/>
  <c r="CZ58" i="11"/>
  <c r="DL58" i="11"/>
  <c r="DB59" i="11"/>
  <c r="DN59" i="11"/>
  <c r="DD60" i="11"/>
  <c r="DP60" i="11"/>
  <c r="DF61" i="11"/>
  <c r="CV62" i="11"/>
  <c r="DH62" i="11"/>
  <c r="CX63" i="11"/>
  <c r="DJ63" i="11"/>
  <c r="CZ64" i="11"/>
  <c r="DL64" i="11"/>
  <c r="DD58" i="11"/>
  <c r="CX61" i="11"/>
  <c r="DN63" i="11"/>
  <c r="DM54" i="11"/>
  <c r="DA60" i="11"/>
  <c r="DG49" i="11"/>
  <c r="CW50" i="11"/>
  <c r="DI50" i="11"/>
  <c r="CY51" i="11"/>
  <c r="DK51" i="11"/>
  <c r="DA52" i="11"/>
  <c r="DM52" i="11"/>
  <c r="DC53" i="11"/>
  <c r="DO53" i="11"/>
  <c r="DE54" i="11"/>
  <c r="DQ54" i="11"/>
  <c r="DG55" i="11"/>
  <c r="CW56" i="11"/>
  <c r="DI56" i="11"/>
  <c r="CY57" i="11"/>
  <c r="DK57" i="11"/>
  <c r="DA58" i="11"/>
  <c r="DM58" i="11"/>
  <c r="DC59" i="11"/>
  <c r="DO59" i="11"/>
  <c r="DE60" i="11"/>
  <c r="DQ60" i="11"/>
  <c r="DG61" i="11"/>
  <c r="CW62" i="11"/>
  <c r="DI62" i="11"/>
  <c r="CY63" i="11"/>
  <c r="DK63" i="11"/>
  <c r="DA64" i="11"/>
  <c r="DM64" i="11"/>
  <c r="DF59" i="11"/>
  <c r="CZ62" i="11"/>
  <c r="DP64" i="11"/>
  <c r="DQ50" i="11"/>
  <c r="DQ56" i="11"/>
  <c r="DK59" i="11"/>
  <c r="DE62" i="11"/>
  <c r="CW64" i="11"/>
  <c r="CV49" i="11"/>
  <c r="DH49" i="11"/>
  <c r="CX50" i="11"/>
  <c r="DJ50" i="11"/>
  <c r="CZ51" i="11"/>
  <c r="DL51" i="11"/>
  <c r="DB52" i="11"/>
  <c r="DN52" i="11"/>
  <c r="DD53" i="11"/>
  <c r="DP53" i="11"/>
  <c r="DF54" i="11"/>
  <c r="CV55" i="11"/>
  <c r="DH55" i="11"/>
  <c r="CX56" i="11"/>
  <c r="DJ56" i="11"/>
  <c r="CZ57" i="11"/>
  <c r="DL57" i="11"/>
  <c r="DB58" i="11"/>
  <c r="DN58" i="11"/>
  <c r="DD59" i="11"/>
  <c r="DP59" i="11"/>
  <c r="DF60" i="11"/>
  <c r="CV61" i="11"/>
  <c r="DH61" i="11"/>
  <c r="CX62" i="11"/>
  <c r="DJ62" i="11"/>
  <c r="CZ63" i="11"/>
  <c r="DL63" i="11"/>
  <c r="DB64" i="11"/>
  <c r="DN64" i="11"/>
  <c r="CV60" i="11"/>
  <c r="DD64" i="11"/>
  <c r="CW52" i="11"/>
  <c r="DI58" i="11"/>
  <c r="CW49" i="11"/>
  <c r="DI49" i="11"/>
  <c r="CY50" i="11"/>
  <c r="DK50" i="11"/>
  <c r="DA51" i="11"/>
  <c r="DM51" i="11"/>
  <c r="DC52" i="11"/>
  <c r="DO52" i="11"/>
  <c r="DE53" i="11"/>
  <c r="DQ53" i="11"/>
  <c r="DG54" i="11"/>
  <c r="CW55" i="11"/>
  <c r="DI55" i="11"/>
  <c r="CY56" i="11"/>
  <c r="DK56" i="11"/>
  <c r="DA57" i="11"/>
  <c r="DM57" i="11"/>
  <c r="DC58" i="11"/>
  <c r="DO58" i="11"/>
  <c r="DE59" i="11"/>
  <c r="DQ59" i="11"/>
  <c r="DG60" i="11"/>
  <c r="CW61" i="11"/>
  <c r="DI61" i="11"/>
  <c r="CY62" i="11"/>
  <c r="DK62" i="11"/>
  <c r="DA63" i="11"/>
  <c r="DM63" i="11"/>
  <c r="DC64" i="11"/>
  <c r="DO64" i="11"/>
  <c r="DL62" i="11"/>
  <c r="DA54" i="11"/>
  <c r="DM60" i="11"/>
  <c r="DI64" i="11"/>
  <c r="CX49" i="11"/>
  <c r="DJ49" i="11"/>
  <c r="CZ50" i="11"/>
  <c r="DL50" i="11"/>
  <c r="DB51" i="11"/>
  <c r="DN51" i="11"/>
  <c r="DD52" i="11"/>
  <c r="DP52" i="11"/>
  <c r="DF53" i="11"/>
  <c r="CV54" i="11"/>
  <c r="DH54" i="11"/>
  <c r="CX55" i="11"/>
  <c r="DJ55" i="11"/>
  <c r="CZ56" i="11"/>
  <c r="DL56" i="11"/>
  <c r="DB57" i="11"/>
  <c r="DN57" i="11"/>
  <c r="DP58" i="11"/>
  <c r="DH60" i="11"/>
  <c r="DJ61" i="11"/>
  <c r="DB63" i="11"/>
  <c r="CY49" i="11"/>
  <c r="DK49" i="11"/>
  <c r="DA50" i="11"/>
  <c r="DM50" i="11"/>
  <c r="DC51" i="11"/>
  <c r="DO51" i="11"/>
  <c r="DE52" i="11"/>
  <c r="DQ52" i="11"/>
  <c r="DG53" i="11"/>
  <c r="CW54" i="11"/>
  <c r="DI54" i="11"/>
  <c r="CY55" i="11"/>
  <c r="DK55" i="11"/>
  <c r="DA56" i="11"/>
  <c r="DM56" i="11"/>
  <c r="DC57" i="11"/>
  <c r="DO57" i="11"/>
  <c r="DE58" i="11"/>
  <c r="DQ58" i="11"/>
  <c r="DG59" i="11"/>
  <c r="CW60" i="11"/>
  <c r="DI60" i="11"/>
  <c r="CY61" i="11"/>
  <c r="DK61" i="11"/>
  <c r="DA62" i="11"/>
  <c r="DM62" i="11"/>
  <c r="DC63" i="11"/>
  <c r="DO63" i="11"/>
  <c r="DE64" i="11"/>
  <c r="DQ64" i="11"/>
  <c r="DK53" i="11"/>
  <c r="DQ62" i="11"/>
  <c r="CZ49" i="11"/>
  <c r="DL49" i="11"/>
  <c r="DB50" i="11"/>
  <c r="DN50" i="11"/>
  <c r="DD51" i="11"/>
  <c r="DP51" i="11"/>
  <c r="DF52" i="11"/>
  <c r="CV53" i="11"/>
  <c r="DH53" i="11"/>
  <c r="CX54" i="11"/>
  <c r="DJ54" i="11"/>
  <c r="CZ55" i="11"/>
  <c r="DL55" i="11"/>
  <c r="DB56" i="11"/>
  <c r="DN56" i="11"/>
  <c r="DD57" i="11"/>
  <c r="DP57" i="11"/>
  <c r="DF58" i="11"/>
  <c r="CV59" i="11"/>
  <c r="DH59" i="11"/>
  <c r="CX60" i="11"/>
  <c r="DJ60" i="11"/>
  <c r="CZ61" i="11"/>
  <c r="DL61" i="11"/>
  <c r="DB62" i="11"/>
  <c r="DN62" i="11"/>
  <c r="DD63" i="11"/>
  <c r="DP63" i="11"/>
  <c r="DF64" i="11"/>
  <c r="B15" i="20"/>
  <c r="C15" i="20"/>
  <c r="D15" i="20"/>
  <c r="B14" i="20"/>
  <c r="C14" i="20"/>
  <c r="D14" i="20"/>
  <c r="N8" i="13"/>
  <c r="N7" i="13"/>
  <c r="L7" i="13"/>
  <c r="L8" i="13"/>
  <c r="G38" i="11"/>
  <c r="D40" i="11"/>
  <c r="D39" i="11"/>
  <c r="G39" i="11" s="1"/>
  <c r="P69" i="12"/>
  <c r="Q69" i="12" s="1"/>
  <c r="P72" i="12"/>
  <c r="Q72" i="12" s="1"/>
  <c r="T72" i="12"/>
  <c r="P73" i="12"/>
  <c r="Q73" i="12" s="1"/>
  <c r="T73" i="12"/>
  <c r="D42" i="11"/>
  <c r="E41" i="11"/>
  <c r="G36" i="11"/>
  <c r="T55" i="12"/>
  <c r="U55" i="12" s="1"/>
  <c r="V55" i="12" s="1"/>
  <c r="T46" i="12"/>
  <c r="T33" i="12"/>
  <c r="U33" i="12" s="1"/>
  <c r="T32" i="12"/>
  <c r="U32" i="12" s="1"/>
  <c r="V32" i="12" s="1"/>
  <c r="AF32" i="12" s="1"/>
  <c r="T26" i="12"/>
  <c r="U26" i="12" s="1"/>
  <c r="V26" i="12" s="1"/>
  <c r="T27" i="12"/>
  <c r="U27" i="12" s="1"/>
  <c r="P19" i="12"/>
  <c r="Q19" i="12" s="1"/>
  <c r="R19" i="12" s="1"/>
  <c r="P17" i="12"/>
  <c r="Q17" i="12" s="1"/>
  <c r="T14" i="12"/>
  <c r="U14" i="12" s="1"/>
  <c r="V14" i="12" s="1"/>
  <c r="T8" i="12"/>
  <c r="U8" i="12" s="1"/>
  <c r="V8" i="12" s="1"/>
  <c r="P7" i="12"/>
  <c r="Q7" i="12" s="1"/>
  <c r="P6" i="12"/>
  <c r="Q6" i="12" s="1"/>
  <c r="R6" i="12" s="1"/>
  <c r="T5" i="12"/>
  <c r="U5" i="12" s="1"/>
  <c r="V5" i="12" s="1"/>
  <c r="V20" i="11"/>
  <c r="V21" i="11"/>
  <c r="V22" i="11"/>
  <c r="AB23" i="11"/>
  <c r="Z23" i="11"/>
  <c r="X23" i="11"/>
  <c r="V23" i="11"/>
  <c r="X24" i="11"/>
  <c r="Z24" i="11"/>
  <c r="V24" i="11"/>
  <c r="V25" i="11"/>
  <c r="V26" i="11"/>
  <c r="V27" i="11"/>
  <c r="Q51" i="11"/>
  <c r="AL55" i="11"/>
  <c r="I54" i="11"/>
  <c r="R53" i="11"/>
  <c r="AD51" i="11"/>
  <c r="AA50" i="11"/>
  <c r="N50" i="11"/>
  <c r="K50" i="11"/>
  <c r="BT49" i="11"/>
  <c r="K49" i="11"/>
  <c r="E38" i="11"/>
  <c r="CL35" i="11"/>
  <c r="CS35" i="11"/>
  <c r="CQ35" i="11"/>
  <c r="CN35" i="11"/>
  <c r="CM35" i="11"/>
  <c r="CK35" i="11"/>
  <c r="CG35" i="11"/>
  <c r="CE35" i="11"/>
  <c r="CC35" i="11"/>
  <c r="CB35" i="11"/>
  <c r="CA35" i="11"/>
  <c r="BU35" i="11"/>
  <c r="BS35" i="11"/>
  <c r="BP35" i="11"/>
  <c r="BO35" i="11"/>
  <c r="BM35" i="11"/>
  <c r="BI35" i="11"/>
  <c r="BG35" i="11"/>
  <c r="BE35" i="11"/>
  <c r="BD35" i="11"/>
  <c r="BC35" i="11"/>
  <c r="AW35" i="11"/>
  <c r="AU35" i="11"/>
  <c r="AR35" i="11"/>
  <c r="AQ35" i="11"/>
  <c r="AO35" i="11"/>
  <c r="AK35" i="11"/>
  <c r="AI35" i="11"/>
  <c r="AG35" i="11"/>
  <c r="AF35" i="11"/>
  <c r="AE35" i="11"/>
  <c r="Y35" i="11"/>
  <c r="W35" i="11"/>
  <c r="T35" i="11"/>
  <c r="S35" i="11"/>
  <c r="Q35" i="11"/>
  <c r="M35" i="11"/>
  <c r="K35" i="11"/>
  <c r="I35" i="11"/>
  <c r="H35" i="11"/>
  <c r="M36" i="11"/>
  <c r="K36" i="11"/>
  <c r="J36" i="11"/>
  <c r="AO41" i="11"/>
  <c r="BY41" i="11"/>
  <c r="AY41" i="11"/>
  <c r="Z41" i="11"/>
  <c r="AX41" i="11"/>
  <c r="Y41" i="11"/>
  <c r="BW41" i="11"/>
  <c r="CU41" i="11"/>
  <c r="N41" i="11"/>
  <c r="BK41" i="11"/>
  <c r="CT41" i="11"/>
  <c r="CS41" i="11"/>
  <c r="BS41" i="11"/>
  <c r="AQ41" i="11"/>
  <c r="Q41" i="11"/>
  <c r="BM41" i="11"/>
  <c r="CQ41" i="11"/>
  <c r="CM41" i="11"/>
  <c r="CK41" i="11"/>
  <c r="CI41" i="11"/>
  <c r="BJ41" i="11"/>
  <c r="AK41" i="11"/>
  <c r="K41" i="11"/>
  <c r="CH41" i="11"/>
  <c r="BI41" i="11"/>
  <c r="AI41" i="11"/>
  <c r="BG41" i="11"/>
  <c r="AC41" i="11"/>
  <c r="CE41" i="11"/>
  <c r="BA41" i="11"/>
  <c r="AA41" i="11"/>
  <c r="BV41" i="11"/>
  <c r="AW41" i="11"/>
  <c r="W41" i="11"/>
  <c r="O41" i="11"/>
  <c r="M41" i="11"/>
  <c r="CG41" i="11"/>
  <c r="BU41" i="11"/>
  <c r="AU41" i="11"/>
  <c r="S41" i="11"/>
  <c r="BO41" i="11"/>
  <c r="AM41" i="11"/>
  <c r="AL41" i="11"/>
  <c r="BI37" i="11"/>
  <c r="K37" i="11"/>
  <c r="BG37" i="11"/>
  <c r="J37" i="11"/>
  <c r="CG37" i="11"/>
  <c r="CE37" i="11"/>
  <c r="AE37" i="11"/>
  <c r="AS37" i="11"/>
  <c r="AQ37" i="11"/>
  <c r="CC37" i="11"/>
  <c r="AC37" i="11"/>
  <c r="BQ37" i="11"/>
  <c r="Y37" i="11"/>
  <c r="BO37" i="11"/>
  <c r="W37" i="11"/>
  <c r="BM37" i="11"/>
  <c r="M37" i="11"/>
  <c r="AW37" i="11"/>
  <c r="I37" i="11"/>
  <c r="AU37" i="11"/>
  <c r="AG37" i="11"/>
  <c r="CD37" i="11"/>
  <c r="AC35" i="11"/>
  <c r="BA35" i="11"/>
  <c r="BY35" i="11"/>
  <c r="U35" i="11"/>
  <c r="AS35" i="11"/>
  <c r="BQ35" i="11"/>
  <c r="CO35" i="11"/>
  <c r="U34" i="12"/>
  <c r="V34" i="12" s="1"/>
  <c r="T49" i="12"/>
  <c r="P49" i="12"/>
  <c r="Q28" i="12"/>
  <c r="R28" i="12" s="1"/>
  <c r="AG10" i="12"/>
  <c r="AF10" i="12"/>
  <c r="AE10" i="12"/>
  <c r="AP10" i="12"/>
  <c r="AD10" i="12"/>
  <c r="AO10" i="12"/>
  <c r="AC10" i="12"/>
  <c r="AN10" i="12"/>
  <c r="AB10" i="12"/>
  <c r="AM10" i="12"/>
  <c r="AA10" i="12"/>
  <c r="AK10" i="12"/>
  <c r="Y10" i="12"/>
  <c r="AL10" i="12"/>
  <c r="AI10" i="12"/>
  <c r="AH10" i="12"/>
  <c r="Z10" i="12"/>
  <c r="X10" i="12"/>
  <c r="AJ10" i="12"/>
  <c r="T35" i="12"/>
  <c r="P35" i="12"/>
  <c r="R14" i="12"/>
  <c r="Q26" i="12"/>
  <c r="R26" i="12" s="1"/>
  <c r="T56" i="12"/>
  <c r="P56" i="12"/>
  <c r="Q56" i="12" s="1"/>
  <c r="T71" i="12"/>
  <c r="P71" i="12"/>
  <c r="Q71" i="12" s="1"/>
  <c r="Q4" i="12"/>
  <c r="R4" i="12" s="1"/>
  <c r="T30" i="12"/>
  <c r="P30" i="12"/>
  <c r="Q46" i="12"/>
  <c r="R46" i="12" s="1"/>
  <c r="T53" i="12"/>
  <c r="P53" i="12"/>
  <c r="Q53" i="12" s="1"/>
  <c r="T68" i="12"/>
  <c r="P68" i="12"/>
  <c r="Q68" i="12" s="1"/>
  <c r="R27" i="12"/>
  <c r="V31" i="12"/>
  <c r="T4" i="12"/>
  <c r="V6" i="12"/>
  <c r="V7" i="12"/>
  <c r="P34" i="12"/>
  <c r="U9" i="12"/>
  <c r="V9" i="12" s="1"/>
  <c r="U43" i="12"/>
  <c r="V43" i="12" s="1"/>
  <c r="R5" i="12"/>
  <c r="R8" i="12"/>
  <c r="Q9" i="12"/>
  <c r="R9" i="12" s="1"/>
  <c r="U19" i="12"/>
  <c r="V19" i="12" s="1"/>
  <c r="V25" i="12"/>
  <c r="T29" i="12"/>
  <c r="P29" i="12"/>
  <c r="R54" i="12"/>
  <c r="U28" i="12"/>
  <c r="V28" i="12" s="1"/>
  <c r="P18" i="12"/>
  <c r="Q32" i="12"/>
  <c r="R32" i="12" s="1"/>
  <c r="U44" i="12"/>
  <c r="V44" i="12" s="1"/>
  <c r="U47" i="12"/>
  <c r="V47" i="12" s="1"/>
  <c r="U18" i="12"/>
  <c r="V18" i="12" s="1"/>
  <c r="V17" i="12"/>
  <c r="T36" i="12"/>
  <c r="P36" i="12"/>
  <c r="R55" i="12"/>
  <c r="U45" i="12"/>
  <c r="V45" i="12" s="1"/>
  <c r="R47" i="12"/>
  <c r="V54" i="12"/>
  <c r="T69" i="12"/>
  <c r="P25" i="12"/>
  <c r="P31" i="12"/>
  <c r="P43" i="12"/>
  <c r="P44" i="12"/>
  <c r="P10" i="12"/>
  <c r="P45" i="12"/>
  <c r="Z25" i="11"/>
  <c r="X25" i="11"/>
  <c r="AB21" i="11"/>
  <c r="Z21" i="11"/>
  <c r="X21" i="11"/>
  <c r="BG50" i="11"/>
  <c r="BJ50" i="11"/>
  <c r="AB27" i="11"/>
  <c r="Z27" i="11"/>
  <c r="X27" i="11"/>
  <c r="AB25" i="11"/>
  <c r="BW50" i="11"/>
  <c r="AB26" i="11"/>
  <c r="Z26" i="11"/>
  <c r="X26" i="11"/>
  <c r="H49" i="11"/>
  <c r="CU64" i="11"/>
  <c r="CI64" i="11"/>
  <c r="BW64" i="11"/>
  <c r="BK64" i="11"/>
  <c r="AY64" i="11"/>
  <c r="AM64" i="11"/>
  <c r="AA64" i="11"/>
  <c r="O64" i="11"/>
  <c r="CR63" i="11"/>
  <c r="CF63" i="11"/>
  <c r="BT63" i="11"/>
  <c r="BH63" i="11"/>
  <c r="AV63" i="11"/>
  <c r="AJ63" i="11"/>
  <c r="X63" i="11"/>
  <c r="L63" i="11"/>
  <c r="CO62" i="11"/>
  <c r="CC62" i="11"/>
  <c r="BQ62" i="11"/>
  <c r="BE62" i="11"/>
  <c r="AS62" i="11"/>
  <c r="AG62" i="11"/>
  <c r="U62" i="11"/>
  <c r="I62" i="11"/>
  <c r="CL61" i="11"/>
  <c r="BZ61" i="11"/>
  <c r="BN61" i="11"/>
  <c r="BB61" i="11"/>
  <c r="AP61" i="11"/>
  <c r="AD61" i="11"/>
  <c r="R61" i="11"/>
  <c r="CU60" i="11"/>
  <c r="CI60" i="11"/>
  <c r="BW60" i="11"/>
  <c r="BK60" i="11"/>
  <c r="AY60" i="11"/>
  <c r="AM60" i="11"/>
  <c r="AA60" i="11"/>
  <c r="O60" i="11"/>
  <c r="CR59" i="11"/>
  <c r="CF59" i="11"/>
  <c r="BT59" i="11"/>
  <c r="BH59" i="11"/>
  <c r="AV59" i="11"/>
  <c r="AJ59" i="11"/>
  <c r="X59" i="11"/>
  <c r="CT64" i="11"/>
  <c r="CH64" i="11"/>
  <c r="BV64" i="11"/>
  <c r="BJ64" i="11"/>
  <c r="AX64" i="11"/>
  <c r="AL64" i="11"/>
  <c r="Z64" i="11"/>
  <c r="N64" i="11"/>
  <c r="CQ63" i="11"/>
  <c r="CE63" i="11"/>
  <c r="BS63" i="11"/>
  <c r="BG63" i="11"/>
  <c r="AU63" i="11"/>
  <c r="AI63" i="11"/>
  <c r="W63" i="11"/>
  <c r="K63" i="11"/>
  <c r="CN62" i="11"/>
  <c r="CB62" i="11"/>
  <c r="BP62" i="11"/>
  <c r="BD62" i="11"/>
  <c r="AR62" i="11"/>
  <c r="AF62" i="11"/>
  <c r="T62" i="11"/>
  <c r="H62" i="11"/>
  <c r="CK61" i="11"/>
  <c r="BY61" i="11"/>
  <c r="BM61" i="11"/>
  <c r="BA61" i="11"/>
  <c r="AO61" i="11"/>
  <c r="AC61" i="11"/>
  <c r="Q61" i="11"/>
  <c r="CT60" i="11"/>
  <c r="CH60" i="11"/>
  <c r="BV60" i="11"/>
  <c r="BJ60" i="11"/>
  <c r="AX60" i="11"/>
  <c r="AL60" i="11"/>
  <c r="Z60" i="11"/>
  <c r="N60" i="11"/>
  <c r="CQ59" i="11"/>
  <c r="CE59" i="11"/>
  <c r="BS59" i="11"/>
  <c r="BG59" i="11"/>
  <c r="AU59" i="11"/>
  <c r="AI59" i="11"/>
  <c r="W59" i="11"/>
  <c r="CS64" i="11"/>
  <c r="CG64" i="11"/>
  <c r="BU64" i="11"/>
  <c r="BI64" i="11"/>
  <c r="AW64" i="11"/>
  <c r="AK64" i="11"/>
  <c r="Y64" i="11"/>
  <c r="M64" i="11"/>
  <c r="CP63" i="11"/>
  <c r="CD63" i="11"/>
  <c r="BR63" i="11"/>
  <c r="BF63" i="11"/>
  <c r="AT63" i="11"/>
  <c r="AH63" i="11"/>
  <c r="V63" i="11"/>
  <c r="J63" i="11"/>
  <c r="CM62" i="11"/>
  <c r="CA62" i="11"/>
  <c r="BO62" i="11"/>
  <c r="BC62" i="11"/>
  <c r="AQ62" i="11"/>
  <c r="AE62" i="11"/>
  <c r="S62" i="11"/>
  <c r="G62" i="11"/>
  <c r="CJ61" i="11"/>
  <c r="BX61" i="11"/>
  <c r="BL61" i="11"/>
  <c r="AZ61" i="11"/>
  <c r="AN61" i="11"/>
  <c r="AB61" i="11"/>
  <c r="P61" i="11"/>
  <c r="CS60" i="11"/>
  <c r="CG60" i="11"/>
  <c r="BU60" i="11"/>
  <c r="BI60" i="11"/>
  <c r="AW60" i="11"/>
  <c r="AK60" i="11"/>
  <c r="Y60" i="11"/>
  <c r="M60" i="11"/>
  <c r="CP59" i="11"/>
  <c r="CD59" i="11"/>
  <c r="BR59" i="11"/>
  <c r="BF59" i="11"/>
  <c r="CR64" i="11"/>
  <c r="CF64" i="11"/>
  <c r="BT64" i="11"/>
  <c r="BH64" i="11"/>
  <c r="AV64" i="11"/>
  <c r="AJ64" i="11"/>
  <c r="X64" i="11"/>
  <c r="L64" i="11"/>
  <c r="CO63" i="11"/>
  <c r="CC63" i="11"/>
  <c r="BQ63" i="11"/>
  <c r="BE63" i="11"/>
  <c r="AS63" i="11"/>
  <c r="AG63" i="11"/>
  <c r="U63" i="11"/>
  <c r="I63" i="11"/>
  <c r="CL62" i="11"/>
  <c r="BZ62" i="11"/>
  <c r="BN62" i="11"/>
  <c r="BB62" i="11"/>
  <c r="AP62" i="11"/>
  <c r="AD62" i="11"/>
  <c r="R62" i="11"/>
  <c r="CU61" i="11"/>
  <c r="CI61" i="11"/>
  <c r="BW61" i="11"/>
  <c r="BK61" i="11"/>
  <c r="AY61" i="11"/>
  <c r="AM61" i="11"/>
  <c r="AA61" i="11"/>
  <c r="O61" i="11"/>
  <c r="CR60" i="11"/>
  <c r="CF60" i="11"/>
  <c r="BT60" i="11"/>
  <c r="BH60" i="11"/>
  <c r="AV60" i="11"/>
  <c r="AJ60" i="11"/>
  <c r="X60" i="11"/>
  <c r="L60" i="11"/>
  <c r="CO59" i="11"/>
  <c r="CC59" i="11"/>
  <c r="BQ59" i="11"/>
  <c r="BE59" i="11"/>
  <c r="AS59" i="11"/>
  <c r="AG59" i="11"/>
  <c r="U59" i="11"/>
  <c r="I59" i="11"/>
  <c r="CQ64" i="11"/>
  <c r="CE64" i="11"/>
  <c r="BS64" i="11"/>
  <c r="BG64" i="11"/>
  <c r="AU64" i="11"/>
  <c r="AI64" i="11"/>
  <c r="W64" i="11"/>
  <c r="K64" i="11"/>
  <c r="CN63" i="11"/>
  <c r="CB63" i="11"/>
  <c r="BP63" i="11"/>
  <c r="BD63" i="11"/>
  <c r="AR63" i="11"/>
  <c r="AF63" i="11"/>
  <c r="T63" i="11"/>
  <c r="H63" i="11"/>
  <c r="CK62" i="11"/>
  <c r="BY62" i="11"/>
  <c r="BM62" i="11"/>
  <c r="BA62" i="11"/>
  <c r="AO62" i="11"/>
  <c r="AC62" i="11"/>
  <c r="Q62" i="11"/>
  <c r="CT61" i="11"/>
  <c r="CH61" i="11"/>
  <c r="BV61" i="11"/>
  <c r="BJ61" i="11"/>
  <c r="AX61" i="11"/>
  <c r="AL61" i="11"/>
  <c r="Z61" i="11"/>
  <c r="N61" i="11"/>
  <c r="CQ60" i="11"/>
  <c r="CE60" i="11"/>
  <c r="BS60" i="11"/>
  <c r="BG60" i="11"/>
  <c r="AU60" i="11"/>
  <c r="AI60" i="11"/>
  <c r="W60" i="11"/>
  <c r="K60" i="11"/>
  <c r="CN59" i="11"/>
  <c r="CB59" i="11"/>
  <c r="BP59" i="11"/>
  <c r="BD59" i="11"/>
  <c r="AR59" i="11"/>
  <c r="AF59" i="11"/>
  <c r="T59" i="11"/>
  <c r="CP64" i="11"/>
  <c r="CD64" i="11"/>
  <c r="BR64" i="11"/>
  <c r="BF64" i="11"/>
  <c r="AT64" i="11"/>
  <c r="AH64" i="11"/>
  <c r="V64" i="11"/>
  <c r="J64" i="11"/>
  <c r="CM63" i="11"/>
  <c r="CA63" i="11"/>
  <c r="BO63" i="11"/>
  <c r="BC63" i="11"/>
  <c r="AQ63" i="11"/>
  <c r="AE63" i="11"/>
  <c r="S63" i="11"/>
  <c r="G63" i="11"/>
  <c r="CJ62" i="11"/>
  <c r="BX62" i="11"/>
  <c r="BL62" i="11"/>
  <c r="AZ62" i="11"/>
  <c r="AN62" i="11"/>
  <c r="AB62" i="11"/>
  <c r="P62" i="11"/>
  <c r="CS61" i="11"/>
  <c r="CG61" i="11"/>
  <c r="BU61" i="11"/>
  <c r="BI61" i="11"/>
  <c r="AW61" i="11"/>
  <c r="AK61" i="11"/>
  <c r="Y61" i="11"/>
  <c r="M61" i="11"/>
  <c r="CP60" i="11"/>
  <c r="CD60" i="11"/>
  <c r="BR60" i="11"/>
  <c r="BF60" i="11"/>
  <c r="AT60" i="11"/>
  <c r="AH60" i="11"/>
  <c r="V60" i="11"/>
  <c r="J60" i="11"/>
  <c r="CM59" i="11"/>
  <c r="CA59" i="11"/>
  <c r="BO59" i="11"/>
  <c r="BC59" i="11"/>
  <c r="AQ59" i="11"/>
  <c r="AE59" i="11"/>
  <c r="S59" i="11"/>
  <c r="CO64" i="11"/>
  <c r="CC64" i="11"/>
  <c r="BQ64" i="11"/>
  <c r="BE64" i="11"/>
  <c r="AS64" i="11"/>
  <c r="AG64" i="11"/>
  <c r="U64" i="11"/>
  <c r="I64" i="11"/>
  <c r="CL63" i="11"/>
  <c r="BZ63" i="11"/>
  <c r="BN63" i="11"/>
  <c r="BB63" i="11"/>
  <c r="AP63" i="11"/>
  <c r="AD63" i="11"/>
  <c r="R63" i="11"/>
  <c r="CU62" i="11"/>
  <c r="CI62" i="11"/>
  <c r="BW62" i="11"/>
  <c r="BK62" i="11"/>
  <c r="AY62" i="11"/>
  <c r="AM62" i="11"/>
  <c r="AA62" i="11"/>
  <c r="O62" i="11"/>
  <c r="CR61" i="11"/>
  <c r="CF61" i="11"/>
  <c r="BT61" i="11"/>
  <c r="BH61" i="11"/>
  <c r="AV61" i="11"/>
  <c r="AJ61" i="11"/>
  <c r="X61" i="11"/>
  <c r="L61" i="11"/>
  <c r="CO60" i="11"/>
  <c r="CC60" i="11"/>
  <c r="BQ60" i="11"/>
  <c r="BE60" i="11"/>
  <c r="AS60" i="11"/>
  <c r="AG60" i="11"/>
  <c r="U60" i="11"/>
  <c r="I60" i="11"/>
  <c r="CL59" i="11"/>
  <c r="BZ59" i="11"/>
  <c r="BN59" i="11"/>
  <c r="BB59" i="11"/>
  <c r="AP59" i="11"/>
  <c r="AD59" i="11"/>
  <c r="R59" i="11"/>
  <c r="CJ64" i="11"/>
  <c r="BX64" i="11"/>
  <c r="BL64" i="11"/>
  <c r="AZ64" i="11"/>
  <c r="AN64" i="11"/>
  <c r="AB64" i="11"/>
  <c r="P64" i="11"/>
  <c r="CS63" i="11"/>
  <c r="CG63" i="11"/>
  <c r="BU63" i="11"/>
  <c r="BI63" i="11"/>
  <c r="AW63" i="11"/>
  <c r="AK63" i="11"/>
  <c r="Y63" i="11"/>
  <c r="M63" i="11"/>
  <c r="CP62" i="11"/>
  <c r="CD62" i="11"/>
  <c r="BR62" i="11"/>
  <c r="BF62" i="11"/>
  <c r="AT62" i="11"/>
  <c r="AH62" i="11"/>
  <c r="V62" i="11"/>
  <c r="J62" i="11"/>
  <c r="CM61" i="11"/>
  <c r="CA61" i="11"/>
  <c r="BO61" i="11"/>
  <c r="BC61" i="11"/>
  <c r="AQ61" i="11"/>
  <c r="AE61" i="11"/>
  <c r="S61" i="11"/>
  <c r="G61" i="11"/>
  <c r="CJ60" i="11"/>
  <c r="BX60" i="11"/>
  <c r="BL60" i="11"/>
  <c r="AZ60" i="11"/>
  <c r="BY64" i="11"/>
  <c r="AO64" i="11"/>
  <c r="CT63" i="11"/>
  <c r="BJ63" i="11"/>
  <c r="Z63" i="11"/>
  <c r="CE62" i="11"/>
  <c r="AU62" i="11"/>
  <c r="K62" i="11"/>
  <c r="BP61" i="11"/>
  <c r="AF61" i="11"/>
  <c r="CK60" i="11"/>
  <c r="BA60" i="11"/>
  <c r="S60" i="11"/>
  <c r="CH59" i="11"/>
  <c r="BA59" i="11"/>
  <c r="AC59" i="11"/>
  <c r="K59" i="11"/>
  <c r="CM58" i="11"/>
  <c r="CA58" i="11"/>
  <c r="BO58" i="11"/>
  <c r="BC58" i="11"/>
  <c r="AQ58" i="11"/>
  <c r="AE58" i="11"/>
  <c r="S58" i="11"/>
  <c r="G58" i="11"/>
  <c r="CJ57" i="11"/>
  <c r="BX57" i="11"/>
  <c r="BL57" i="11"/>
  <c r="AZ57" i="11"/>
  <c r="AN57" i="11"/>
  <c r="AB57" i="11"/>
  <c r="P57" i="11"/>
  <c r="CS56" i="11"/>
  <c r="CG56" i="11"/>
  <c r="BU56" i="11"/>
  <c r="BI56" i="11"/>
  <c r="AW56" i="11"/>
  <c r="AK56" i="11"/>
  <c r="Y56" i="11"/>
  <c r="M56" i="11"/>
  <c r="CP55" i="11"/>
  <c r="CD55" i="11"/>
  <c r="BR55" i="11"/>
  <c r="BF55" i="11"/>
  <c r="AT55" i="11"/>
  <c r="AH55" i="11"/>
  <c r="V55" i="11"/>
  <c r="BP64" i="11"/>
  <c r="AF64" i="11"/>
  <c r="CK63" i="11"/>
  <c r="BA63" i="11"/>
  <c r="Q63" i="11"/>
  <c r="BV62" i="11"/>
  <c r="AL62" i="11"/>
  <c r="CQ61" i="11"/>
  <c r="BG61" i="11"/>
  <c r="W61" i="11"/>
  <c r="CB60" i="11"/>
  <c r="AR60" i="11"/>
  <c r="R60" i="11"/>
  <c r="CG59" i="11"/>
  <c r="AZ59" i="11"/>
  <c r="AB59" i="11"/>
  <c r="J59" i="11"/>
  <c r="CL58" i="11"/>
  <c r="BZ58" i="11"/>
  <c r="BN58" i="11"/>
  <c r="BB58" i="11"/>
  <c r="AP58" i="11"/>
  <c r="AD58" i="11"/>
  <c r="R58" i="11"/>
  <c r="CU57" i="11"/>
  <c r="CI57" i="11"/>
  <c r="BW57" i="11"/>
  <c r="BK57" i="11"/>
  <c r="AY57" i="11"/>
  <c r="AM57" i="11"/>
  <c r="AA57" i="11"/>
  <c r="O57" i="11"/>
  <c r="CR56" i="11"/>
  <c r="CF56" i="11"/>
  <c r="BT56" i="11"/>
  <c r="BH56" i="11"/>
  <c r="AV56" i="11"/>
  <c r="AJ56" i="11"/>
  <c r="X56" i="11"/>
  <c r="L56" i="11"/>
  <c r="CO55" i="11"/>
  <c r="CC55" i="11"/>
  <c r="BQ55" i="11"/>
  <c r="BE55" i="11"/>
  <c r="AS55" i="11"/>
  <c r="AG55" i="11"/>
  <c r="U55" i="11"/>
  <c r="BO64" i="11"/>
  <c r="AE64" i="11"/>
  <c r="CJ63" i="11"/>
  <c r="AZ63" i="11"/>
  <c r="P63" i="11"/>
  <c r="BU62" i="11"/>
  <c r="AK62" i="11"/>
  <c r="CP61" i="11"/>
  <c r="BF61" i="11"/>
  <c r="V61" i="11"/>
  <c r="CA60" i="11"/>
  <c r="AQ60" i="11"/>
  <c r="Q60" i="11"/>
  <c r="BY59" i="11"/>
  <c r="AY59" i="11"/>
  <c r="AA59" i="11"/>
  <c r="H59" i="11"/>
  <c r="CK58" i="11"/>
  <c r="BY58" i="11"/>
  <c r="BM58" i="11"/>
  <c r="BA58" i="11"/>
  <c r="AO58" i="11"/>
  <c r="AC58" i="11"/>
  <c r="Q58" i="11"/>
  <c r="CT57" i="11"/>
  <c r="CH57" i="11"/>
  <c r="BV57" i="11"/>
  <c r="BJ57" i="11"/>
  <c r="AX57" i="11"/>
  <c r="AL57" i="11"/>
  <c r="Z57" i="11"/>
  <c r="N57" i="11"/>
  <c r="CQ56" i="11"/>
  <c r="CE56" i="11"/>
  <c r="BS56" i="11"/>
  <c r="BG56" i="11"/>
  <c r="AU56" i="11"/>
  <c r="AI56" i="11"/>
  <c r="W56" i="11"/>
  <c r="K56" i="11"/>
  <c r="CN55" i="11"/>
  <c r="CB55" i="11"/>
  <c r="BP55" i="11"/>
  <c r="BD55" i="11"/>
  <c r="AR55" i="11"/>
  <c r="AF55" i="11"/>
  <c r="T55" i="11"/>
  <c r="H55" i="11"/>
  <c r="CK54" i="11"/>
  <c r="BY54" i="11"/>
  <c r="BM54" i="11"/>
  <c r="BA54" i="11"/>
  <c r="AO54" i="11"/>
  <c r="AC54" i="11"/>
  <c r="Q54" i="11"/>
  <c r="CT53" i="11"/>
  <c r="CH53" i="11"/>
  <c r="BV53" i="11"/>
  <c r="BJ53" i="11"/>
  <c r="AX53" i="11"/>
  <c r="AL53" i="11"/>
  <c r="Z53" i="11"/>
  <c r="N53" i="11"/>
  <c r="CQ52" i="11"/>
  <c r="CE52" i="11"/>
  <c r="BS52" i="11"/>
  <c r="BG52" i="11"/>
  <c r="AU52" i="11"/>
  <c r="AI52" i="11"/>
  <c r="W52" i="11"/>
  <c r="K52" i="11"/>
  <c r="CN51" i="11"/>
  <c r="CB51" i="11"/>
  <c r="BP51" i="11"/>
  <c r="BN64" i="11"/>
  <c r="AD64" i="11"/>
  <c r="CI63" i="11"/>
  <c r="AY63" i="11"/>
  <c r="O63" i="11"/>
  <c r="BT62" i="11"/>
  <c r="AJ62" i="11"/>
  <c r="CO61" i="11"/>
  <c r="BE61" i="11"/>
  <c r="U61" i="11"/>
  <c r="BZ60" i="11"/>
  <c r="AP60" i="11"/>
  <c r="P60" i="11"/>
  <c r="BX59" i="11"/>
  <c r="AX59" i="11"/>
  <c r="Z59" i="11"/>
  <c r="G59" i="11"/>
  <c r="CJ58" i="11"/>
  <c r="BX58" i="11"/>
  <c r="BL58" i="11"/>
  <c r="AZ58" i="11"/>
  <c r="AN58" i="11"/>
  <c r="AB58" i="11"/>
  <c r="P58" i="11"/>
  <c r="CS57" i="11"/>
  <c r="CG57" i="11"/>
  <c r="BU57" i="11"/>
  <c r="BI57" i="11"/>
  <c r="AW57" i="11"/>
  <c r="AK57" i="11"/>
  <c r="Y57" i="11"/>
  <c r="M57" i="11"/>
  <c r="CP56" i="11"/>
  <c r="CD56" i="11"/>
  <c r="BR56" i="11"/>
  <c r="BF56" i="11"/>
  <c r="AT56" i="11"/>
  <c r="AH56" i="11"/>
  <c r="V56" i="11"/>
  <c r="J56" i="11"/>
  <c r="CM55" i="11"/>
  <c r="CA55" i="11"/>
  <c r="BO55" i="11"/>
  <c r="BC55" i="11"/>
  <c r="AQ55" i="11"/>
  <c r="AE55" i="11"/>
  <c r="S55" i="11"/>
  <c r="G55" i="11"/>
  <c r="CJ54" i="11"/>
  <c r="BX54" i="11"/>
  <c r="BL54" i="11"/>
  <c r="AZ54" i="11"/>
  <c r="AN54" i="11"/>
  <c r="AB54" i="11"/>
  <c r="P54" i="11"/>
  <c r="CS53" i="11"/>
  <c r="CG53" i="11"/>
  <c r="BU53" i="11"/>
  <c r="BI53" i="11"/>
  <c r="AW53" i="11"/>
  <c r="AK53" i="11"/>
  <c r="Y53" i="11"/>
  <c r="M53" i="11"/>
  <c r="CP52" i="11"/>
  <c r="CD52" i="11"/>
  <c r="BR52" i="11"/>
  <c r="BF52" i="11"/>
  <c r="AT52" i="11"/>
  <c r="AH52" i="11"/>
  <c r="V52" i="11"/>
  <c r="J52" i="11"/>
  <c r="CM51" i="11"/>
  <c r="CA51" i="11"/>
  <c r="BO51" i="11"/>
  <c r="BM64" i="11"/>
  <c r="AC64" i="11"/>
  <c r="CH63" i="11"/>
  <c r="AX63" i="11"/>
  <c r="N63" i="11"/>
  <c r="BS62" i="11"/>
  <c r="AI62" i="11"/>
  <c r="CN61" i="11"/>
  <c r="BD61" i="11"/>
  <c r="T61" i="11"/>
  <c r="BY60" i="11"/>
  <c r="AO60" i="11"/>
  <c r="H60" i="11"/>
  <c r="BW59" i="11"/>
  <c r="AW59" i="11"/>
  <c r="Y59" i="11"/>
  <c r="CU58" i="11"/>
  <c r="CI58" i="11"/>
  <c r="BW58" i="11"/>
  <c r="BK58" i="11"/>
  <c r="AY58" i="11"/>
  <c r="AM58" i="11"/>
  <c r="AA58" i="11"/>
  <c r="O58" i="11"/>
  <c r="CR57" i="11"/>
  <c r="CF57" i="11"/>
  <c r="BT57" i="11"/>
  <c r="BH57" i="11"/>
  <c r="AV57" i="11"/>
  <c r="AJ57" i="11"/>
  <c r="X57" i="11"/>
  <c r="L57" i="11"/>
  <c r="CO56" i="11"/>
  <c r="CC56" i="11"/>
  <c r="BQ56" i="11"/>
  <c r="BE56" i="11"/>
  <c r="AS56" i="11"/>
  <c r="AG56" i="11"/>
  <c r="U56" i="11"/>
  <c r="I56" i="11"/>
  <c r="CL55" i="11"/>
  <c r="BZ55" i="11"/>
  <c r="BN55" i="11"/>
  <c r="BB55" i="11"/>
  <c r="AP55" i="11"/>
  <c r="AD55" i="11"/>
  <c r="R55" i="11"/>
  <c r="CU54" i="11"/>
  <c r="CI54" i="11"/>
  <c r="BW54" i="11"/>
  <c r="BK54" i="11"/>
  <c r="AY54" i="11"/>
  <c r="AM54" i="11"/>
  <c r="AA54" i="11"/>
  <c r="O54" i="11"/>
  <c r="CR53" i="11"/>
  <c r="CF53" i="11"/>
  <c r="BT53" i="11"/>
  <c r="BH53" i="11"/>
  <c r="AV53" i="11"/>
  <c r="AJ53" i="11"/>
  <c r="X53" i="11"/>
  <c r="L53" i="11"/>
  <c r="CO52" i="11"/>
  <c r="CC52" i="11"/>
  <c r="BQ52" i="11"/>
  <c r="BE52" i="11"/>
  <c r="AS52" i="11"/>
  <c r="AG52" i="11"/>
  <c r="U52" i="11"/>
  <c r="I52" i="11"/>
  <c r="CL51" i="11"/>
  <c r="BZ51" i="11"/>
  <c r="BN51" i="11"/>
  <c r="CN64" i="11"/>
  <c r="BD64" i="11"/>
  <c r="T64" i="11"/>
  <c r="BY63" i="11"/>
  <c r="AO63" i="11"/>
  <c r="CT62" i="11"/>
  <c r="BJ62" i="11"/>
  <c r="Z62" i="11"/>
  <c r="CE61" i="11"/>
  <c r="AU61" i="11"/>
  <c r="K61" i="11"/>
  <c r="BP60" i="11"/>
  <c r="AN60" i="11"/>
  <c r="G60" i="11"/>
  <c r="BV59" i="11"/>
  <c r="AT59" i="11"/>
  <c r="V59" i="11"/>
  <c r="CT58" i="11"/>
  <c r="CH58" i="11"/>
  <c r="BV58" i="11"/>
  <c r="BJ58" i="11"/>
  <c r="AX58" i="11"/>
  <c r="AL58" i="11"/>
  <c r="Z58" i="11"/>
  <c r="N58" i="11"/>
  <c r="CQ57" i="11"/>
  <c r="CE57" i="11"/>
  <c r="BS57" i="11"/>
  <c r="BG57" i="11"/>
  <c r="AU57" i="11"/>
  <c r="AI57" i="11"/>
  <c r="W57" i="11"/>
  <c r="K57" i="11"/>
  <c r="CN56" i="11"/>
  <c r="CB56" i="11"/>
  <c r="BP56" i="11"/>
  <c r="BD56" i="11"/>
  <c r="AR56" i="11"/>
  <c r="AF56" i="11"/>
  <c r="T56" i="11"/>
  <c r="H56" i="11"/>
  <c r="CK55" i="11"/>
  <c r="BY55" i="11"/>
  <c r="BM55" i="11"/>
  <c r="BA55" i="11"/>
  <c r="AO55" i="11"/>
  <c r="AC55" i="11"/>
  <c r="Q55" i="11"/>
  <c r="CT54" i="11"/>
  <c r="CH54" i="11"/>
  <c r="BV54" i="11"/>
  <c r="BJ54" i="11"/>
  <c r="AX54" i="11"/>
  <c r="AL54" i="11"/>
  <c r="Z54" i="11"/>
  <c r="N54" i="11"/>
  <c r="CQ53" i="11"/>
  <c r="CE53" i="11"/>
  <c r="BS53" i="11"/>
  <c r="BG53" i="11"/>
  <c r="AU53" i="11"/>
  <c r="AI53" i="11"/>
  <c r="W53" i="11"/>
  <c r="K53" i="11"/>
  <c r="CN52" i="11"/>
  <c r="CB52" i="11"/>
  <c r="BP52" i="11"/>
  <c r="BD52" i="11"/>
  <c r="AR52" i="11"/>
  <c r="AF52" i="11"/>
  <c r="T52" i="11"/>
  <c r="CM64" i="11"/>
  <c r="BC64" i="11"/>
  <c r="S64" i="11"/>
  <c r="BX63" i="11"/>
  <c r="AN63" i="11"/>
  <c r="CS62" i="11"/>
  <c r="BI62" i="11"/>
  <c r="Y62" i="11"/>
  <c r="CD61" i="11"/>
  <c r="AT61" i="11"/>
  <c r="J61" i="11"/>
  <c r="BO60" i="11"/>
  <c r="AF60" i="11"/>
  <c r="CU59" i="11"/>
  <c r="BU59" i="11"/>
  <c r="AO59" i="11"/>
  <c r="Q59" i="11"/>
  <c r="CS58" i="11"/>
  <c r="CG58" i="11"/>
  <c r="BU58" i="11"/>
  <c r="BI58" i="11"/>
  <c r="AW58" i="11"/>
  <c r="AK58" i="11"/>
  <c r="Y58" i="11"/>
  <c r="M58" i="11"/>
  <c r="CP57" i="11"/>
  <c r="CD57" i="11"/>
  <c r="BR57" i="11"/>
  <c r="BF57" i="11"/>
  <c r="AT57" i="11"/>
  <c r="AH57" i="11"/>
  <c r="V57" i="11"/>
  <c r="J57" i="11"/>
  <c r="CM56" i="11"/>
  <c r="CA56" i="11"/>
  <c r="BO56" i="11"/>
  <c r="BC56" i="11"/>
  <c r="AQ56" i="11"/>
  <c r="AE56" i="11"/>
  <c r="S56" i="11"/>
  <c r="G56" i="11"/>
  <c r="CJ55" i="11"/>
  <c r="BX55" i="11"/>
  <c r="BL55" i="11"/>
  <c r="AZ55" i="11"/>
  <c r="AN55" i="11"/>
  <c r="AB55" i="11"/>
  <c r="P55" i="11"/>
  <c r="CS54" i="11"/>
  <c r="CG54" i="11"/>
  <c r="BU54" i="11"/>
  <c r="BI54" i="11"/>
  <c r="AW54" i="11"/>
  <c r="AK54" i="11"/>
  <c r="Y54" i="11"/>
  <c r="M54" i="11"/>
  <c r="CP53" i="11"/>
  <c r="CD53" i="11"/>
  <c r="BR53" i="11"/>
  <c r="BF53" i="11"/>
  <c r="AT53" i="11"/>
  <c r="AH53" i="11"/>
  <c r="V53" i="11"/>
  <c r="J53" i="11"/>
  <c r="CM52" i="11"/>
  <c r="CA52" i="11"/>
  <c r="BO52" i="11"/>
  <c r="BC52" i="11"/>
  <c r="AQ52" i="11"/>
  <c r="AE52" i="11"/>
  <c r="S52" i="11"/>
  <c r="G52" i="11"/>
  <c r="CJ51" i="11"/>
  <c r="BX51" i="11"/>
  <c r="CL64" i="11"/>
  <c r="BB64" i="11"/>
  <c r="R64" i="11"/>
  <c r="BW63" i="11"/>
  <c r="AM63" i="11"/>
  <c r="CR62" i="11"/>
  <c r="BH62" i="11"/>
  <c r="X62" i="11"/>
  <c r="CC61" i="11"/>
  <c r="AS61" i="11"/>
  <c r="I61" i="11"/>
  <c r="BN60" i="11"/>
  <c r="AE60" i="11"/>
  <c r="CT59" i="11"/>
  <c r="BM59" i="11"/>
  <c r="AN59" i="11"/>
  <c r="P59" i="11"/>
  <c r="CR58" i="11"/>
  <c r="CF58" i="11"/>
  <c r="BT58" i="11"/>
  <c r="BH58" i="11"/>
  <c r="AV58" i="11"/>
  <c r="AJ58" i="11"/>
  <c r="X58" i="11"/>
  <c r="L58" i="11"/>
  <c r="CO57" i="11"/>
  <c r="CC57" i="11"/>
  <c r="BQ57" i="11"/>
  <c r="BE57" i="11"/>
  <c r="AS57" i="11"/>
  <c r="AG57" i="11"/>
  <c r="U57" i="11"/>
  <c r="I57" i="11"/>
  <c r="CL56" i="11"/>
  <c r="BZ56" i="11"/>
  <c r="BN56" i="11"/>
  <c r="BB56" i="11"/>
  <c r="AP56" i="11"/>
  <c r="AD56" i="11"/>
  <c r="R56" i="11"/>
  <c r="CU55" i="11"/>
  <c r="CI55" i="11"/>
  <c r="BW55" i="11"/>
  <c r="BK55" i="11"/>
  <c r="AY55" i="11"/>
  <c r="AM55" i="11"/>
  <c r="AA55" i="11"/>
  <c r="O55" i="11"/>
  <c r="CR54" i="11"/>
  <c r="CF54" i="11"/>
  <c r="BT54" i="11"/>
  <c r="BH54" i="11"/>
  <c r="AV54" i="11"/>
  <c r="AJ54" i="11"/>
  <c r="X54" i="11"/>
  <c r="L54" i="11"/>
  <c r="CO53" i="11"/>
  <c r="CC53" i="11"/>
  <c r="BQ53" i="11"/>
  <c r="BE53" i="11"/>
  <c r="AS53" i="11"/>
  <c r="AG53" i="11"/>
  <c r="U53" i="11"/>
  <c r="I53" i="11"/>
  <c r="CL52" i="11"/>
  <c r="BZ52" i="11"/>
  <c r="BN52" i="11"/>
  <c r="BB52" i="11"/>
  <c r="AP52" i="11"/>
  <c r="AD52" i="11"/>
  <c r="R52" i="11"/>
  <c r="CU51" i="11"/>
  <c r="CI51" i="11"/>
  <c r="BW51" i="11"/>
  <c r="BZ64" i="11"/>
  <c r="AP64" i="11"/>
  <c r="CU63" i="11"/>
  <c r="BK63" i="11"/>
  <c r="AA63" i="11"/>
  <c r="CF62" i="11"/>
  <c r="AV62" i="11"/>
  <c r="L62" i="11"/>
  <c r="BQ61" i="11"/>
  <c r="AG61" i="11"/>
  <c r="CL60" i="11"/>
  <c r="BB60" i="11"/>
  <c r="T60" i="11"/>
  <c r="CI59" i="11"/>
  <c r="BI59" i="11"/>
  <c r="AH59" i="11"/>
  <c r="L59" i="11"/>
  <c r="CN58" i="11"/>
  <c r="CB58" i="11"/>
  <c r="BP58" i="11"/>
  <c r="BD58" i="11"/>
  <c r="AR58" i="11"/>
  <c r="AF58" i="11"/>
  <c r="T58" i="11"/>
  <c r="H58" i="11"/>
  <c r="CK57" i="11"/>
  <c r="BY57" i="11"/>
  <c r="BM57" i="11"/>
  <c r="BA57" i="11"/>
  <c r="AO57" i="11"/>
  <c r="AC57" i="11"/>
  <c r="Q57" i="11"/>
  <c r="CT56" i="11"/>
  <c r="CH56" i="11"/>
  <c r="BV56" i="11"/>
  <c r="BJ56" i="11"/>
  <c r="AX56" i="11"/>
  <c r="AL56" i="11"/>
  <c r="Z56" i="11"/>
  <c r="N56" i="11"/>
  <c r="CQ55" i="11"/>
  <c r="CE55" i="11"/>
  <c r="BS55" i="11"/>
  <c r="BG55" i="11"/>
  <c r="AU55" i="11"/>
  <c r="AI55" i="11"/>
  <c r="W55" i="11"/>
  <c r="K55" i="11"/>
  <c r="CN54" i="11"/>
  <c r="CB54" i="11"/>
  <c r="BP54" i="11"/>
  <c r="BD54" i="11"/>
  <c r="AR54" i="11"/>
  <c r="T54" i="11"/>
  <c r="H54" i="11"/>
  <c r="CK53" i="11"/>
  <c r="BY53" i="11"/>
  <c r="BM53" i="11"/>
  <c r="BA53" i="11"/>
  <c r="AO53" i="11"/>
  <c r="AC53" i="11"/>
  <c r="Q53" i="11"/>
  <c r="CT52" i="11"/>
  <c r="CH52" i="11"/>
  <c r="BV52" i="11"/>
  <c r="BJ52" i="11"/>
  <c r="AX52" i="11"/>
  <c r="AL52" i="11"/>
  <c r="Z52" i="11"/>
  <c r="N52" i="11"/>
  <c r="CQ51" i="11"/>
  <c r="CE51" i="11"/>
  <c r="BS51" i="11"/>
  <c r="H64" i="11"/>
  <c r="AX62" i="11"/>
  <c r="CN60" i="11"/>
  <c r="BK59" i="11"/>
  <c r="CD58" i="11"/>
  <c r="AH58" i="11"/>
  <c r="CA57" i="11"/>
  <c r="AE57" i="11"/>
  <c r="BX56" i="11"/>
  <c r="AB56" i="11"/>
  <c r="BU55" i="11"/>
  <c r="Y55" i="11"/>
  <c r="CE54" i="11"/>
  <c r="BE54" i="11"/>
  <c r="AD54" i="11"/>
  <c r="CM53" i="11"/>
  <c r="BL53" i="11"/>
  <c r="AF53" i="11"/>
  <c r="CU52" i="11"/>
  <c r="BT52" i="11"/>
  <c r="AN52" i="11"/>
  <c r="M52" i="11"/>
  <c r="CD51" i="11"/>
  <c r="BI51" i="11"/>
  <c r="AW51" i="11"/>
  <c r="AK51" i="11"/>
  <c r="Y51" i="11"/>
  <c r="M51" i="11"/>
  <c r="CP50" i="11"/>
  <c r="CD50" i="11"/>
  <c r="BR50" i="11"/>
  <c r="BF50" i="11"/>
  <c r="AT50" i="11"/>
  <c r="AH50" i="11"/>
  <c r="V50" i="11"/>
  <c r="J50" i="11"/>
  <c r="CM49" i="11"/>
  <c r="CA49" i="11"/>
  <c r="BO49" i="11"/>
  <c r="BC49" i="11"/>
  <c r="AQ49" i="11"/>
  <c r="AE49" i="11"/>
  <c r="S49" i="11"/>
  <c r="G49" i="11"/>
  <c r="BM63" i="11"/>
  <c r="N62" i="11"/>
  <c r="BD60" i="11"/>
  <c r="AL59" i="11"/>
  <c r="BR58" i="11"/>
  <c r="V58" i="11"/>
  <c r="BO57" i="11"/>
  <c r="S57" i="11"/>
  <c r="BL56" i="11"/>
  <c r="P56" i="11"/>
  <c r="BI55" i="11"/>
  <c r="M55" i="11"/>
  <c r="CA54" i="11"/>
  <c r="AU54" i="11"/>
  <c r="U54" i="11"/>
  <c r="CI53" i="11"/>
  <c r="BC53" i="11"/>
  <c r="AB53" i="11"/>
  <c r="CK52" i="11"/>
  <c r="BK52" i="11"/>
  <c r="AJ52" i="11"/>
  <c r="CT51" i="11"/>
  <c r="BV51" i="11"/>
  <c r="BF51" i="11"/>
  <c r="AT51" i="11"/>
  <c r="AH51" i="11"/>
  <c r="V51" i="11"/>
  <c r="J51" i="11"/>
  <c r="CM50" i="11"/>
  <c r="CA50" i="11"/>
  <c r="BO50" i="11"/>
  <c r="BC50" i="11"/>
  <c r="AQ50" i="11"/>
  <c r="AE50" i="11"/>
  <c r="S50" i="11"/>
  <c r="G50" i="11"/>
  <c r="CJ49" i="11"/>
  <c r="BX49" i="11"/>
  <c r="BL49" i="11"/>
  <c r="AZ49" i="11"/>
  <c r="AN49" i="11"/>
  <c r="AB49" i="11"/>
  <c r="P49" i="11"/>
  <c r="BL63" i="11"/>
  <c r="M62" i="11"/>
  <c r="BC60" i="11"/>
  <c r="AK59" i="11"/>
  <c r="BQ58" i="11"/>
  <c r="U58" i="11"/>
  <c r="BN57" i="11"/>
  <c r="R57" i="11"/>
  <c r="BK56" i="11"/>
  <c r="O56" i="11"/>
  <c r="BH55" i="11"/>
  <c r="L55" i="11"/>
  <c r="BZ54" i="11"/>
  <c r="AT54" i="11"/>
  <c r="S54" i="11"/>
  <c r="CB53" i="11"/>
  <c r="BB53" i="11"/>
  <c r="AA53" i="11"/>
  <c r="CJ52" i="11"/>
  <c r="BI52" i="11"/>
  <c r="AC52" i="11"/>
  <c r="CS51" i="11"/>
  <c r="BU51" i="11"/>
  <c r="BE51" i="11"/>
  <c r="AS51" i="11"/>
  <c r="AG51" i="11"/>
  <c r="U51" i="11"/>
  <c r="I51" i="11"/>
  <c r="CL50" i="11"/>
  <c r="BZ50" i="11"/>
  <c r="BN50" i="11"/>
  <c r="BB50" i="11"/>
  <c r="AP50" i="11"/>
  <c r="AD50" i="11"/>
  <c r="R50" i="11"/>
  <c r="CU49" i="11"/>
  <c r="CI49" i="11"/>
  <c r="BW49" i="11"/>
  <c r="BK49" i="11"/>
  <c r="AY49" i="11"/>
  <c r="AM49" i="11"/>
  <c r="AA49" i="11"/>
  <c r="O49" i="11"/>
  <c r="CK64" i="11"/>
  <c r="AL63" i="11"/>
  <c r="CB61" i="11"/>
  <c r="AD60" i="11"/>
  <c r="O59" i="11"/>
  <c r="BG58" i="11"/>
  <c r="K58" i="11"/>
  <c r="BD57" i="11"/>
  <c r="H57" i="11"/>
  <c r="BA56" i="11"/>
  <c r="CT55" i="11"/>
  <c r="AX55" i="11"/>
  <c r="J55" i="11"/>
  <c r="BS54" i="11"/>
  <c r="AS54" i="11"/>
  <c r="R54" i="11"/>
  <c r="CA53" i="11"/>
  <c r="AZ53" i="11"/>
  <c r="T53" i="11"/>
  <c r="CI52" i="11"/>
  <c r="BH52" i="11"/>
  <c r="AB52" i="11"/>
  <c r="CR51" i="11"/>
  <c r="BT51" i="11"/>
  <c r="BD51" i="11"/>
  <c r="AR51" i="11"/>
  <c r="AF51" i="11"/>
  <c r="T51" i="11"/>
  <c r="H51" i="11"/>
  <c r="CK50" i="11"/>
  <c r="BY50" i="11"/>
  <c r="BM50" i="11"/>
  <c r="BA50" i="11"/>
  <c r="AO50" i="11"/>
  <c r="AC50" i="11"/>
  <c r="Q50" i="11"/>
  <c r="CT49" i="11"/>
  <c r="CH49" i="11"/>
  <c r="BV49" i="11"/>
  <c r="BJ49" i="11"/>
  <c r="AX49" i="11"/>
  <c r="AL49" i="11"/>
  <c r="Z49" i="11"/>
  <c r="N49" i="11"/>
  <c r="CB64" i="11"/>
  <c r="AC63" i="11"/>
  <c r="BS61" i="11"/>
  <c r="AC60" i="11"/>
  <c r="N59" i="11"/>
  <c r="BF58" i="11"/>
  <c r="J58" i="11"/>
  <c r="BC57" i="11"/>
  <c r="G57" i="11"/>
  <c r="AZ56" i="11"/>
  <c r="CS55" i="11"/>
  <c r="AW55" i="11"/>
  <c r="I55" i="11"/>
  <c r="BR54" i="11"/>
  <c r="AQ54" i="11"/>
  <c r="K54" i="11"/>
  <c r="BZ53" i="11"/>
  <c r="AY53" i="11"/>
  <c r="S53" i="11"/>
  <c r="CG52" i="11"/>
  <c r="BA52" i="11"/>
  <c r="AA52" i="11"/>
  <c r="CP51" i="11"/>
  <c r="BR51" i="11"/>
  <c r="BC51" i="11"/>
  <c r="AQ51" i="11"/>
  <c r="AE51" i="11"/>
  <c r="S51" i="11"/>
  <c r="G51" i="11"/>
  <c r="CJ50" i="11"/>
  <c r="BX50" i="11"/>
  <c r="BL50" i="11"/>
  <c r="AZ50" i="11"/>
  <c r="AN50" i="11"/>
  <c r="AB50" i="11"/>
  <c r="P50" i="11"/>
  <c r="CS49" i="11"/>
  <c r="CG49" i="11"/>
  <c r="BU49" i="11"/>
  <c r="BI49" i="11"/>
  <c r="AW49" i="11"/>
  <c r="AK49" i="11"/>
  <c r="Y49" i="11"/>
  <c r="M49" i="11"/>
  <c r="AR64" i="11"/>
  <c r="CH62" i="11"/>
  <c r="AI61" i="11"/>
  <c r="CK59" i="11"/>
  <c r="CP58" i="11"/>
  <c r="AT58" i="11"/>
  <c r="CM57" i="11"/>
  <c r="AQ57" i="11"/>
  <c r="CJ56" i="11"/>
  <c r="AN56" i="11"/>
  <c r="CG55" i="11"/>
  <c r="AK55" i="11"/>
  <c r="CO54" i="11"/>
  <c r="BN54" i="11"/>
  <c r="AH54" i="11"/>
  <c r="G54" i="11"/>
  <c r="BP53" i="11"/>
  <c r="AP53" i="11"/>
  <c r="O53" i="11"/>
  <c r="BX52" i="11"/>
  <c r="AW52" i="11"/>
  <c r="Q52" i="11"/>
  <c r="CH51" i="11"/>
  <c r="BL51" i="11"/>
  <c r="AZ51" i="11"/>
  <c r="AN51" i="11"/>
  <c r="AB51" i="11"/>
  <c r="P51" i="11"/>
  <c r="CS50" i="11"/>
  <c r="CG50" i="11"/>
  <c r="BU50" i="11"/>
  <c r="BI50" i="11"/>
  <c r="AW50" i="11"/>
  <c r="AK50" i="11"/>
  <c r="Y50" i="11"/>
  <c r="M50" i="11"/>
  <c r="CP49" i="11"/>
  <c r="CD49" i="11"/>
  <c r="BR49" i="11"/>
  <c r="BF49" i="11"/>
  <c r="AT49" i="11"/>
  <c r="AH49" i="11"/>
  <c r="V49" i="11"/>
  <c r="J49" i="11"/>
  <c r="AQ64" i="11"/>
  <c r="AH61" i="11"/>
  <c r="CO58" i="11"/>
  <c r="CL57" i="11"/>
  <c r="CI56" i="11"/>
  <c r="CF55" i="11"/>
  <c r="CM54" i="11"/>
  <c r="AG54" i="11"/>
  <c r="BO53" i="11"/>
  <c r="H53" i="11"/>
  <c r="AV52" i="11"/>
  <c r="CG51" i="11"/>
  <c r="AY51" i="11"/>
  <c r="AA51" i="11"/>
  <c r="CR50" i="11"/>
  <c r="BT50" i="11"/>
  <c r="AV50" i="11"/>
  <c r="X50" i="11"/>
  <c r="CO49" i="11"/>
  <c r="BQ49" i="11"/>
  <c r="AS49" i="11"/>
  <c r="U49" i="11"/>
  <c r="G64" i="11"/>
  <c r="CM60" i="11"/>
  <c r="CC58" i="11"/>
  <c r="BZ57" i="11"/>
  <c r="BW56" i="11"/>
  <c r="BT55" i="11"/>
  <c r="CD54" i="11"/>
  <c r="W54" i="11"/>
  <c r="BK53" i="11"/>
  <c r="CS52" i="11"/>
  <c r="AM52" i="11"/>
  <c r="CC51" i="11"/>
  <c r="AV51" i="11"/>
  <c r="X51" i="11"/>
  <c r="CO50" i="11"/>
  <c r="BQ50" i="11"/>
  <c r="AS50" i="11"/>
  <c r="U50" i="11"/>
  <c r="CL49" i="11"/>
  <c r="BN49" i="11"/>
  <c r="AP49" i="11"/>
  <c r="R49" i="11"/>
  <c r="E39" i="11"/>
  <c r="BV63" i="11"/>
  <c r="BM60" i="11"/>
  <c r="BS58" i="11"/>
  <c r="BP57" i="11"/>
  <c r="BM56" i="11"/>
  <c r="BJ55" i="11"/>
  <c r="CC54" i="11"/>
  <c r="V54" i="11"/>
  <c r="BD53" i="11"/>
  <c r="CR52" i="11"/>
  <c r="AK52" i="11"/>
  <c r="BY51" i="11"/>
  <c r="AU51" i="11"/>
  <c r="W51" i="11"/>
  <c r="CN50" i="11"/>
  <c r="BP50" i="11"/>
  <c r="AR50" i="11"/>
  <c r="T50" i="11"/>
  <c r="CK49" i="11"/>
  <c r="BM49" i="11"/>
  <c r="AO49" i="11"/>
  <c r="Q49" i="11"/>
  <c r="AB63" i="11"/>
  <c r="AB60" i="11"/>
  <c r="BE58" i="11"/>
  <c r="BB57" i="11"/>
  <c r="AY56" i="11"/>
  <c r="AV55" i="11"/>
  <c r="BQ54" i="11"/>
  <c r="J54" i="11"/>
  <c r="AR53" i="11"/>
  <c r="CF52" i="11"/>
  <c r="Y52" i="11"/>
  <c r="BQ51" i="11"/>
  <c r="AP51" i="11"/>
  <c r="R51" i="11"/>
  <c r="CI50" i="11"/>
  <c r="BK50" i="11"/>
  <c r="AM50" i="11"/>
  <c r="O50" i="11"/>
  <c r="CF49" i="11"/>
  <c r="BH49" i="11"/>
  <c r="AJ49" i="11"/>
  <c r="L49" i="11"/>
  <c r="CG62" i="11"/>
  <c r="CJ59" i="11"/>
  <c r="AS58" i="11"/>
  <c r="AP57" i="11"/>
  <c r="AM56" i="11"/>
  <c r="AJ55" i="11"/>
  <c r="BG54" i="11"/>
  <c r="CU53" i="11"/>
  <c r="AN53" i="11"/>
  <c r="BW52" i="11"/>
  <c r="P52" i="11"/>
  <c r="BK51" i="11"/>
  <c r="AM51" i="11"/>
  <c r="O51" i="11"/>
  <c r="CF50" i="11"/>
  <c r="BH50" i="11"/>
  <c r="AJ50" i="11"/>
  <c r="L50" i="11"/>
  <c r="CC49" i="11"/>
  <c r="BE49" i="11"/>
  <c r="AG49" i="11"/>
  <c r="I49" i="11"/>
  <c r="AW62" i="11"/>
  <c r="BJ59" i="11"/>
  <c r="AG58" i="11"/>
  <c r="AD57" i="11"/>
  <c r="AA56" i="11"/>
  <c r="X55" i="11"/>
  <c r="BC54" i="11"/>
  <c r="CL53" i="11"/>
  <c r="AE53" i="11"/>
  <c r="BM52" i="11"/>
  <c r="L52" i="11"/>
  <c r="BH51" i="11"/>
  <c r="AJ51" i="11"/>
  <c r="L51" i="11"/>
  <c r="CC50" i="11"/>
  <c r="BE50" i="11"/>
  <c r="AG50" i="11"/>
  <c r="I50" i="11"/>
  <c r="BZ49" i="11"/>
  <c r="BB49" i="11"/>
  <c r="AD49" i="11"/>
  <c r="CB57" i="11"/>
  <c r="BS50" i="11"/>
  <c r="CS59" i="11"/>
  <c r="AR57" i="11"/>
  <c r="BL59" i="11"/>
  <c r="AF57" i="11"/>
  <c r="Z55" i="11"/>
  <c r="CN53" i="11"/>
  <c r="BU52" i="11"/>
  <c r="BJ51" i="11"/>
  <c r="N51" i="11"/>
  <c r="AM59" i="11"/>
  <c r="T57" i="11"/>
  <c r="N55" i="11"/>
  <c r="CJ53" i="11"/>
  <c r="BL52" i="11"/>
  <c r="BG51" i="11"/>
  <c r="K51" i="11"/>
  <c r="BD50" i="11"/>
  <c r="H50" i="11"/>
  <c r="BA49" i="11"/>
  <c r="H36" i="11"/>
  <c r="CA64" i="11"/>
  <c r="M59" i="11"/>
  <c r="CU56" i="11"/>
  <c r="CQ54" i="11"/>
  <c r="BX53" i="11"/>
  <c r="AZ52" i="11"/>
  <c r="BB51" i="11"/>
  <c r="CU50" i="11"/>
  <c r="AY50" i="11"/>
  <c r="CR49" i="11"/>
  <c r="AV49" i="11"/>
  <c r="BA64" i="11"/>
  <c r="CQ58" i="11"/>
  <c r="CK56" i="11"/>
  <c r="CP54" i="11"/>
  <c r="BW53" i="11"/>
  <c r="AY52" i="11"/>
  <c r="BA51" i="11"/>
  <c r="CT50" i="11"/>
  <c r="AX50" i="11"/>
  <c r="CQ49" i="11"/>
  <c r="AU49" i="11"/>
  <c r="BG62" i="11"/>
  <c r="AC56" i="11"/>
  <c r="AM53" i="11"/>
  <c r="CE50" i="11"/>
  <c r="CB49" i="11"/>
  <c r="AF49" i="11"/>
  <c r="Q64" i="11"/>
  <c r="CE58" i="11"/>
  <c r="BY56" i="11"/>
  <c r="CL54" i="11"/>
  <c r="BN53" i="11"/>
  <c r="AO52" i="11"/>
  <c r="AX51" i="11"/>
  <c r="CQ50" i="11"/>
  <c r="AU50" i="11"/>
  <c r="CN49" i="11"/>
  <c r="AR49" i="11"/>
  <c r="O36" i="11"/>
  <c r="CQ62" i="11"/>
  <c r="AU58" i="11"/>
  <c r="AO56" i="11"/>
  <c r="BO54" i="11"/>
  <c r="AQ53" i="11"/>
  <c r="X52" i="11"/>
  <c r="AO51" i="11"/>
  <c r="CH50" i="11"/>
  <c r="AL50" i="11"/>
  <c r="CE49" i="11"/>
  <c r="AI49" i="11"/>
  <c r="AI58" i="11"/>
  <c r="BF54" i="11"/>
  <c r="O52" i="11"/>
  <c r="AL51" i="11"/>
  <c r="AI50" i="11"/>
  <c r="W62" i="11"/>
  <c r="W58" i="11"/>
  <c r="Q56" i="11"/>
  <c r="BB54" i="11"/>
  <c r="AD53" i="11"/>
  <c r="H52" i="11"/>
  <c r="AI51" i="11"/>
  <c r="CB50" i="11"/>
  <c r="AF50" i="11"/>
  <c r="BY49" i="11"/>
  <c r="AC49" i="11"/>
  <c r="N36" i="11"/>
  <c r="BR61" i="11"/>
  <c r="I58" i="11"/>
  <c r="CR55" i="11"/>
  <c r="AP54" i="11"/>
  <c r="AR61" i="11"/>
  <c r="CN57" i="11"/>
  <c r="CH55" i="11"/>
  <c r="AI54" i="11"/>
  <c r="P53" i="11"/>
  <c r="CK51" i="11"/>
  <c r="AC51" i="11"/>
  <c r="BV50" i="11"/>
  <c r="Z50" i="11"/>
  <c r="BS49" i="11"/>
  <c r="W49" i="11"/>
  <c r="H61" i="11"/>
  <c r="BV55" i="11"/>
  <c r="AE54" i="11"/>
  <c r="G53" i="11"/>
  <c r="CF51" i="11"/>
  <c r="Z51" i="11"/>
  <c r="W50" i="11"/>
  <c r="BP49" i="11"/>
  <c r="T49" i="11"/>
  <c r="L36" i="11"/>
  <c r="BD49" i="11"/>
  <c r="CO51" i="11"/>
  <c r="AB20" i="11"/>
  <c r="Z20" i="11"/>
  <c r="X20" i="11"/>
  <c r="X49" i="11"/>
  <c r="BM51" i="11"/>
  <c r="AB22" i="11"/>
  <c r="Z22" i="11"/>
  <c r="X22" i="11"/>
  <c r="CL37" i="11"/>
  <c r="BZ37" i="11"/>
  <c r="BN37" i="11"/>
  <c r="BB37" i="11"/>
  <c r="AP37" i="11"/>
  <c r="AD37" i="11"/>
  <c r="R37" i="11"/>
  <c r="CJ37" i="11"/>
  <c r="BX37" i="11"/>
  <c r="BL37" i="11"/>
  <c r="AZ37" i="11"/>
  <c r="AN37" i="11"/>
  <c r="AB37" i="11"/>
  <c r="P37" i="11"/>
  <c r="CU37" i="11"/>
  <c r="CI37" i="11"/>
  <c r="BW37" i="11"/>
  <c r="BK37" i="11"/>
  <c r="AY37" i="11"/>
  <c r="AM37" i="11"/>
  <c r="AA37" i="11"/>
  <c r="O37" i="11"/>
  <c r="CT37" i="11"/>
  <c r="CH37" i="11"/>
  <c r="BV37" i="11"/>
  <c r="BJ37" i="11"/>
  <c r="AX37" i="11"/>
  <c r="AL37" i="11"/>
  <c r="Z37" i="11"/>
  <c r="N37" i="11"/>
  <c r="CR37" i="11"/>
  <c r="CB37" i="11"/>
  <c r="BH37" i="11"/>
  <c r="AR37" i="11"/>
  <c r="X37" i="11"/>
  <c r="H37" i="11"/>
  <c r="CQ37" i="11"/>
  <c r="CA37" i="11"/>
  <c r="CP37" i="11"/>
  <c r="BY37" i="11"/>
  <c r="BF37" i="11"/>
  <c r="AO37" i="11"/>
  <c r="V37" i="11"/>
  <c r="AI37" i="11"/>
  <c r="CO37" i="11"/>
  <c r="BU37" i="11"/>
  <c r="BE37" i="11"/>
  <c r="AK37" i="11"/>
  <c r="U37" i="11"/>
  <c r="CM37" i="11"/>
  <c r="BC37" i="11"/>
  <c r="CN37" i="11"/>
  <c r="BT37" i="11"/>
  <c r="BD37" i="11"/>
  <c r="AJ37" i="11"/>
  <c r="T37" i="11"/>
  <c r="BS37" i="11"/>
  <c r="S37" i="11"/>
  <c r="CK37" i="11"/>
  <c r="BR37" i="11"/>
  <c r="BA37" i="11"/>
  <c r="AH37" i="11"/>
  <c r="Q37" i="11"/>
  <c r="CF37" i="11"/>
  <c r="BP37" i="11"/>
  <c r="AV37" i="11"/>
  <c r="AF37" i="11"/>
  <c r="L37" i="11"/>
  <c r="AT37" i="11"/>
  <c r="CS37" i="11"/>
  <c r="BG49" i="11"/>
  <c r="BY52" i="11"/>
  <c r="AB24" i="11"/>
  <c r="J35" i="11"/>
  <c r="V35" i="11"/>
  <c r="AH35" i="11"/>
  <c r="AT35" i="11"/>
  <c r="BF35" i="11"/>
  <c r="BR35" i="11"/>
  <c r="CD35" i="11"/>
  <c r="CP35" i="11"/>
  <c r="L35" i="11"/>
  <c r="X35" i="11"/>
  <c r="AJ35" i="11"/>
  <c r="AV35" i="11"/>
  <c r="BH35" i="11"/>
  <c r="BT35" i="11"/>
  <c r="CF35" i="11"/>
  <c r="CR35" i="11"/>
  <c r="N35" i="11"/>
  <c r="Z35" i="11"/>
  <c r="AL35" i="11"/>
  <c r="AX35" i="11"/>
  <c r="BJ35" i="11"/>
  <c r="BV35" i="11"/>
  <c r="CH35" i="11"/>
  <c r="CT35" i="11"/>
  <c r="CR41" i="11"/>
  <c r="CF41" i="11"/>
  <c r="BT41" i="11"/>
  <c r="BH41" i="11"/>
  <c r="AV41" i="11"/>
  <c r="AJ41" i="11"/>
  <c r="X41" i="11"/>
  <c r="L41" i="11"/>
  <c r="CP41" i="11"/>
  <c r="CD41" i="11"/>
  <c r="BR41" i="11"/>
  <c r="BF41" i="11"/>
  <c r="AT41" i="11"/>
  <c r="AH41" i="11"/>
  <c r="V41" i="11"/>
  <c r="J41" i="11"/>
  <c r="CO41" i="11"/>
  <c r="CC41" i="11"/>
  <c r="BQ41" i="11"/>
  <c r="BE41" i="11"/>
  <c r="AS41" i="11"/>
  <c r="AG41" i="11"/>
  <c r="U41" i="11"/>
  <c r="I41" i="11"/>
  <c r="CN41" i="11"/>
  <c r="CB41" i="11"/>
  <c r="BP41" i="11"/>
  <c r="BD41" i="11"/>
  <c r="AR41" i="11"/>
  <c r="AF41" i="11"/>
  <c r="T41" i="11"/>
  <c r="H41" i="11"/>
  <c r="CL41" i="11"/>
  <c r="BZ41" i="11"/>
  <c r="BN41" i="11"/>
  <c r="BB41" i="11"/>
  <c r="AP41" i="11"/>
  <c r="AD41" i="11"/>
  <c r="R41" i="11"/>
  <c r="CJ41" i="11"/>
  <c r="BX41" i="11"/>
  <c r="BL41" i="11"/>
  <c r="AZ41" i="11"/>
  <c r="AN41" i="11"/>
  <c r="AB41" i="11"/>
  <c r="P41" i="11"/>
  <c r="AE41" i="11"/>
  <c r="BC41" i="11"/>
  <c r="CA41" i="11"/>
  <c r="O35" i="11"/>
  <c r="AA35" i="11"/>
  <c r="AM35" i="11"/>
  <c r="AY35" i="11"/>
  <c r="BK35" i="11"/>
  <c r="BW35" i="11"/>
  <c r="CI35" i="11"/>
  <c r="CU35" i="11"/>
  <c r="P35" i="11"/>
  <c r="AB35" i="11"/>
  <c r="AN35" i="11"/>
  <c r="AZ35" i="11"/>
  <c r="BL35" i="11"/>
  <c r="BX35" i="11"/>
  <c r="CJ35" i="11"/>
  <c r="R35" i="11"/>
  <c r="AD35" i="11"/>
  <c r="AP35" i="11"/>
  <c r="BB35" i="11"/>
  <c r="BN35" i="11"/>
  <c r="BZ35" i="11"/>
  <c r="A58" i="5" l="1"/>
  <c r="B58" i="5"/>
  <c r="C58" i="5"/>
  <c r="A56" i="5"/>
  <c r="B56" i="5"/>
  <c r="C56" i="5"/>
  <c r="A55" i="5"/>
  <c r="B55" i="5"/>
  <c r="C55" i="5"/>
  <c r="A54" i="5"/>
  <c r="B54" i="5"/>
  <c r="C54" i="5"/>
  <c r="A53" i="5"/>
  <c r="B53" i="5"/>
  <c r="C53" i="5"/>
  <c r="A52" i="5"/>
  <c r="B52" i="5"/>
  <c r="C52" i="5"/>
  <c r="A50" i="5"/>
  <c r="B50" i="5"/>
  <c r="C50" i="5"/>
  <c r="A49" i="5"/>
  <c r="B49" i="5"/>
  <c r="C49" i="5"/>
  <c r="A48" i="5"/>
  <c r="B48" i="5"/>
  <c r="C48" i="5"/>
  <c r="A47" i="5"/>
  <c r="B47" i="5"/>
  <c r="C47" i="5"/>
  <c r="A46" i="5"/>
  <c r="B46" i="5"/>
  <c r="C46" i="5"/>
  <c r="A45" i="5"/>
  <c r="B45" i="5"/>
  <c r="C45" i="5"/>
  <c r="A44" i="5"/>
  <c r="B44" i="5"/>
  <c r="C44" i="5"/>
  <c r="A42" i="5"/>
  <c r="B42" i="5"/>
  <c r="C42" i="5"/>
  <c r="A41" i="5"/>
  <c r="B41" i="5"/>
  <c r="C41" i="5"/>
  <c r="A40" i="5"/>
  <c r="B40" i="5"/>
  <c r="C40" i="5"/>
  <c r="A39" i="5"/>
  <c r="B39" i="5"/>
  <c r="C39" i="5"/>
  <c r="A38" i="5"/>
  <c r="B38" i="5"/>
  <c r="C38" i="5"/>
  <c r="A37" i="5"/>
  <c r="B37" i="5"/>
  <c r="C37" i="5"/>
  <c r="A36" i="5"/>
  <c r="B36" i="5"/>
  <c r="C36" i="5"/>
  <c r="A35" i="5"/>
  <c r="B35" i="5"/>
  <c r="C35" i="5"/>
  <c r="A34" i="5"/>
  <c r="B34" i="5"/>
  <c r="C34" i="5"/>
  <c r="A33" i="5"/>
  <c r="B33" i="5"/>
  <c r="C33" i="5"/>
  <c r="A32" i="5"/>
  <c r="B32" i="5"/>
  <c r="C32" i="5"/>
  <c r="A31" i="5"/>
  <c r="B31" i="5"/>
  <c r="C31" i="5"/>
  <c r="AT13" i="20" a="1"/>
  <c r="AT13" i="20" s="1"/>
  <c r="E13" i="20" s="1"/>
  <c r="AT12" i="20" a="1"/>
  <c r="AT12" i="20" s="1"/>
  <c r="E12" i="20" s="1"/>
  <c r="AT11" i="20" a="1"/>
  <c r="AT11" i="20" s="1"/>
  <c r="E11" i="20" s="1"/>
  <c r="B44" i="1"/>
  <c r="A44" i="1"/>
  <c r="C44" i="1"/>
  <c r="DU39" i="11"/>
  <c r="EG39" i="11"/>
  <c r="ES39" i="11"/>
  <c r="FE39" i="11"/>
  <c r="FQ39" i="11"/>
  <c r="GC39" i="11"/>
  <c r="CY39" i="11"/>
  <c r="DK39" i="11"/>
  <c r="DV39" i="11"/>
  <c r="EH39" i="11"/>
  <c r="ET39" i="11"/>
  <c r="FF39" i="11"/>
  <c r="FR39" i="11"/>
  <c r="GD39" i="11"/>
  <c r="DW39" i="11"/>
  <c r="EI39" i="11"/>
  <c r="EU39" i="11"/>
  <c r="FG39" i="11"/>
  <c r="FS39" i="11"/>
  <c r="GE39" i="11"/>
  <c r="DA39" i="11"/>
  <c r="DM39" i="11"/>
  <c r="FL39" i="11"/>
  <c r="DX39" i="11"/>
  <c r="EJ39" i="11"/>
  <c r="EV39" i="11"/>
  <c r="FH39" i="11"/>
  <c r="FT39" i="11"/>
  <c r="GF39" i="11"/>
  <c r="DB39" i="11"/>
  <c r="DN39" i="11"/>
  <c r="EB39" i="11"/>
  <c r="DY39" i="11"/>
  <c r="EK39" i="11"/>
  <c r="EW39" i="11"/>
  <c r="FI39" i="11"/>
  <c r="FU39" i="11"/>
  <c r="GG39" i="11"/>
  <c r="DC39" i="11"/>
  <c r="DO39" i="11"/>
  <c r="EZ39" i="11"/>
  <c r="DF39" i="11"/>
  <c r="DZ39" i="11"/>
  <c r="EL39" i="11"/>
  <c r="EX39" i="11"/>
  <c r="FJ39" i="11"/>
  <c r="FV39" i="11"/>
  <c r="GH39" i="11"/>
  <c r="DD39" i="11"/>
  <c r="DP39" i="11"/>
  <c r="EA39" i="11"/>
  <c r="EM39" i="11"/>
  <c r="EY39" i="11"/>
  <c r="FK39" i="11"/>
  <c r="FW39" i="11"/>
  <c r="GI39" i="11"/>
  <c r="DE39" i="11"/>
  <c r="DQ39" i="11"/>
  <c r="EN39" i="11"/>
  <c r="FX39" i="11"/>
  <c r="ER39" i="11"/>
  <c r="GB39" i="11"/>
  <c r="CX39" i="11"/>
  <c r="EQ39" i="11"/>
  <c r="FA39" i="11"/>
  <c r="CZ39" i="11"/>
  <c r="DR39" i="11"/>
  <c r="FB39" i="11"/>
  <c r="DG39" i="11"/>
  <c r="ED39" i="11"/>
  <c r="FY39" i="11"/>
  <c r="EP39" i="11"/>
  <c r="CW39" i="11"/>
  <c r="DS39" i="11"/>
  <c r="FC39" i="11"/>
  <c r="DH39" i="11"/>
  <c r="EC39" i="11"/>
  <c r="FM39" i="11"/>
  <c r="DL39" i="11"/>
  <c r="FP39" i="11"/>
  <c r="DT39" i="11"/>
  <c r="FD39" i="11"/>
  <c r="DI39" i="11"/>
  <c r="DJ39" i="11"/>
  <c r="FN39" i="11"/>
  <c r="EO39" i="11"/>
  <c r="FZ39" i="11"/>
  <c r="CV39" i="11"/>
  <c r="EE39" i="11"/>
  <c r="FO39" i="11"/>
  <c r="EF39" i="11"/>
  <c r="GA39" i="11"/>
  <c r="G40" i="11"/>
  <c r="DW40" i="11"/>
  <c r="EI40" i="11"/>
  <c r="EU40" i="11"/>
  <c r="FG40" i="11"/>
  <c r="FS40" i="11"/>
  <c r="GE40" i="11"/>
  <c r="DA40" i="11"/>
  <c r="DM40" i="11"/>
  <c r="DX40" i="11"/>
  <c r="EJ40" i="11"/>
  <c r="EV40" i="11"/>
  <c r="FH40" i="11"/>
  <c r="FT40" i="11"/>
  <c r="GF40" i="11"/>
  <c r="DY40" i="11"/>
  <c r="EK40" i="11"/>
  <c r="EW40" i="11"/>
  <c r="FI40" i="11"/>
  <c r="FU40" i="11"/>
  <c r="GG40" i="11"/>
  <c r="DC40" i="11"/>
  <c r="DO40" i="11"/>
  <c r="EP40" i="11"/>
  <c r="FZ40" i="11"/>
  <c r="DH40" i="11"/>
  <c r="DZ40" i="11"/>
  <c r="EL40" i="11"/>
  <c r="EX40" i="11"/>
  <c r="FJ40" i="11"/>
  <c r="FV40" i="11"/>
  <c r="GH40" i="11"/>
  <c r="DD40" i="11"/>
  <c r="DP40" i="11"/>
  <c r="EA40" i="11"/>
  <c r="EM40" i="11"/>
  <c r="EY40" i="11"/>
  <c r="FK40" i="11"/>
  <c r="FW40" i="11"/>
  <c r="GI40" i="11"/>
  <c r="DE40" i="11"/>
  <c r="DQ40" i="11"/>
  <c r="ED40" i="11"/>
  <c r="EB40" i="11"/>
  <c r="EN40" i="11"/>
  <c r="EZ40" i="11"/>
  <c r="FL40" i="11"/>
  <c r="FX40" i="11"/>
  <c r="DF40" i="11"/>
  <c r="EC40" i="11"/>
  <c r="EO40" i="11"/>
  <c r="FA40" i="11"/>
  <c r="FM40" i="11"/>
  <c r="FY40" i="11"/>
  <c r="DG40" i="11"/>
  <c r="DR40" i="11"/>
  <c r="FB40" i="11"/>
  <c r="FN40" i="11"/>
  <c r="CV40" i="11"/>
  <c r="ET40" i="11"/>
  <c r="GD40" i="11"/>
  <c r="DI40" i="11"/>
  <c r="ES40" i="11"/>
  <c r="GC40" i="11"/>
  <c r="DS40" i="11"/>
  <c r="FC40" i="11"/>
  <c r="DJ40" i="11"/>
  <c r="DT40" i="11"/>
  <c r="FD40" i="11"/>
  <c r="DK40" i="11"/>
  <c r="EF40" i="11"/>
  <c r="FP40" i="11"/>
  <c r="FR40" i="11"/>
  <c r="CY40" i="11"/>
  <c r="GB40" i="11"/>
  <c r="DU40" i="11"/>
  <c r="FE40" i="11"/>
  <c r="DL40" i="11"/>
  <c r="FO40" i="11"/>
  <c r="CW40" i="11"/>
  <c r="GA40" i="11"/>
  <c r="ER40" i="11"/>
  <c r="CZ40" i="11"/>
  <c r="DV40" i="11"/>
  <c r="FF40" i="11"/>
  <c r="DN40" i="11"/>
  <c r="EE40" i="11"/>
  <c r="EH40" i="11"/>
  <c r="CX40" i="11"/>
  <c r="EG40" i="11"/>
  <c r="FQ40" i="11"/>
  <c r="EQ40" i="11"/>
  <c r="DB40" i="11"/>
  <c r="DS38" i="11"/>
  <c r="EE38" i="11"/>
  <c r="EQ38" i="11"/>
  <c r="FC38" i="11"/>
  <c r="FO38" i="11"/>
  <c r="GA38" i="11"/>
  <c r="CW38" i="11"/>
  <c r="DI38" i="11"/>
  <c r="DT38" i="11"/>
  <c r="EF38" i="11"/>
  <c r="ER38" i="11"/>
  <c r="FD38" i="11"/>
  <c r="FP38" i="11"/>
  <c r="GB38" i="11"/>
  <c r="CX38" i="11"/>
  <c r="DJ38" i="11"/>
  <c r="DU38" i="11"/>
  <c r="EG38" i="11"/>
  <c r="ES38" i="11"/>
  <c r="FE38" i="11"/>
  <c r="FQ38" i="11"/>
  <c r="GC38" i="11"/>
  <c r="CY38" i="11"/>
  <c r="DK38" i="11"/>
  <c r="EX38" i="11"/>
  <c r="GH38" i="11"/>
  <c r="DV38" i="11"/>
  <c r="EH38" i="11"/>
  <c r="ET38" i="11"/>
  <c r="FF38" i="11"/>
  <c r="FR38" i="11"/>
  <c r="GD38" i="11"/>
  <c r="CZ38" i="11"/>
  <c r="DL38" i="11"/>
  <c r="DD38" i="11"/>
  <c r="DW38" i="11"/>
  <c r="EI38" i="11"/>
  <c r="EU38" i="11"/>
  <c r="FG38" i="11"/>
  <c r="FS38" i="11"/>
  <c r="GE38" i="11"/>
  <c r="DA38" i="11"/>
  <c r="DM38" i="11"/>
  <c r="DZ38" i="11"/>
  <c r="FV38" i="11"/>
  <c r="DX38" i="11"/>
  <c r="EJ38" i="11"/>
  <c r="EV38" i="11"/>
  <c r="FH38" i="11"/>
  <c r="FT38" i="11"/>
  <c r="GF38" i="11"/>
  <c r="DB38" i="11"/>
  <c r="DN38" i="11"/>
  <c r="DY38" i="11"/>
  <c r="EK38" i="11"/>
  <c r="EW38" i="11"/>
  <c r="FI38" i="11"/>
  <c r="FU38" i="11"/>
  <c r="GG38" i="11"/>
  <c r="DC38" i="11"/>
  <c r="DO38" i="11"/>
  <c r="EL38" i="11"/>
  <c r="FJ38" i="11"/>
  <c r="DP38" i="11"/>
  <c r="EP38" i="11"/>
  <c r="FZ38" i="11"/>
  <c r="EO38" i="11"/>
  <c r="EY38" i="11"/>
  <c r="GI38" i="11"/>
  <c r="EZ38" i="11"/>
  <c r="FL38" i="11"/>
  <c r="DF38" i="11"/>
  <c r="DG38" i="11"/>
  <c r="FN38" i="11"/>
  <c r="DH38" i="11"/>
  <c r="EM38" i="11"/>
  <c r="FY38" i="11"/>
  <c r="FA38" i="11"/>
  <c r="FK38" i="11"/>
  <c r="DE38" i="11"/>
  <c r="EB38" i="11"/>
  <c r="ED38" i="11"/>
  <c r="FW38" i="11"/>
  <c r="DQ38" i="11"/>
  <c r="EN38" i="11"/>
  <c r="DR38" i="11"/>
  <c r="FB38" i="11"/>
  <c r="CV38" i="11"/>
  <c r="EA38" i="11"/>
  <c r="EC38" i="11"/>
  <c r="FM38" i="11"/>
  <c r="FX38" i="11"/>
  <c r="DW36" i="11"/>
  <c r="EI36" i="11"/>
  <c r="EU36" i="11"/>
  <c r="FG36" i="11"/>
  <c r="FS36" i="11"/>
  <c r="GE36" i="11"/>
  <c r="DX36" i="11"/>
  <c r="EJ36" i="11"/>
  <c r="EV36" i="11"/>
  <c r="FH36" i="11"/>
  <c r="FT36" i="11"/>
  <c r="DY36" i="11"/>
  <c r="EK36" i="11"/>
  <c r="EW36" i="11"/>
  <c r="FI36" i="11"/>
  <c r="FU36" i="11"/>
  <c r="GG36" i="11"/>
  <c r="DZ36" i="11"/>
  <c r="EL36" i="11"/>
  <c r="EX36" i="11"/>
  <c r="FJ36" i="11"/>
  <c r="FV36" i="11"/>
  <c r="GH36" i="11"/>
  <c r="EB36" i="11"/>
  <c r="EN36" i="11"/>
  <c r="EZ36" i="11"/>
  <c r="FL36" i="11"/>
  <c r="FX36" i="11"/>
  <c r="EC36" i="11"/>
  <c r="EO36" i="11"/>
  <c r="FA36" i="11"/>
  <c r="FM36" i="11"/>
  <c r="FY36" i="11"/>
  <c r="DR36" i="11"/>
  <c r="ED36" i="11"/>
  <c r="DS36" i="11"/>
  <c r="DT36" i="11"/>
  <c r="EF36" i="11"/>
  <c r="ER36" i="11"/>
  <c r="FD36" i="11"/>
  <c r="FP36" i="11"/>
  <c r="GB36" i="11"/>
  <c r="DV36" i="11"/>
  <c r="EH36" i="11"/>
  <c r="ET36" i="11"/>
  <c r="FF36" i="11"/>
  <c r="FR36" i="11"/>
  <c r="GD36" i="11"/>
  <c r="EP36" i="11"/>
  <c r="FZ36" i="11"/>
  <c r="EQ36" i="11"/>
  <c r="GA36" i="11"/>
  <c r="ES36" i="11"/>
  <c r="GC36" i="11"/>
  <c r="EY36" i="11"/>
  <c r="GF36" i="11"/>
  <c r="FB36" i="11"/>
  <c r="GI36" i="11"/>
  <c r="FC36" i="11"/>
  <c r="FE36" i="11"/>
  <c r="DU36" i="11"/>
  <c r="FK36" i="11"/>
  <c r="EA36" i="11"/>
  <c r="FN36" i="11"/>
  <c r="EE36" i="11"/>
  <c r="FO36" i="11"/>
  <c r="EM36" i="11"/>
  <c r="FW36" i="11"/>
  <c r="EG36" i="11"/>
  <c r="FQ36" i="11"/>
  <c r="DW42" i="11"/>
  <c r="EI42" i="11"/>
  <c r="EU42" i="11"/>
  <c r="FG42" i="11"/>
  <c r="FS42" i="11"/>
  <c r="GE42" i="11"/>
  <c r="DY42" i="11"/>
  <c r="EK42" i="11"/>
  <c r="EW42" i="11"/>
  <c r="FI42" i="11"/>
  <c r="FU42" i="11"/>
  <c r="GG42" i="11"/>
  <c r="DZ42" i="11"/>
  <c r="EL42" i="11"/>
  <c r="EX42" i="11"/>
  <c r="FJ42" i="11"/>
  <c r="FV42" i="11"/>
  <c r="GH42" i="11"/>
  <c r="EC42" i="11"/>
  <c r="EO42" i="11"/>
  <c r="FA42" i="11"/>
  <c r="FM42" i="11"/>
  <c r="FY42" i="11"/>
  <c r="DT42" i="11"/>
  <c r="EF42" i="11"/>
  <c r="EA42" i="11"/>
  <c r="ES42" i="11"/>
  <c r="FL42" i="11"/>
  <c r="GC42" i="11"/>
  <c r="EB42" i="11"/>
  <c r="ET42" i="11"/>
  <c r="FN42" i="11"/>
  <c r="GD42" i="11"/>
  <c r="ED42" i="11"/>
  <c r="EV42" i="11"/>
  <c r="FO42" i="11"/>
  <c r="GF42" i="11"/>
  <c r="EE42" i="11"/>
  <c r="EY42" i="11"/>
  <c r="FP42" i="11"/>
  <c r="GI42" i="11"/>
  <c r="EG42" i="11"/>
  <c r="EZ42" i="11"/>
  <c r="FQ42" i="11"/>
  <c r="EH42" i="11"/>
  <c r="FB42" i="11"/>
  <c r="FR42" i="11"/>
  <c r="EJ42" i="11"/>
  <c r="FC42" i="11"/>
  <c r="FT42" i="11"/>
  <c r="DR42" i="11"/>
  <c r="EM42" i="11"/>
  <c r="FD42" i="11"/>
  <c r="FW42" i="11"/>
  <c r="DS42" i="11"/>
  <c r="EN42" i="11"/>
  <c r="FE42" i="11"/>
  <c r="FX42" i="11"/>
  <c r="DU42" i="11"/>
  <c r="EP42" i="11"/>
  <c r="FF42" i="11"/>
  <c r="FZ42" i="11"/>
  <c r="DX42" i="11"/>
  <c r="ER42" i="11"/>
  <c r="FK42" i="11"/>
  <c r="GB42" i="11"/>
  <c r="EQ42" i="11"/>
  <c r="FH42" i="11"/>
  <c r="GA42" i="11"/>
  <c r="DV42" i="11"/>
  <c r="EA44" i="11"/>
  <c r="EM44" i="11"/>
  <c r="EY44" i="11"/>
  <c r="FK44" i="11"/>
  <c r="FW44" i="11"/>
  <c r="GI44" i="11"/>
  <c r="EC44" i="11"/>
  <c r="EO44" i="11"/>
  <c r="FA44" i="11"/>
  <c r="FM44" i="11"/>
  <c r="FY44" i="11"/>
  <c r="DR44" i="11"/>
  <c r="ED44" i="11"/>
  <c r="EP44" i="11"/>
  <c r="FB44" i="11"/>
  <c r="FN44" i="11"/>
  <c r="FZ44" i="11"/>
  <c r="DZ44" i="11"/>
  <c r="ER44" i="11"/>
  <c r="FG44" i="11"/>
  <c r="FV44" i="11"/>
  <c r="EB44" i="11"/>
  <c r="ES44" i="11"/>
  <c r="FH44" i="11"/>
  <c r="FX44" i="11"/>
  <c r="EE44" i="11"/>
  <c r="ET44" i="11"/>
  <c r="FI44" i="11"/>
  <c r="GA44" i="11"/>
  <c r="EF44" i="11"/>
  <c r="EU44" i="11"/>
  <c r="FJ44" i="11"/>
  <c r="GB44" i="11"/>
  <c r="EG44" i="11"/>
  <c r="EV44" i="11"/>
  <c r="FL44" i="11"/>
  <c r="GC44" i="11"/>
  <c r="DS44" i="11"/>
  <c r="EH44" i="11"/>
  <c r="EW44" i="11"/>
  <c r="FO44" i="11"/>
  <c r="GD44" i="11"/>
  <c r="DT44" i="11"/>
  <c r="EI44" i="11"/>
  <c r="EX44" i="11"/>
  <c r="FP44" i="11"/>
  <c r="GE44" i="11"/>
  <c r="DU44" i="11"/>
  <c r="EJ44" i="11"/>
  <c r="EZ44" i="11"/>
  <c r="FQ44" i="11"/>
  <c r="GF44" i="11"/>
  <c r="DV44" i="11"/>
  <c r="EK44" i="11"/>
  <c r="FC44" i="11"/>
  <c r="FR44" i="11"/>
  <c r="GG44" i="11"/>
  <c r="DW44" i="11"/>
  <c r="EL44" i="11"/>
  <c r="FD44" i="11"/>
  <c r="FS44" i="11"/>
  <c r="GH44" i="11"/>
  <c r="DY44" i="11"/>
  <c r="EQ44" i="11"/>
  <c r="FF44" i="11"/>
  <c r="FU44" i="11"/>
  <c r="DX44" i="11"/>
  <c r="EN44" i="11"/>
  <c r="FE44" i="11"/>
  <c r="FT44" i="11"/>
  <c r="CX36" i="11"/>
  <c r="DJ36" i="11"/>
  <c r="CY36" i="11"/>
  <c r="DK36" i="11"/>
  <c r="CZ36" i="11"/>
  <c r="DL36" i="11"/>
  <c r="DA36" i="11"/>
  <c r="DM36" i="11"/>
  <c r="DB36" i="11"/>
  <c r="DN36" i="11"/>
  <c r="DC36" i="11"/>
  <c r="DO36" i="11"/>
  <c r="DD36" i="11"/>
  <c r="DP36" i="11"/>
  <c r="DE36" i="11"/>
  <c r="DQ36" i="11"/>
  <c r="DF36" i="11"/>
  <c r="DG36" i="11"/>
  <c r="CV36" i="11"/>
  <c r="DH36" i="11"/>
  <c r="CW36" i="11"/>
  <c r="DI36" i="11"/>
  <c r="CX42" i="11"/>
  <c r="DJ42" i="11"/>
  <c r="CY42" i="11"/>
  <c r="DK42" i="11"/>
  <c r="CZ42" i="11"/>
  <c r="DL42" i="11"/>
  <c r="DA42" i="11"/>
  <c r="DM42" i="11"/>
  <c r="DB42" i="11"/>
  <c r="DN42" i="11"/>
  <c r="DC42" i="11"/>
  <c r="DO42" i="11"/>
  <c r="DD42" i="11"/>
  <c r="DP42" i="11"/>
  <c r="DE42" i="11"/>
  <c r="DQ42" i="11"/>
  <c r="DF42" i="11"/>
  <c r="DG42" i="11"/>
  <c r="CV42" i="11"/>
  <c r="DH42" i="11"/>
  <c r="CW42" i="11"/>
  <c r="DI42" i="11"/>
  <c r="DB44" i="11"/>
  <c r="DN44" i="11"/>
  <c r="DC44" i="11"/>
  <c r="DO44" i="11"/>
  <c r="DD44" i="11"/>
  <c r="DP44" i="11"/>
  <c r="DE44" i="11"/>
  <c r="DQ44" i="11"/>
  <c r="DF44" i="11"/>
  <c r="DG44" i="11"/>
  <c r="CV44" i="11"/>
  <c r="DH44" i="11"/>
  <c r="CW44" i="11"/>
  <c r="DI44" i="11"/>
  <c r="CX44" i="11"/>
  <c r="DJ44" i="11"/>
  <c r="CY44" i="11"/>
  <c r="DK44" i="11"/>
  <c r="CZ44" i="11"/>
  <c r="DL44" i="11"/>
  <c r="DA44" i="11"/>
  <c r="DM44" i="11"/>
  <c r="AK32" i="12"/>
  <c r="AG32" i="12"/>
  <c r="AN32" i="12"/>
  <c r="Z32" i="12"/>
  <c r="AL32" i="12"/>
  <c r="AO32" i="12"/>
  <c r="AD32" i="12"/>
  <c r="D43" i="11"/>
  <c r="CN43" i="11" s="1"/>
  <c r="AT10" i="20" a="1"/>
  <c r="AT10" i="20" s="1"/>
  <c r="E10" i="20" s="1"/>
  <c r="P70" i="12"/>
  <c r="Q70" i="12" s="1"/>
  <c r="R17" i="12"/>
  <c r="T70" i="12"/>
  <c r="U70" i="12" s="1"/>
  <c r="V70" i="12" s="1"/>
  <c r="P67" i="12"/>
  <c r="T67" i="12"/>
  <c r="U67" i="12" s="1"/>
  <c r="V67" i="12" s="1"/>
  <c r="AI39" i="11"/>
  <c r="CU39" i="11"/>
  <c r="AM39" i="11"/>
  <c r="AS39" i="11"/>
  <c r="T39" i="11"/>
  <c r="BA39" i="11"/>
  <c r="CF39" i="11"/>
  <c r="CS39" i="11"/>
  <c r="BE39" i="11"/>
  <c r="BI39" i="11"/>
  <c r="BK39" i="11"/>
  <c r="I39" i="11"/>
  <c r="H39" i="11"/>
  <c r="AO39" i="11"/>
  <c r="BT39" i="11"/>
  <c r="AQ39" i="11"/>
  <c r="AY39" i="11"/>
  <c r="CD39" i="11"/>
  <c r="CG39" i="11"/>
  <c r="Z39" i="11"/>
  <c r="CL39" i="11"/>
  <c r="AC39" i="11"/>
  <c r="BH39" i="11"/>
  <c r="CP39" i="11"/>
  <c r="CT39" i="11"/>
  <c r="Y39" i="11"/>
  <c r="AU39" i="11"/>
  <c r="BZ39" i="11"/>
  <c r="Q39" i="11"/>
  <c r="AV39" i="11"/>
  <c r="J39" i="11"/>
  <c r="M39" i="11"/>
  <c r="BF39" i="11"/>
  <c r="CA39" i="11"/>
  <c r="AL39" i="11"/>
  <c r="CH39" i="11"/>
  <c r="BQ39" i="11"/>
  <c r="BN39" i="11"/>
  <c r="CJ39" i="11"/>
  <c r="AJ39" i="11"/>
  <c r="AA39" i="11"/>
  <c r="K39" i="11"/>
  <c r="AH39" i="11"/>
  <c r="AG39" i="11"/>
  <c r="CE39" i="11"/>
  <c r="BB39" i="11"/>
  <c r="BX39" i="11"/>
  <c r="X39" i="11"/>
  <c r="AW39" i="11"/>
  <c r="AE39" i="11"/>
  <c r="BC39" i="11"/>
  <c r="BY39" i="11"/>
  <c r="BW39" i="11"/>
  <c r="AK39" i="11"/>
  <c r="CN39" i="11"/>
  <c r="AP39" i="11"/>
  <c r="BL39" i="11"/>
  <c r="BO39" i="11"/>
  <c r="BR39" i="11"/>
  <c r="AX39" i="11"/>
  <c r="BV39" i="11"/>
  <c r="P39" i="11"/>
  <c r="CI39" i="11"/>
  <c r="V39" i="11"/>
  <c r="CC39" i="11"/>
  <c r="CB39" i="11"/>
  <c r="AD39" i="11"/>
  <c r="AZ39" i="11"/>
  <c r="CM39" i="11"/>
  <c r="BS39" i="11"/>
  <c r="CQ39" i="11"/>
  <c r="BJ39" i="11"/>
  <c r="BG39" i="11"/>
  <c r="BU39" i="11"/>
  <c r="BP39" i="11"/>
  <c r="R39" i="11"/>
  <c r="AN39" i="11"/>
  <c r="AT39" i="11"/>
  <c r="CO39" i="11"/>
  <c r="AR39" i="11"/>
  <c r="N39" i="11"/>
  <c r="S39" i="11"/>
  <c r="BD39" i="11"/>
  <c r="CK39" i="11"/>
  <c r="AB39" i="11"/>
  <c r="L39" i="11"/>
  <c r="O39" i="11"/>
  <c r="U39" i="11"/>
  <c r="W39" i="11"/>
  <c r="AF39" i="11"/>
  <c r="BM39" i="11"/>
  <c r="CR39" i="11"/>
  <c r="CJ40" i="11"/>
  <c r="BH40" i="11"/>
  <c r="AJ40" i="11"/>
  <c r="L40" i="11"/>
  <c r="BN40" i="11"/>
  <c r="T40" i="11"/>
  <c r="BR40" i="11"/>
  <c r="CI40" i="11"/>
  <c r="BG40" i="11"/>
  <c r="AI40" i="11"/>
  <c r="K40" i="11"/>
  <c r="BZ40" i="11"/>
  <c r="AF40" i="11"/>
  <c r="CD40" i="11"/>
  <c r="CH40" i="11"/>
  <c r="BE40" i="11"/>
  <c r="AG40" i="11"/>
  <c r="M40" i="11"/>
  <c r="CL40" i="11"/>
  <c r="AR40" i="11"/>
  <c r="CE40" i="11"/>
  <c r="BA40" i="11"/>
  <c r="AB40" i="11"/>
  <c r="AC40" i="11"/>
  <c r="BD40" i="11"/>
  <c r="BX40" i="11"/>
  <c r="AZ40" i="11"/>
  <c r="AA40" i="11"/>
  <c r="AW40" i="11"/>
  <c r="I40" i="11"/>
  <c r="S40" i="11"/>
  <c r="BP40" i="11"/>
  <c r="BW40" i="11"/>
  <c r="AY40" i="11"/>
  <c r="X40" i="11"/>
  <c r="BM40" i="11"/>
  <c r="Z40" i="11"/>
  <c r="AE40" i="11"/>
  <c r="CB40" i="11"/>
  <c r="CP40" i="11"/>
  <c r="BV40" i="11"/>
  <c r="AX40" i="11"/>
  <c r="W40" i="11"/>
  <c r="CG40" i="11"/>
  <c r="AS40" i="11"/>
  <c r="AQ40" i="11"/>
  <c r="CN40" i="11"/>
  <c r="BY40" i="11"/>
  <c r="AT40" i="11"/>
  <c r="CU40" i="11"/>
  <c r="BU40" i="11"/>
  <c r="AU40" i="11"/>
  <c r="U40" i="11"/>
  <c r="Y40" i="11"/>
  <c r="BJ40" i="11"/>
  <c r="BC40" i="11"/>
  <c r="J40" i="11"/>
  <c r="CO40" i="11"/>
  <c r="AL40" i="11"/>
  <c r="AP40" i="11"/>
  <c r="CR40" i="11"/>
  <c r="BT40" i="11"/>
  <c r="AN40" i="11"/>
  <c r="Q40" i="11"/>
  <c r="AV40" i="11"/>
  <c r="AO40" i="11"/>
  <c r="CC40" i="11"/>
  <c r="R40" i="11"/>
  <c r="BO40" i="11"/>
  <c r="V40" i="11"/>
  <c r="BQ40" i="11"/>
  <c r="O40" i="11"/>
  <c r="CF40" i="11"/>
  <c r="CM40" i="11"/>
  <c r="CQ40" i="11"/>
  <c r="BS40" i="11"/>
  <c r="AM40" i="11"/>
  <c r="P40" i="11"/>
  <c r="BL40" i="11"/>
  <c r="BI40" i="11"/>
  <c r="CT40" i="11"/>
  <c r="AD40" i="11"/>
  <c r="CA40" i="11"/>
  <c r="AH40" i="11"/>
  <c r="CK40" i="11"/>
  <c r="BK40" i="11"/>
  <c r="AK40" i="11"/>
  <c r="N40" i="11"/>
  <c r="CS40" i="11"/>
  <c r="BB40" i="11"/>
  <c r="H40" i="11"/>
  <c r="BF40" i="11"/>
  <c r="CA38" i="11"/>
  <c r="V33" i="12"/>
  <c r="AP33" i="12" s="1"/>
  <c r="R7" i="12"/>
  <c r="V27" i="12"/>
  <c r="AK27" i="12" s="1"/>
  <c r="R69" i="12"/>
  <c r="AB32" i="12"/>
  <c r="Y32" i="12"/>
  <c r="AP32" i="12"/>
  <c r="AI32" i="12"/>
  <c r="AE32" i="12"/>
  <c r="X32" i="12"/>
  <c r="AA32" i="12"/>
  <c r="AM32" i="12"/>
  <c r="U73" i="12"/>
  <c r="V73" i="12" s="1"/>
  <c r="R73" i="12"/>
  <c r="U72" i="12"/>
  <c r="V72" i="12" s="1"/>
  <c r="R72" i="12"/>
  <c r="U46" i="12"/>
  <c r="V46" i="12" s="1"/>
  <c r="AH32" i="12"/>
  <c r="AC32" i="12"/>
  <c r="AJ32" i="12"/>
  <c r="AK19" i="12"/>
  <c r="Y19" i="12"/>
  <c r="AJ19" i="12"/>
  <c r="X19" i="12"/>
  <c r="AI19" i="12"/>
  <c r="AH19" i="12"/>
  <c r="AG19" i="12"/>
  <c r="AF19" i="12"/>
  <c r="AE19" i="12"/>
  <c r="AO19" i="12"/>
  <c r="AC19" i="12"/>
  <c r="AL19" i="12"/>
  <c r="AB19" i="12"/>
  <c r="AA19" i="12"/>
  <c r="Z19" i="12"/>
  <c r="AD19" i="12"/>
  <c r="AM19" i="12"/>
  <c r="AP19" i="12"/>
  <c r="AN19" i="12"/>
  <c r="AB43" i="12"/>
  <c r="Z43" i="12"/>
  <c r="AA43" i="12"/>
  <c r="Y43" i="12"/>
  <c r="X43" i="12"/>
  <c r="AE5" i="12"/>
  <c r="AP5" i="12"/>
  <c r="AD5" i="12"/>
  <c r="AO5" i="12"/>
  <c r="AC5" i="12"/>
  <c r="AN5" i="12"/>
  <c r="AB5" i="12"/>
  <c r="AM5" i="12"/>
  <c r="AA5" i="12"/>
  <c r="AK5" i="12"/>
  <c r="Y5" i="12"/>
  <c r="AI5" i="12"/>
  <c r="AG5" i="12"/>
  <c r="Z5" i="12"/>
  <c r="X5" i="12"/>
  <c r="AH5" i="12"/>
  <c r="AL5" i="12"/>
  <c r="AJ5" i="12"/>
  <c r="AF5" i="12"/>
  <c r="AI9" i="12"/>
  <c r="AH9" i="12"/>
  <c r="AG9" i="12"/>
  <c r="AF9" i="12"/>
  <c r="AE9" i="12"/>
  <c r="AP9" i="12"/>
  <c r="AO9" i="12"/>
  <c r="AC9" i="12"/>
  <c r="AM9" i="12"/>
  <c r="AA9" i="12"/>
  <c r="AD9" i="12"/>
  <c r="AB9" i="12"/>
  <c r="Z9" i="12"/>
  <c r="Y9" i="12"/>
  <c r="X9" i="12"/>
  <c r="AK9" i="12"/>
  <c r="AL9" i="12"/>
  <c r="AJ9" i="12"/>
  <c r="AN9" i="12"/>
  <c r="AK8" i="12"/>
  <c r="Y8" i="12"/>
  <c r="AJ8" i="12"/>
  <c r="X8" i="12"/>
  <c r="AI8" i="12"/>
  <c r="AH8" i="12"/>
  <c r="AG8" i="12"/>
  <c r="AE8" i="12"/>
  <c r="AO8" i="12"/>
  <c r="AC8" i="12"/>
  <c r="AB8" i="12"/>
  <c r="AA8" i="12"/>
  <c r="Z8" i="12"/>
  <c r="AD8" i="12"/>
  <c r="AL8" i="12"/>
  <c r="AF8" i="12"/>
  <c r="AP8" i="12"/>
  <c r="AN8" i="12"/>
  <c r="AM8" i="12"/>
  <c r="AI45" i="12"/>
  <c r="AH45" i="12"/>
  <c r="AG45" i="12"/>
  <c r="AF45" i="12"/>
  <c r="AE45" i="12"/>
  <c r="AP45" i="12"/>
  <c r="AD45" i="12"/>
  <c r="AO45" i="12"/>
  <c r="AC45" i="12"/>
  <c r="AN45" i="12"/>
  <c r="AB45" i="12"/>
  <c r="AM45" i="12"/>
  <c r="AA45" i="12"/>
  <c r="AL45" i="12"/>
  <c r="Z45" i="12"/>
  <c r="AJ45" i="12"/>
  <c r="X45" i="12"/>
  <c r="AK45" i="12"/>
  <c r="Y45" i="12"/>
  <c r="AE55" i="12"/>
  <c r="AP55" i="12"/>
  <c r="AD55" i="12"/>
  <c r="AO55" i="12"/>
  <c r="AC55" i="12"/>
  <c r="AN55" i="12"/>
  <c r="AB55" i="12"/>
  <c r="AM55" i="12"/>
  <c r="AA55" i="12"/>
  <c r="AL55" i="12"/>
  <c r="Z55" i="12"/>
  <c r="AK55" i="12"/>
  <c r="Y55" i="12"/>
  <c r="AJ55" i="12"/>
  <c r="X55" i="12"/>
  <c r="AI55" i="12"/>
  <c r="AH55" i="12"/>
  <c r="AF55" i="12"/>
  <c r="AG55" i="12"/>
  <c r="Q36" i="12"/>
  <c r="R36" i="12" s="1"/>
  <c r="AO6" i="12"/>
  <c r="AC6" i="12"/>
  <c r="AN6" i="12"/>
  <c r="AB6" i="12"/>
  <c r="AM6" i="12"/>
  <c r="AA6" i="12"/>
  <c r="AL6" i="12"/>
  <c r="Z6" i="12"/>
  <c r="AK6" i="12"/>
  <c r="Y6" i="12"/>
  <c r="AI6" i="12"/>
  <c r="AG6" i="12"/>
  <c r="AE6" i="12"/>
  <c r="AD6" i="12"/>
  <c r="X6" i="12"/>
  <c r="AH6" i="12"/>
  <c r="AP6" i="12"/>
  <c r="AJ6" i="12"/>
  <c r="AF6" i="12"/>
  <c r="U35" i="12"/>
  <c r="V35" i="12" s="1"/>
  <c r="AE14" i="12"/>
  <c r="AP14" i="12"/>
  <c r="AD14" i="12"/>
  <c r="AO14" i="12"/>
  <c r="AC14" i="12"/>
  <c r="AN14" i="12"/>
  <c r="AB14" i="12"/>
  <c r="AM14" i="12"/>
  <c r="AA14" i="12"/>
  <c r="AL14" i="12"/>
  <c r="Z14" i="12"/>
  <c r="AK14" i="12"/>
  <c r="Y14" i="12"/>
  <c r="AI14" i="12"/>
  <c r="AJ14" i="12"/>
  <c r="AH14" i="12"/>
  <c r="AG14" i="12"/>
  <c r="AF14" i="12"/>
  <c r="X14" i="12"/>
  <c r="AH54" i="12"/>
  <c r="AG54" i="12"/>
  <c r="AF54" i="12"/>
  <c r="AE54" i="12"/>
  <c r="AP54" i="12"/>
  <c r="AD54" i="12"/>
  <c r="AO54" i="12"/>
  <c r="AC54" i="12"/>
  <c r="AN54" i="12"/>
  <c r="AB54" i="12"/>
  <c r="AM54" i="12"/>
  <c r="AA54" i="12"/>
  <c r="AL54" i="12"/>
  <c r="Z54" i="12"/>
  <c r="AK54" i="12"/>
  <c r="Y54" i="12"/>
  <c r="AI54" i="12"/>
  <c r="AJ54" i="12"/>
  <c r="X54" i="12"/>
  <c r="AN28" i="12"/>
  <c r="AB28" i="12"/>
  <c r="AM28" i="12"/>
  <c r="AA28" i="12"/>
  <c r="AL28" i="12"/>
  <c r="Z28" i="12"/>
  <c r="AK28" i="12"/>
  <c r="Y28" i="12"/>
  <c r="AJ28" i="12"/>
  <c r="X28" i="12"/>
  <c r="AI28" i="12"/>
  <c r="AH28" i="12"/>
  <c r="AF28" i="12"/>
  <c r="AC28" i="12"/>
  <c r="AP28" i="12"/>
  <c r="AD28" i="12"/>
  <c r="AO28" i="12"/>
  <c r="AG28" i="12"/>
  <c r="AE28" i="12"/>
  <c r="U69" i="12"/>
  <c r="V69" i="12" s="1"/>
  <c r="AO17" i="12"/>
  <c r="AC17" i="12"/>
  <c r="AN17" i="12"/>
  <c r="AB17" i="12"/>
  <c r="AM17" i="12"/>
  <c r="AA17" i="12"/>
  <c r="AL17" i="12"/>
  <c r="Z17" i="12"/>
  <c r="AK17" i="12"/>
  <c r="Y17" i="12"/>
  <c r="AJ17" i="12"/>
  <c r="X17" i="12"/>
  <c r="AI17" i="12"/>
  <c r="AG17" i="12"/>
  <c r="AP17" i="12"/>
  <c r="AH17" i="12"/>
  <c r="AF17" i="12"/>
  <c r="AE17" i="12"/>
  <c r="AD17" i="12"/>
  <c r="Q45" i="12"/>
  <c r="R45" i="12" s="1"/>
  <c r="Q18" i="12"/>
  <c r="R18" i="12" s="1"/>
  <c r="R68" i="12"/>
  <c r="R71" i="12"/>
  <c r="AF26" i="12"/>
  <c r="AE26" i="12"/>
  <c r="AP26" i="12"/>
  <c r="AD26" i="12"/>
  <c r="AO26" i="12"/>
  <c r="AC26" i="12"/>
  <c r="AN26" i="12"/>
  <c r="AB26" i="12"/>
  <c r="AM26" i="12"/>
  <c r="AA26" i="12"/>
  <c r="AL26" i="12"/>
  <c r="Z26" i="12"/>
  <c r="AJ26" i="12"/>
  <c r="X26" i="12"/>
  <c r="AK26" i="12"/>
  <c r="AH26" i="12"/>
  <c r="AI26" i="12"/>
  <c r="AG26" i="12"/>
  <c r="Y26" i="12"/>
  <c r="Q10" i="12"/>
  <c r="R10" i="12" s="1"/>
  <c r="Q29" i="12"/>
  <c r="R29" i="12" s="1"/>
  <c r="U68" i="12"/>
  <c r="V68" i="12" s="1"/>
  <c r="U71" i="12"/>
  <c r="V71" i="12" s="1"/>
  <c r="AM18" i="12"/>
  <c r="AA18" i="12"/>
  <c r="AL18" i="12"/>
  <c r="Z18" i="12"/>
  <c r="AK18" i="12"/>
  <c r="Y18" i="12"/>
  <c r="AJ18" i="12"/>
  <c r="X18" i="12"/>
  <c r="AI18" i="12"/>
  <c r="AH18" i="12"/>
  <c r="AG18" i="12"/>
  <c r="AE18" i="12"/>
  <c r="AC18" i="12"/>
  <c r="AB18" i="12"/>
  <c r="AP18" i="12"/>
  <c r="AO18" i="12"/>
  <c r="AN18" i="12"/>
  <c r="AF18" i="12"/>
  <c r="AD18" i="12"/>
  <c r="U29" i="12"/>
  <c r="V29" i="12" s="1"/>
  <c r="R53" i="12"/>
  <c r="R56" i="12"/>
  <c r="U36" i="12"/>
  <c r="V36" i="12" s="1"/>
  <c r="AH25" i="12"/>
  <c r="AG25" i="12"/>
  <c r="AF25" i="12"/>
  <c r="AE25" i="12"/>
  <c r="AP25" i="12"/>
  <c r="AD25" i="12"/>
  <c r="AO25" i="12"/>
  <c r="AC25" i="12"/>
  <c r="AN25" i="12"/>
  <c r="AB25" i="12"/>
  <c r="AL25" i="12"/>
  <c r="Z25" i="12"/>
  <c r="AK25" i="12"/>
  <c r="AI25" i="12"/>
  <c r="AA25" i="12"/>
  <c r="Y25" i="12"/>
  <c r="X25" i="12"/>
  <c r="AM25" i="12"/>
  <c r="AJ25" i="12"/>
  <c r="U53" i="12"/>
  <c r="V53" i="12" s="1"/>
  <c r="U56" i="12"/>
  <c r="V56" i="12" s="1"/>
  <c r="U4" i="12"/>
  <c r="V4" i="12" s="1"/>
  <c r="Q44" i="12"/>
  <c r="R44" i="12" s="1"/>
  <c r="Q34" i="12"/>
  <c r="R34" i="12" s="1"/>
  <c r="Q49" i="12"/>
  <c r="R49" i="12" s="1"/>
  <c r="Q43" i="12"/>
  <c r="R43" i="12" s="1"/>
  <c r="U49" i="12"/>
  <c r="V49" i="12" s="1"/>
  <c r="AH31" i="12"/>
  <c r="AG31" i="12"/>
  <c r="AF31" i="12"/>
  <c r="AE31" i="12"/>
  <c r="AP31" i="12"/>
  <c r="AD31" i="12"/>
  <c r="AO31" i="12"/>
  <c r="AC31" i="12"/>
  <c r="AN31" i="12"/>
  <c r="AB31" i="12"/>
  <c r="AL31" i="12"/>
  <c r="Z31" i="12"/>
  <c r="AM31" i="12"/>
  <c r="AK31" i="12"/>
  <c r="AJ31" i="12"/>
  <c r="AI31" i="12"/>
  <c r="AA31" i="12"/>
  <c r="Y31" i="12"/>
  <c r="X31" i="12"/>
  <c r="Q31" i="12"/>
  <c r="R31" i="12" s="1"/>
  <c r="Q30" i="12"/>
  <c r="R30" i="12" s="1"/>
  <c r="AK44" i="12"/>
  <c r="Y44" i="12"/>
  <c r="AJ44" i="12"/>
  <c r="X44" i="12"/>
  <c r="AI44" i="12"/>
  <c r="AH44" i="12"/>
  <c r="AG44" i="12"/>
  <c r="AF44" i="12"/>
  <c r="AE44" i="12"/>
  <c r="AP44" i="12"/>
  <c r="AD44" i="12"/>
  <c r="AO44" i="12"/>
  <c r="AC44" i="12"/>
  <c r="AN44" i="12"/>
  <c r="AB44" i="12"/>
  <c r="AL44" i="12"/>
  <c r="Z44" i="12"/>
  <c r="AA44" i="12"/>
  <c r="AM44" i="12"/>
  <c r="Q25" i="12"/>
  <c r="R25" i="12" s="1"/>
  <c r="AE47" i="12"/>
  <c r="AP47" i="12"/>
  <c r="AD47" i="12"/>
  <c r="AO47" i="12"/>
  <c r="AC47" i="12"/>
  <c r="AN47" i="12"/>
  <c r="AB47" i="12"/>
  <c r="AM47" i="12"/>
  <c r="AA47" i="12"/>
  <c r="AL47" i="12"/>
  <c r="Z47" i="12"/>
  <c r="AK47" i="12"/>
  <c r="Y47" i="12"/>
  <c r="AJ47" i="12"/>
  <c r="X47" i="12"/>
  <c r="AI47" i="12"/>
  <c r="AH47" i="12"/>
  <c r="AF47" i="12"/>
  <c r="AG47" i="12"/>
  <c r="AM7" i="12"/>
  <c r="AA7" i="12"/>
  <c r="AL7" i="12"/>
  <c r="Z7" i="12"/>
  <c r="AK7" i="12"/>
  <c r="Y7" i="12"/>
  <c r="AJ7" i="12"/>
  <c r="X7" i="12"/>
  <c r="AI7" i="12"/>
  <c r="AG7" i="12"/>
  <c r="AE7" i="12"/>
  <c r="AH7" i="12"/>
  <c r="AD7" i="12"/>
  <c r="AC7" i="12"/>
  <c r="AB7" i="12"/>
  <c r="AO7" i="12"/>
  <c r="AF7" i="12"/>
  <c r="AP7" i="12"/>
  <c r="AN7" i="12"/>
  <c r="U30" i="12"/>
  <c r="V30" i="12" s="1"/>
  <c r="Q35" i="12"/>
  <c r="R35" i="12" s="1"/>
  <c r="AN34" i="12"/>
  <c r="AB34" i="12"/>
  <c r="AM34" i="12"/>
  <c r="AA34" i="12"/>
  <c r="AL34" i="12"/>
  <c r="Z34" i="12"/>
  <c r="AK34" i="12"/>
  <c r="Y34" i="12"/>
  <c r="AJ34" i="12"/>
  <c r="X34" i="12"/>
  <c r="AI34" i="12"/>
  <c r="AH34" i="12"/>
  <c r="AF34" i="12"/>
  <c r="AP34" i="12"/>
  <c r="AG34" i="12"/>
  <c r="AE34" i="12"/>
  <c r="AD34" i="12"/>
  <c r="AC34" i="12"/>
  <c r="AO34" i="12"/>
  <c r="CT36" i="11"/>
  <c r="CH36" i="11"/>
  <c r="BV36" i="11"/>
  <c r="CS36" i="11"/>
  <c r="CG36" i="11"/>
  <c r="BU36" i="11"/>
  <c r="BI36" i="11"/>
  <c r="CR36" i="11"/>
  <c r="CF36" i="11"/>
  <c r="BT36" i="11"/>
  <c r="CI36" i="11"/>
  <c r="BQ36" i="11"/>
  <c r="BD36" i="11"/>
  <c r="AR36" i="11"/>
  <c r="AF36" i="11"/>
  <c r="T36" i="11"/>
  <c r="CD36" i="11"/>
  <c r="BO36" i="11"/>
  <c r="BB36" i="11"/>
  <c r="AP36" i="11"/>
  <c r="AD36" i="11"/>
  <c r="R36" i="11"/>
  <c r="CU36" i="11"/>
  <c r="CC36" i="11"/>
  <c r="BN36" i="11"/>
  <c r="BA36" i="11"/>
  <c r="AO36" i="11"/>
  <c r="AC36" i="11"/>
  <c r="Q36" i="11"/>
  <c r="CP36" i="11"/>
  <c r="BL36" i="11"/>
  <c r="AM36" i="11"/>
  <c r="CQ36" i="11"/>
  <c r="CB36" i="11"/>
  <c r="BM36" i="11"/>
  <c r="AZ36" i="11"/>
  <c r="AN36" i="11"/>
  <c r="AB36" i="11"/>
  <c r="P36" i="11"/>
  <c r="CA36" i="11"/>
  <c r="AY36" i="11"/>
  <c r="AA36" i="11"/>
  <c r="CO36" i="11"/>
  <c r="BZ36" i="11"/>
  <c r="BK36" i="11"/>
  <c r="AX36" i="11"/>
  <c r="AL36" i="11"/>
  <c r="Z36" i="11"/>
  <c r="CM36" i="11"/>
  <c r="BX36" i="11"/>
  <c r="BH36" i="11"/>
  <c r="AV36" i="11"/>
  <c r="AJ36" i="11"/>
  <c r="X36" i="11"/>
  <c r="BJ36" i="11"/>
  <c r="AH36" i="11"/>
  <c r="BF36" i="11"/>
  <c r="CL36" i="11"/>
  <c r="Y36" i="11"/>
  <c r="BG36" i="11"/>
  <c r="AG36" i="11"/>
  <c r="CN36" i="11"/>
  <c r="AE36" i="11"/>
  <c r="BE36" i="11"/>
  <c r="AK36" i="11"/>
  <c r="CK36" i="11"/>
  <c r="BC36" i="11"/>
  <c r="W36" i="11"/>
  <c r="BW36" i="11"/>
  <c r="BS36" i="11"/>
  <c r="AI36" i="11"/>
  <c r="CJ36" i="11"/>
  <c r="AW36" i="11"/>
  <c r="V36" i="11"/>
  <c r="CE36" i="11"/>
  <c r="AU36" i="11"/>
  <c r="U36" i="11"/>
  <c r="AS36" i="11"/>
  <c r="AQ36" i="11"/>
  <c r="BR36" i="11"/>
  <c r="BP36" i="11"/>
  <c r="BY36" i="11"/>
  <c r="AT36" i="11"/>
  <c r="S36" i="11"/>
  <c r="CM38" i="11"/>
  <c r="BO38" i="11"/>
  <c r="BC38" i="11"/>
  <c r="AE38" i="11"/>
  <c r="S38" i="11"/>
  <c r="BM38" i="11"/>
  <c r="AO38" i="11"/>
  <c r="AC38" i="11"/>
  <c r="CJ38" i="11"/>
  <c r="BX38" i="11"/>
  <c r="AZ38" i="11"/>
  <c r="AN38" i="11"/>
  <c r="CU38" i="11"/>
  <c r="CI38" i="11"/>
  <c r="BW38" i="11"/>
  <c r="BK38" i="11"/>
  <c r="AM38" i="11"/>
  <c r="AA38" i="11"/>
  <c r="CO38" i="11"/>
  <c r="BU38" i="11"/>
  <c r="U38" i="11"/>
  <c r="CN38" i="11"/>
  <c r="BT38" i="11"/>
  <c r="BD38" i="11"/>
  <c r="T38" i="11"/>
  <c r="CL38" i="11"/>
  <c r="BB38" i="11"/>
  <c r="AI38" i="11"/>
  <c r="CH38" i="11"/>
  <c r="BR38" i="11"/>
  <c r="AX38" i="11"/>
  <c r="AH38" i="11"/>
  <c r="AF38" i="11"/>
  <c r="CG38" i="11"/>
  <c r="AW38" i="11"/>
  <c r="AG38" i="11"/>
  <c r="AV38" i="11"/>
  <c r="L38" i="11"/>
  <c r="CE38" i="11"/>
  <c r="BN38" i="11"/>
  <c r="AD38" i="11"/>
  <c r="K38" i="11"/>
  <c r="CC38" i="11"/>
  <c r="BI38" i="11"/>
  <c r="I38" i="11"/>
  <c r="BF38" i="11"/>
  <c r="AR38" i="11"/>
  <c r="AP38" i="11"/>
  <c r="CT38" i="11"/>
  <c r="AT38" i="11"/>
  <c r="CQ38" i="11"/>
  <c r="CP38" i="11"/>
  <c r="CD38" i="11"/>
  <c r="Z38" i="11"/>
  <c r="BV38" i="11"/>
  <c r="V38" i="11"/>
  <c r="CB38" i="11"/>
  <c r="X38" i="11"/>
  <c r="BG38" i="11"/>
  <c r="BZ38" i="11"/>
  <c r="CL42" i="11"/>
  <c r="BZ42" i="11"/>
  <c r="BN42" i="11"/>
  <c r="BB42" i="11"/>
  <c r="AP42" i="11"/>
  <c r="AD42" i="11"/>
  <c r="R42" i="11"/>
  <c r="CT42" i="11"/>
  <c r="CH42" i="11"/>
  <c r="BV42" i="11"/>
  <c r="BJ42" i="11"/>
  <c r="AX42" i="11"/>
  <c r="AL42" i="11"/>
  <c r="Z42" i="11"/>
  <c r="N42" i="11"/>
  <c r="CS42" i="11"/>
  <c r="CG42" i="11"/>
  <c r="BU42" i="11"/>
  <c r="BI42" i="11"/>
  <c r="AW42" i="11"/>
  <c r="AK42" i="11"/>
  <c r="Y42" i="11"/>
  <c r="M42" i="11"/>
  <c r="CR42" i="11"/>
  <c r="CF42" i="11"/>
  <c r="BT42" i="11"/>
  <c r="BH42" i="11"/>
  <c r="AV42" i="11"/>
  <c r="AJ42" i="11"/>
  <c r="X42" i="11"/>
  <c r="L42" i="11"/>
  <c r="CQ42" i="11"/>
  <c r="CA42" i="11"/>
  <c r="BG42" i="11"/>
  <c r="AQ42" i="11"/>
  <c r="W42" i="11"/>
  <c r="CO42" i="11"/>
  <c r="BX42" i="11"/>
  <c r="BE42" i="11"/>
  <c r="AN42" i="11"/>
  <c r="U42" i="11"/>
  <c r="CN42" i="11"/>
  <c r="BW42" i="11"/>
  <c r="BD42" i="11"/>
  <c r="AM42" i="11"/>
  <c r="T42" i="11"/>
  <c r="CM42" i="11"/>
  <c r="BS42" i="11"/>
  <c r="BC42" i="11"/>
  <c r="AI42" i="11"/>
  <c r="S42" i="11"/>
  <c r="CJ42" i="11"/>
  <c r="BQ42" i="11"/>
  <c r="AZ42" i="11"/>
  <c r="AG42" i="11"/>
  <c r="P42" i="11"/>
  <c r="CE42" i="11"/>
  <c r="BO42" i="11"/>
  <c r="AU42" i="11"/>
  <c r="AE42" i="11"/>
  <c r="BM42" i="11"/>
  <c r="AC42" i="11"/>
  <c r="BL42" i="11"/>
  <c r="AB42" i="11"/>
  <c r="CU42" i="11"/>
  <c r="BK42" i="11"/>
  <c r="AA42" i="11"/>
  <c r="CI42" i="11"/>
  <c r="O42" i="11"/>
  <c r="CP42" i="11"/>
  <c r="BF42" i="11"/>
  <c r="V42" i="11"/>
  <c r="CK42" i="11"/>
  <c r="BA42" i="11"/>
  <c r="Q42" i="11"/>
  <c r="AY42" i="11"/>
  <c r="CD42" i="11"/>
  <c r="AT42" i="11"/>
  <c r="CB42" i="11"/>
  <c r="AR42" i="11"/>
  <c r="BY42" i="11"/>
  <c r="AO42" i="11"/>
  <c r="AF42" i="11"/>
  <c r="AH42" i="11"/>
  <c r="CC42" i="11"/>
  <c r="BR42" i="11"/>
  <c r="AS42" i="11"/>
  <c r="BP42" i="11"/>
  <c r="CP44" i="11"/>
  <c r="CD44" i="11"/>
  <c r="BR44" i="11"/>
  <c r="BF44" i="11"/>
  <c r="AT44" i="11"/>
  <c r="AH44" i="11"/>
  <c r="V44" i="11"/>
  <c r="J44" i="11"/>
  <c r="CM44" i="11"/>
  <c r="CA44" i="11"/>
  <c r="BO44" i="11"/>
  <c r="BC44" i="11"/>
  <c r="AQ44" i="11"/>
  <c r="AE44" i="11"/>
  <c r="S44" i="11"/>
  <c r="CL44" i="11"/>
  <c r="BZ44" i="11"/>
  <c r="BN44" i="11"/>
  <c r="BB44" i="11"/>
  <c r="AP44" i="11"/>
  <c r="AD44" i="11"/>
  <c r="R44" i="11"/>
  <c r="CK44" i="11"/>
  <c r="BY44" i="11"/>
  <c r="BM44" i="11"/>
  <c r="BA44" i="11"/>
  <c r="AO44" i="11"/>
  <c r="AC44" i="11"/>
  <c r="Q44" i="11"/>
  <c r="CJ44" i="11"/>
  <c r="BX44" i="11"/>
  <c r="BL44" i="11"/>
  <c r="AZ44" i="11"/>
  <c r="AN44" i="11"/>
  <c r="AB44" i="11"/>
  <c r="P44" i="11"/>
  <c r="CS44" i="11"/>
  <c r="CG44" i="11"/>
  <c r="BU44" i="11"/>
  <c r="BI44" i="11"/>
  <c r="AW44" i="11"/>
  <c r="AK44" i="11"/>
  <c r="Y44" i="11"/>
  <c r="M44" i="11"/>
  <c r="CF44" i="11"/>
  <c r="BH44" i="11"/>
  <c r="AJ44" i="11"/>
  <c r="L44" i="11"/>
  <c r="CC44" i="11"/>
  <c r="BE44" i="11"/>
  <c r="AG44" i="11"/>
  <c r="I44" i="11"/>
  <c r="CB44" i="11"/>
  <c r="BD44" i="11"/>
  <c r="AF44" i="11"/>
  <c r="H44" i="11"/>
  <c r="CU44" i="11"/>
  <c r="BW44" i="11"/>
  <c r="AY44" i="11"/>
  <c r="AA44" i="11"/>
  <c r="CR44" i="11"/>
  <c r="BT44" i="11"/>
  <c r="AV44" i="11"/>
  <c r="X44" i="11"/>
  <c r="CO44" i="11"/>
  <c r="BQ44" i="11"/>
  <c r="AS44" i="11"/>
  <c r="U44" i="11"/>
  <c r="CN44" i="11"/>
  <c r="AR44" i="11"/>
  <c r="CI44" i="11"/>
  <c r="AM44" i="11"/>
  <c r="CH44" i="11"/>
  <c r="AL44" i="11"/>
  <c r="BS44" i="11"/>
  <c r="CE44" i="11"/>
  <c r="AI44" i="11"/>
  <c r="W44" i="11"/>
  <c r="BV44" i="11"/>
  <c r="Z44" i="11"/>
  <c r="BP44" i="11"/>
  <c r="T44" i="11"/>
  <c r="BJ44" i="11"/>
  <c r="N44" i="11"/>
  <c r="BG44" i="11"/>
  <c r="K44" i="11"/>
  <c r="CT44" i="11"/>
  <c r="CQ44" i="11"/>
  <c r="BK44" i="11"/>
  <c r="AX44" i="11"/>
  <c r="O44" i="11"/>
  <c r="AU44" i="11"/>
  <c r="E8" i="20" l="1"/>
  <c r="D13" i="20"/>
  <c r="B13" i="20"/>
  <c r="C13" i="20"/>
  <c r="BP43" i="11"/>
  <c r="DY43" i="11"/>
  <c r="DY46" i="11" s="1"/>
  <c r="DY47" i="11" s="1"/>
  <c r="EK43" i="11"/>
  <c r="EK46" i="11" s="1"/>
  <c r="EK47" i="11" s="1"/>
  <c r="EW43" i="11"/>
  <c r="EW46" i="11" s="1"/>
  <c r="EW47" i="11" s="1"/>
  <c r="FI43" i="11"/>
  <c r="FI46" i="11" s="1"/>
  <c r="FI47" i="11" s="1"/>
  <c r="FU43" i="11"/>
  <c r="FU46" i="11" s="1"/>
  <c r="FU47" i="11" s="1"/>
  <c r="GG43" i="11"/>
  <c r="GG46" i="11" s="1"/>
  <c r="GG47" i="11" s="1"/>
  <c r="EA43" i="11"/>
  <c r="EA46" i="11" s="1"/>
  <c r="EA47" i="11" s="1"/>
  <c r="EM43" i="11"/>
  <c r="EM46" i="11" s="1"/>
  <c r="EM47" i="11" s="1"/>
  <c r="EY43" i="11"/>
  <c r="EY46" i="11" s="1"/>
  <c r="EY47" i="11" s="1"/>
  <c r="FK43" i="11"/>
  <c r="FK46" i="11" s="1"/>
  <c r="FK47" i="11" s="1"/>
  <c r="FW43" i="11"/>
  <c r="FW46" i="11" s="1"/>
  <c r="FW47" i="11" s="1"/>
  <c r="GI43" i="11"/>
  <c r="GI46" i="11" s="1"/>
  <c r="GI47" i="11" s="1"/>
  <c r="EB43" i="11"/>
  <c r="EB46" i="11" s="1"/>
  <c r="EB47" i="11" s="1"/>
  <c r="EN43" i="11"/>
  <c r="EN46" i="11" s="1"/>
  <c r="EN47" i="11" s="1"/>
  <c r="EZ43" i="11"/>
  <c r="EZ46" i="11" s="1"/>
  <c r="EZ47" i="11" s="1"/>
  <c r="FL43" i="11"/>
  <c r="FL46" i="11" s="1"/>
  <c r="FL47" i="11" s="1"/>
  <c r="FX43" i="11"/>
  <c r="FX46" i="11" s="1"/>
  <c r="FX47" i="11" s="1"/>
  <c r="DS43" i="11"/>
  <c r="DS46" i="11" s="1"/>
  <c r="DS47" i="11" s="1"/>
  <c r="EE43" i="11"/>
  <c r="EE46" i="11" s="1"/>
  <c r="EE47" i="11" s="1"/>
  <c r="EQ43" i="11"/>
  <c r="EQ46" i="11" s="1"/>
  <c r="EQ47" i="11" s="1"/>
  <c r="FC43" i="11"/>
  <c r="FC46" i="11" s="1"/>
  <c r="FC47" i="11" s="1"/>
  <c r="ED43" i="11"/>
  <c r="ED46" i="11" s="1"/>
  <c r="ED47" i="11" s="1"/>
  <c r="EU43" i="11"/>
  <c r="EU46" i="11" s="1"/>
  <c r="EU47" i="11" s="1"/>
  <c r="FN43" i="11"/>
  <c r="FN46" i="11" s="1"/>
  <c r="FN47" i="11" s="1"/>
  <c r="GC43" i="11"/>
  <c r="GC46" i="11" s="1"/>
  <c r="GC47" i="11" s="1"/>
  <c r="EF43" i="11"/>
  <c r="EF46" i="11" s="1"/>
  <c r="EF47" i="11" s="1"/>
  <c r="EV43" i="11"/>
  <c r="EV46" i="11" s="1"/>
  <c r="EV47" i="11" s="1"/>
  <c r="FO43" i="11"/>
  <c r="FO46" i="11" s="1"/>
  <c r="FO47" i="11" s="1"/>
  <c r="GD43" i="11"/>
  <c r="GD46" i="11" s="1"/>
  <c r="GD47" i="11" s="1"/>
  <c r="EG43" i="11"/>
  <c r="EG46" i="11" s="1"/>
  <c r="EG47" i="11" s="1"/>
  <c r="EX43" i="11"/>
  <c r="EX46" i="11" s="1"/>
  <c r="EX47" i="11" s="1"/>
  <c r="FP43" i="11"/>
  <c r="FP46" i="11" s="1"/>
  <c r="FP47" i="11" s="1"/>
  <c r="GE43" i="11"/>
  <c r="GE46" i="11" s="1"/>
  <c r="GE47" i="11" s="1"/>
  <c r="EH43" i="11"/>
  <c r="EH46" i="11" s="1"/>
  <c r="EH47" i="11" s="1"/>
  <c r="FA43" i="11"/>
  <c r="FA46" i="11" s="1"/>
  <c r="FA47" i="11" s="1"/>
  <c r="FQ43" i="11"/>
  <c r="FQ46" i="11" s="1"/>
  <c r="FQ47" i="11" s="1"/>
  <c r="GF43" i="11"/>
  <c r="GF46" i="11" s="1"/>
  <c r="GF47" i="11" s="1"/>
  <c r="DR43" i="11"/>
  <c r="DR46" i="11" s="1"/>
  <c r="DR47" i="11" s="1"/>
  <c r="EI43" i="11"/>
  <c r="EI46" i="11" s="1"/>
  <c r="EI47" i="11" s="1"/>
  <c r="FB43" i="11"/>
  <c r="FB46" i="11" s="1"/>
  <c r="FB47" i="11" s="1"/>
  <c r="FR43" i="11"/>
  <c r="FR46" i="11" s="1"/>
  <c r="FR47" i="11" s="1"/>
  <c r="GH43" i="11"/>
  <c r="GH46" i="11" s="1"/>
  <c r="GH47" i="11" s="1"/>
  <c r="DT43" i="11"/>
  <c r="DT46" i="11" s="1"/>
  <c r="DT47" i="11" s="1"/>
  <c r="EJ43" i="11"/>
  <c r="EJ46" i="11" s="1"/>
  <c r="EJ47" i="11" s="1"/>
  <c r="FD43" i="11"/>
  <c r="FD46" i="11" s="1"/>
  <c r="FD47" i="11" s="1"/>
  <c r="FS43" i="11"/>
  <c r="FS46" i="11" s="1"/>
  <c r="FS47" i="11" s="1"/>
  <c r="DU43" i="11"/>
  <c r="DU46" i="11" s="1"/>
  <c r="DU47" i="11" s="1"/>
  <c r="EL43" i="11"/>
  <c r="EL46" i="11" s="1"/>
  <c r="EL47" i="11" s="1"/>
  <c r="FE43" i="11"/>
  <c r="FE46" i="11" s="1"/>
  <c r="FE47" i="11" s="1"/>
  <c r="FT43" i="11"/>
  <c r="FT46" i="11" s="1"/>
  <c r="FT47" i="11" s="1"/>
  <c r="DV43" i="11"/>
  <c r="DV46" i="11" s="1"/>
  <c r="DV47" i="11" s="1"/>
  <c r="EO43" i="11"/>
  <c r="EO46" i="11" s="1"/>
  <c r="EO47" i="11" s="1"/>
  <c r="FF43" i="11"/>
  <c r="FF46" i="11" s="1"/>
  <c r="FF47" i="11" s="1"/>
  <c r="FV43" i="11"/>
  <c r="FV46" i="11" s="1"/>
  <c r="FV47" i="11" s="1"/>
  <c r="DW43" i="11"/>
  <c r="DW46" i="11" s="1"/>
  <c r="DW47" i="11" s="1"/>
  <c r="EP43" i="11"/>
  <c r="EP46" i="11" s="1"/>
  <c r="EP47" i="11" s="1"/>
  <c r="FG43" i="11"/>
  <c r="FG46" i="11" s="1"/>
  <c r="FG47" i="11" s="1"/>
  <c r="FY43" i="11"/>
  <c r="FY46" i="11" s="1"/>
  <c r="FY47" i="11" s="1"/>
  <c r="DX43" i="11"/>
  <c r="DX46" i="11" s="1"/>
  <c r="DX47" i="11" s="1"/>
  <c r="ER43" i="11"/>
  <c r="ER46" i="11" s="1"/>
  <c r="ER47" i="11" s="1"/>
  <c r="FH43" i="11"/>
  <c r="FH46" i="11" s="1"/>
  <c r="FH47" i="11" s="1"/>
  <c r="FZ43" i="11"/>
  <c r="FZ46" i="11" s="1"/>
  <c r="FZ47" i="11" s="1"/>
  <c r="EC43" i="11"/>
  <c r="EC46" i="11" s="1"/>
  <c r="EC47" i="11" s="1"/>
  <c r="ET43" i="11"/>
  <c r="ET46" i="11" s="1"/>
  <c r="ET47" i="11" s="1"/>
  <c r="FM43" i="11"/>
  <c r="FM46" i="11" s="1"/>
  <c r="FM47" i="11" s="1"/>
  <c r="GB43" i="11"/>
  <c r="GB46" i="11" s="1"/>
  <c r="GB47" i="11" s="1"/>
  <c r="DZ43" i="11"/>
  <c r="DZ46" i="11" s="1"/>
  <c r="DZ47" i="11" s="1"/>
  <c r="ES43" i="11"/>
  <c r="ES46" i="11" s="1"/>
  <c r="ES47" i="11" s="1"/>
  <c r="FJ43" i="11"/>
  <c r="FJ46" i="11" s="1"/>
  <c r="FJ47" i="11" s="1"/>
  <c r="GA43" i="11"/>
  <c r="GA46" i="11" s="1"/>
  <c r="GA47" i="11" s="1"/>
  <c r="CB43" i="11"/>
  <c r="CB46" i="11" s="1"/>
  <c r="CZ43" i="11"/>
  <c r="CZ46" i="11" s="1"/>
  <c r="DL43" i="11"/>
  <c r="DL46" i="11" s="1"/>
  <c r="DA43" i="11"/>
  <c r="DA46" i="11" s="1"/>
  <c r="DM43" i="11"/>
  <c r="DM46" i="11" s="1"/>
  <c r="DB43" i="11"/>
  <c r="DB46" i="11" s="1"/>
  <c r="DN43" i="11"/>
  <c r="DN46" i="11" s="1"/>
  <c r="DC43" i="11"/>
  <c r="DC46" i="11" s="1"/>
  <c r="DO43" i="11"/>
  <c r="DO46" i="11" s="1"/>
  <c r="DD43" i="11"/>
  <c r="DD46" i="11" s="1"/>
  <c r="DP43" i="11"/>
  <c r="DP46" i="11" s="1"/>
  <c r="DE43" i="11"/>
  <c r="DE46" i="11" s="1"/>
  <c r="DQ43" i="11"/>
  <c r="DQ46" i="11" s="1"/>
  <c r="DF43" i="11"/>
  <c r="DF46" i="11" s="1"/>
  <c r="DG43" i="11"/>
  <c r="DG46" i="11" s="1"/>
  <c r="CV43" i="11"/>
  <c r="CV46" i="11" s="1"/>
  <c r="DH43" i="11"/>
  <c r="DH46" i="11" s="1"/>
  <c r="CW43" i="11"/>
  <c r="CW46" i="11" s="1"/>
  <c r="DI43" i="11"/>
  <c r="DI46" i="11" s="1"/>
  <c r="CX43" i="11"/>
  <c r="CX46" i="11" s="1"/>
  <c r="DJ43" i="11"/>
  <c r="DJ46" i="11" s="1"/>
  <c r="CY43" i="11"/>
  <c r="CY46" i="11" s="1"/>
  <c r="DK43" i="11"/>
  <c r="DK46" i="11" s="1"/>
  <c r="I43" i="11"/>
  <c r="I46" i="11" s="1"/>
  <c r="AD43" i="11"/>
  <c r="AD46" i="11" s="1"/>
  <c r="BB43" i="11"/>
  <c r="BB46" i="11" s="1"/>
  <c r="BB47" i="11" s="1"/>
  <c r="CJ43" i="11"/>
  <c r="CJ46" i="11" s="1"/>
  <c r="CJ47" i="11" s="1"/>
  <c r="BO43" i="11"/>
  <c r="BO46" i="11" s="1"/>
  <c r="BA43" i="11"/>
  <c r="K43" i="11"/>
  <c r="K46" i="11" s="1"/>
  <c r="K47" i="11" s="1"/>
  <c r="BY43" i="11"/>
  <c r="AK43" i="11"/>
  <c r="J43" i="11"/>
  <c r="BG43" i="11"/>
  <c r="BG46" i="11" s="1"/>
  <c r="W43" i="11"/>
  <c r="CE43" i="11"/>
  <c r="CE46" i="11" s="1"/>
  <c r="L43" i="11"/>
  <c r="L46" i="11" s="1"/>
  <c r="CQ43" i="11"/>
  <c r="CQ46" i="11" s="1"/>
  <c r="AE43" i="11"/>
  <c r="AE46" i="11" s="1"/>
  <c r="Z43" i="11"/>
  <c r="Z46" i="11" s="1"/>
  <c r="CF43" i="11"/>
  <c r="BV43" i="11"/>
  <c r="BV46" i="11" s="1"/>
  <c r="BV47" i="11" s="1"/>
  <c r="CG43" i="11"/>
  <c r="CG46" i="11" s="1"/>
  <c r="BW43" i="11"/>
  <c r="BW46" i="11" s="1"/>
  <c r="B12" i="20"/>
  <c r="C12" i="20"/>
  <c r="D12" i="20"/>
  <c r="B11" i="20"/>
  <c r="C11" i="20"/>
  <c r="D11" i="20"/>
  <c r="D10" i="20"/>
  <c r="C10" i="20"/>
  <c r="B10" i="20"/>
  <c r="AO43" i="11"/>
  <c r="AO46" i="11" s="1"/>
  <c r="AI43" i="11"/>
  <c r="AI46" i="11" s="1"/>
  <c r="BL43" i="11"/>
  <c r="AF43" i="11"/>
  <c r="S43" i="11"/>
  <c r="S46" i="11" s="1"/>
  <c r="BR43" i="11"/>
  <c r="BR46" i="11" s="1"/>
  <c r="O43" i="11"/>
  <c r="BE43" i="11"/>
  <c r="AW43" i="11"/>
  <c r="AW46" i="11" s="1"/>
  <c r="AM43" i="11"/>
  <c r="AM46" i="11" s="1"/>
  <c r="BH43" i="11"/>
  <c r="Q43" i="11"/>
  <c r="AY43" i="11"/>
  <c r="CC43" i="11"/>
  <c r="CC46" i="11" s="1"/>
  <c r="BZ43" i="11"/>
  <c r="BZ46" i="11" s="1"/>
  <c r="BZ47" i="11" s="1"/>
  <c r="AB43" i="11"/>
  <c r="R70" i="12"/>
  <c r="V43" i="11"/>
  <c r="V46" i="11" s="1"/>
  <c r="AP43" i="11"/>
  <c r="AP46" i="11" s="1"/>
  <c r="AU43" i="11"/>
  <c r="R43" i="11"/>
  <c r="N43" i="11"/>
  <c r="BK43" i="11"/>
  <c r="BK46" i="11" s="1"/>
  <c r="BK47" i="11" s="1"/>
  <c r="BM43" i="11"/>
  <c r="BM46" i="11" s="1"/>
  <c r="CR43" i="11"/>
  <c r="X43" i="11"/>
  <c r="X46" i="11" s="1"/>
  <c r="G43" i="11"/>
  <c r="G46" i="11" s="1"/>
  <c r="G47" i="11" s="1"/>
  <c r="CP43" i="11"/>
  <c r="CP46" i="11" s="1"/>
  <c r="BC43" i="11"/>
  <c r="BC46" i="11" s="1"/>
  <c r="AL43" i="11"/>
  <c r="CI43" i="11"/>
  <c r="CI46" i="11" s="1"/>
  <c r="CK43" i="11"/>
  <c r="BI43" i="11"/>
  <c r="BI46" i="11" s="1"/>
  <c r="BN43" i="11"/>
  <c r="BN46" i="11" s="1"/>
  <c r="AQ43" i="11"/>
  <c r="M43" i="11"/>
  <c r="CA43" i="11"/>
  <c r="CA46" i="11" s="1"/>
  <c r="AX43" i="11"/>
  <c r="AX46" i="11" s="1"/>
  <c r="AX47" i="11" s="1"/>
  <c r="CU43" i="11"/>
  <c r="CU46" i="11" s="1"/>
  <c r="H43" i="11"/>
  <c r="CO43" i="11"/>
  <c r="CO46" i="11" s="1"/>
  <c r="BQ43" i="11"/>
  <c r="CL43" i="11"/>
  <c r="CL46" i="11" s="1"/>
  <c r="AG43" i="11"/>
  <c r="AG46" i="11" s="1"/>
  <c r="U43" i="11"/>
  <c r="U46" i="11" s="1"/>
  <c r="BJ43" i="11"/>
  <c r="P43" i="11"/>
  <c r="T43" i="11"/>
  <c r="T46" i="11" s="1"/>
  <c r="T47" i="11" s="1"/>
  <c r="BT43" i="11"/>
  <c r="BT46" i="11" s="1"/>
  <c r="Y43" i="11"/>
  <c r="BU43" i="11"/>
  <c r="BU46" i="11" s="1"/>
  <c r="BF43" i="11"/>
  <c r="BF46" i="11" s="1"/>
  <c r="CH43" i="11"/>
  <c r="CH46" i="11" s="1"/>
  <c r="AN43" i="11"/>
  <c r="AN46" i="11" s="1"/>
  <c r="AN47" i="11" s="1"/>
  <c r="AR43" i="11"/>
  <c r="AR46" i="11" s="1"/>
  <c r="AT43" i="11"/>
  <c r="AT46" i="11" s="1"/>
  <c r="AT47" i="11" s="1"/>
  <c r="AJ43" i="11"/>
  <c r="AS43" i="11"/>
  <c r="CS43" i="11"/>
  <c r="CD43" i="11"/>
  <c r="CD46" i="11" s="1"/>
  <c r="CT43" i="11"/>
  <c r="CT46" i="11" s="1"/>
  <c r="AZ43" i="11"/>
  <c r="AZ46" i="11" s="1"/>
  <c r="BD43" i="11"/>
  <c r="BD46" i="11" s="1"/>
  <c r="AV43" i="11"/>
  <c r="AV46" i="11" s="1"/>
  <c r="AV47" i="11" s="1"/>
  <c r="AC43" i="11"/>
  <c r="AC46" i="11" s="1"/>
  <c r="AC47" i="11" s="1"/>
  <c r="CM43" i="11"/>
  <c r="CM46" i="11" s="1"/>
  <c r="AH43" i="11"/>
  <c r="AH46" i="11" s="1"/>
  <c r="AH47" i="11" s="1"/>
  <c r="BS43" i="11"/>
  <c r="AA43" i="11"/>
  <c r="AA46" i="11" s="1"/>
  <c r="BX43" i="11"/>
  <c r="BX46" i="11" s="1"/>
  <c r="BX47" i="11" s="1"/>
  <c r="Q67" i="12"/>
  <c r="R67" i="12" s="1"/>
  <c r="AG33" i="12"/>
  <c r="AJ33" i="12"/>
  <c r="Y33" i="12"/>
  <c r="BA38" i="11"/>
  <c r="J38" i="11"/>
  <c r="Y38" i="11"/>
  <c r="CF38" i="11"/>
  <c r="BP38" i="11"/>
  <c r="AK38" i="11"/>
  <c r="P38" i="11"/>
  <c r="BY38" i="11"/>
  <c r="W38" i="11"/>
  <c r="AL38" i="11"/>
  <c r="AS38" i="11"/>
  <c r="M38" i="11"/>
  <c r="R38" i="11"/>
  <c r="BE38" i="11"/>
  <c r="AB38" i="11"/>
  <c r="CK38" i="11"/>
  <c r="BJ38" i="11"/>
  <c r="CR38" i="11"/>
  <c r="CS38" i="11"/>
  <c r="BQ38" i="11"/>
  <c r="BS38" i="11"/>
  <c r="O38" i="11"/>
  <c r="BL38" i="11"/>
  <c r="AQ38" i="11"/>
  <c r="BH38" i="11"/>
  <c r="H38" i="11"/>
  <c r="AU38" i="11"/>
  <c r="N38" i="11"/>
  <c r="AJ38" i="11"/>
  <c r="AY38" i="11"/>
  <c r="Q38" i="11"/>
  <c r="AE33" i="12"/>
  <c r="Z33" i="12"/>
  <c r="AM33" i="12"/>
  <c r="AK33" i="12"/>
  <c r="AL33" i="12"/>
  <c r="AA33" i="12"/>
  <c r="AI33" i="12"/>
  <c r="AB33" i="12"/>
  <c r="AN33" i="12"/>
  <c r="AF33" i="12"/>
  <c r="AC33" i="12"/>
  <c r="AH33" i="12"/>
  <c r="AO33" i="12"/>
  <c r="X33" i="12"/>
  <c r="AD33" i="12"/>
  <c r="AF27" i="12"/>
  <c r="Z27" i="12"/>
  <c r="AB27" i="12"/>
  <c r="AL27" i="12"/>
  <c r="AA27" i="12"/>
  <c r="AE27" i="12"/>
  <c r="AM27" i="12"/>
  <c r="AG27" i="12"/>
  <c r="AN27" i="12"/>
  <c r="AI27" i="12"/>
  <c r="AC27" i="12"/>
  <c r="AH27" i="12"/>
  <c r="AO27" i="12"/>
  <c r="X27" i="12"/>
  <c r="AD27" i="12"/>
  <c r="AJ27" i="12"/>
  <c r="AP27" i="12"/>
  <c r="Y27" i="12"/>
  <c r="X72" i="12"/>
  <c r="Y72" i="12"/>
  <c r="Z72" i="12"/>
  <c r="AA72" i="12"/>
  <c r="AB72" i="12"/>
  <c r="AC72" i="12"/>
  <c r="AD72" i="12"/>
  <c r="AE72" i="12"/>
  <c r="AF72" i="12"/>
  <c r="AG72" i="12"/>
  <c r="AH72" i="12"/>
  <c r="AI72" i="12"/>
  <c r="AJ72" i="12"/>
  <c r="AK72" i="12"/>
  <c r="AL72" i="12"/>
  <c r="AM72" i="12"/>
  <c r="AN72" i="12"/>
  <c r="AO72" i="12"/>
  <c r="AP72" i="12"/>
  <c r="X73" i="12"/>
  <c r="Y73" i="12"/>
  <c r="Z73" i="12"/>
  <c r="AA73" i="12"/>
  <c r="AB73" i="12"/>
  <c r="AC73" i="12"/>
  <c r="AD73" i="12"/>
  <c r="AE73" i="12"/>
  <c r="AF73" i="12"/>
  <c r="AG73" i="12"/>
  <c r="AH73" i="12"/>
  <c r="AI73" i="12"/>
  <c r="AJ73" i="12"/>
  <c r="AK73" i="12"/>
  <c r="AL73" i="12"/>
  <c r="AM73" i="12"/>
  <c r="AN73" i="12"/>
  <c r="AO73" i="12"/>
  <c r="AP73" i="12"/>
  <c r="AE46" i="12"/>
  <c r="Y46" i="12"/>
  <c r="AP46" i="12"/>
  <c r="AJ46" i="12"/>
  <c r="AD46" i="12"/>
  <c r="X46" i="12"/>
  <c r="AO46" i="12"/>
  <c r="AH46" i="12"/>
  <c r="AI46" i="12"/>
  <c r="AC46" i="12"/>
  <c r="AA46" i="12"/>
  <c r="AN46" i="12"/>
  <c r="AB46" i="12"/>
  <c r="AM46" i="12"/>
  <c r="AL46" i="12"/>
  <c r="AG46" i="12"/>
  <c r="Z46" i="12"/>
  <c r="AF46" i="12"/>
  <c r="AK46" i="12"/>
  <c r="AJ53" i="12"/>
  <c r="X53" i="12"/>
  <c r="AI53" i="12"/>
  <c r="AH53" i="12"/>
  <c r="AG53" i="12"/>
  <c r="AF53" i="12"/>
  <c r="AE53" i="12"/>
  <c r="AP53" i="12"/>
  <c r="AD53" i="12"/>
  <c r="AO53" i="12"/>
  <c r="AC53" i="12"/>
  <c r="AN53" i="12"/>
  <c r="AB53" i="12"/>
  <c r="AM53" i="12"/>
  <c r="AA53" i="12"/>
  <c r="AK53" i="12"/>
  <c r="Y53" i="12"/>
  <c r="AL53" i="12"/>
  <c r="Z53" i="12"/>
  <c r="AK36" i="12"/>
  <c r="Y36" i="12"/>
  <c r="AJ36" i="12"/>
  <c r="X36" i="12"/>
  <c r="AI36" i="12"/>
  <c r="AH36" i="12"/>
  <c r="AG36" i="12"/>
  <c r="AF36" i="12"/>
  <c r="AE36" i="12"/>
  <c r="AP36" i="12"/>
  <c r="AD36" i="12"/>
  <c r="AN36" i="12"/>
  <c r="AB36" i="12"/>
  <c r="AA36" i="12"/>
  <c r="Z36" i="12"/>
  <c r="AO36" i="12"/>
  <c r="AC36" i="12"/>
  <c r="AM36" i="12"/>
  <c r="AL36" i="12"/>
  <c r="AJ71" i="12"/>
  <c r="X71" i="12"/>
  <c r="AI71" i="12"/>
  <c r="AH71" i="12"/>
  <c r="AG71" i="12"/>
  <c r="AF71" i="12"/>
  <c r="AE71" i="12"/>
  <c r="AP71" i="12"/>
  <c r="AD71" i="12"/>
  <c r="AO71" i="12"/>
  <c r="AC71" i="12"/>
  <c r="AN71" i="12"/>
  <c r="AB71" i="12"/>
  <c r="AM71" i="12"/>
  <c r="AA71" i="12"/>
  <c r="AK71" i="12"/>
  <c r="Y71" i="12"/>
  <c r="AL71" i="12"/>
  <c r="Z71" i="12"/>
  <c r="AL35" i="12"/>
  <c r="Z35" i="12"/>
  <c r="AK35" i="12"/>
  <c r="Y35" i="12"/>
  <c r="AJ35" i="12"/>
  <c r="X35" i="12"/>
  <c r="AI35" i="12"/>
  <c r="AH35" i="12"/>
  <c r="AG35" i="12"/>
  <c r="AF35" i="12"/>
  <c r="AP35" i="12"/>
  <c r="AD35" i="12"/>
  <c r="AO35" i="12"/>
  <c r="AN35" i="12"/>
  <c r="AM35" i="12"/>
  <c r="AE35" i="12"/>
  <c r="AC35" i="12"/>
  <c r="AB35" i="12"/>
  <c r="AA35" i="12"/>
  <c r="AP69" i="12"/>
  <c r="AD69" i="12"/>
  <c r="AO69" i="12"/>
  <c r="AC69" i="12"/>
  <c r="AN69" i="12"/>
  <c r="AB69" i="12"/>
  <c r="AM69" i="12"/>
  <c r="AA69" i="12"/>
  <c r="AL69" i="12"/>
  <c r="Z69" i="12"/>
  <c r="AK69" i="12"/>
  <c r="Y69" i="12"/>
  <c r="AJ69" i="12"/>
  <c r="X69" i="12"/>
  <c r="AI69" i="12"/>
  <c r="AH69" i="12"/>
  <c r="AG69" i="12"/>
  <c r="AE69" i="12"/>
  <c r="AF69" i="12"/>
  <c r="AM49" i="12"/>
  <c r="AA49" i="12"/>
  <c r="AL49" i="12"/>
  <c r="Z49" i="12"/>
  <c r="AK49" i="12"/>
  <c r="Y49" i="12"/>
  <c r="AJ49" i="12"/>
  <c r="X49" i="12"/>
  <c r="AI49" i="12"/>
  <c r="AH49" i="12"/>
  <c r="AG49" i="12"/>
  <c r="AF49" i="12"/>
  <c r="AE49" i="12"/>
  <c r="AP49" i="12"/>
  <c r="AD49" i="12"/>
  <c r="AN49" i="12"/>
  <c r="AB49" i="12"/>
  <c r="AC49" i="12"/>
  <c r="AO49" i="12"/>
  <c r="AJ67" i="12"/>
  <c r="X67" i="12"/>
  <c r="AI67" i="12"/>
  <c r="AH67" i="12"/>
  <c r="AG67" i="12"/>
  <c r="AF67" i="12"/>
  <c r="AE67" i="12"/>
  <c r="AP67" i="12"/>
  <c r="AD67" i="12"/>
  <c r="AO67" i="12"/>
  <c r="AC67" i="12"/>
  <c r="AN67" i="12"/>
  <c r="AB67" i="12"/>
  <c r="AM67" i="12"/>
  <c r="AA67" i="12"/>
  <c r="AK67" i="12"/>
  <c r="Y67" i="12"/>
  <c r="AL67" i="12"/>
  <c r="Z67" i="12"/>
  <c r="AG68" i="12"/>
  <c r="AF68" i="12"/>
  <c r="AE68" i="12"/>
  <c r="AP68" i="12"/>
  <c r="AD68" i="12"/>
  <c r="AO68" i="12"/>
  <c r="AC68" i="12"/>
  <c r="AN68" i="12"/>
  <c r="AB68" i="12"/>
  <c r="AM68" i="12"/>
  <c r="AA68" i="12"/>
  <c r="AL68" i="12"/>
  <c r="Z68" i="12"/>
  <c r="AK68" i="12"/>
  <c r="Y68" i="12"/>
  <c r="AJ68" i="12"/>
  <c r="X68" i="12"/>
  <c r="AH68" i="12"/>
  <c r="AI68" i="12"/>
  <c r="AJ30" i="12"/>
  <c r="X30" i="12"/>
  <c r="AI30" i="12"/>
  <c r="AH30" i="12"/>
  <c r="AG30" i="12"/>
  <c r="AF30" i="12"/>
  <c r="AE30" i="12"/>
  <c r="AP30" i="12"/>
  <c r="AD30" i="12"/>
  <c r="AN30" i="12"/>
  <c r="AB30" i="12"/>
  <c r="AM30" i="12"/>
  <c r="AL30" i="12"/>
  <c r="AK30" i="12"/>
  <c r="AC30" i="12"/>
  <c r="AO30" i="12"/>
  <c r="AA30" i="12"/>
  <c r="Z30" i="12"/>
  <c r="Y30" i="12"/>
  <c r="AM70" i="12"/>
  <c r="AA70" i="12"/>
  <c r="AL70" i="12"/>
  <c r="Z70" i="12"/>
  <c r="AK70" i="12"/>
  <c r="Y70" i="12"/>
  <c r="AJ70" i="12"/>
  <c r="X70" i="12"/>
  <c r="AI70" i="12"/>
  <c r="AH70" i="12"/>
  <c r="AG70" i="12"/>
  <c r="AF70" i="12"/>
  <c r="AE70" i="12"/>
  <c r="AP70" i="12"/>
  <c r="AD70" i="12"/>
  <c r="AN70" i="12"/>
  <c r="AB70" i="12"/>
  <c r="AC70" i="12"/>
  <c r="AO70" i="12"/>
  <c r="AL56" i="12"/>
  <c r="Z56" i="12"/>
  <c r="AK56" i="12"/>
  <c r="Y56" i="12"/>
  <c r="AJ56" i="12"/>
  <c r="X56" i="12"/>
  <c r="AI56" i="12"/>
  <c r="AH56" i="12"/>
  <c r="AG56" i="12"/>
  <c r="AF56" i="12"/>
  <c r="AE56" i="12"/>
  <c r="AP56" i="12"/>
  <c r="AD56" i="12"/>
  <c r="AO56" i="12"/>
  <c r="AC56" i="12"/>
  <c r="AM56" i="12"/>
  <c r="AA56" i="12"/>
  <c r="AN56" i="12"/>
  <c r="AB56" i="12"/>
  <c r="AL29" i="12"/>
  <c r="Z29" i="12"/>
  <c r="AK29" i="12"/>
  <c r="Y29" i="12"/>
  <c r="AJ29" i="12"/>
  <c r="X29" i="12"/>
  <c r="AI29" i="12"/>
  <c r="AH29" i="12"/>
  <c r="AG29" i="12"/>
  <c r="AF29" i="12"/>
  <c r="AP29" i="12"/>
  <c r="AD29" i="12"/>
  <c r="AM29" i="12"/>
  <c r="AE29" i="12"/>
  <c r="AC29" i="12"/>
  <c r="AB29" i="12"/>
  <c r="AA29" i="12"/>
  <c r="AO29" i="12"/>
  <c r="AN29" i="12"/>
  <c r="AF4" i="12"/>
  <c r="AE4" i="12"/>
  <c r="AP4" i="12"/>
  <c r="AD4" i="12"/>
  <c r="AO4" i="12"/>
  <c r="AM4" i="12"/>
  <c r="AA4" i="12"/>
  <c r="AK4" i="12"/>
  <c r="Y4" i="12"/>
  <c r="AH4" i="12"/>
  <c r="AC4" i="12"/>
  <c r="AB4" i="12"/>
  <c r="Z4" i="12"/>
  <c r="X4" i="12"/>
  <c r="AG4" i="12"/>
  <c r="AN4" i="12"/>
  <c r="AJ4" i="12"/>
  <c r="AI4" i="12"/>
  <c r="AL4" i="12"/>
  <c r="CN46" i="11"/>
  <c r="AF46" i="11" l="1"/>
  <c r="BP46" i="11"/>
  <c r="BP47" i="11" s="1"/>
  <c r="BY46" i="11"/>
  <c r="BY47" i="11" s="1"/>
  <c r="CF46" i="11"/>
  <c r="CF47" i="11" s="1"/>
  <c r="BA46" i="11"/>
  <c r="BA47" i="11" s="1"/>
  <c r="DA47" i="11"/>
  <c r="DF47" i="11"/>
  <c r="DH47" i="11"/>
  <c r="DK47" i="11"/>
  <c r="DP47" i="11"/>
  <c r="DD47" i="11"/>
  <c r="CZ47" i="11"/>
  <c r="DJ47" i="11"/>
  <c r="DO47" i="11"/>
  <c r="CX47" i="11"/>
  <c r="DI47" i="11"/>
  <c r="DN47" i="11"/>
  <c r="DM47" i="11"/>
  <c r="DC47" i="11"/>
  <c r="DQ47" i="11"/>
  <c r="DE47" i="11"/>
  <c r="DB47" i="11"/>
  <c r="DL47" i="11"/>
  <c r="CW47" i="11"/>
  <c r="DG47" i="11"/>
  <c r="CV47" i="11"/>
  <c r="J46" i="11"/>
  <c r="J47" i="11" s="1"/>
  <c r="CY47" i="11"/>
  <c r="W46" i="11"/>
  <c r="W47" i="11" s="1"/>
  <c r="B8" i="20"/>
  <c r="M3" i="20" s="1"/>
  <c r="AK46" i="11"/>
  <c r="AK47" i="11" s="1"/>
  <c r="AB46" i="11"/>
  <c r="AB47" i="11" s="1"/>
  <c r="C8" i="20"/>
  <c r="N3" i="20" s="1"/>
  <c r="BL46" i="11"/>
  <c r="BL47" i="11" s="1"/>
  <c r="D8" i="20"/>
  <c r="O3" i="20" s="1"/>
  <c r="BE46" i="11"/>
  <c r="BE47" i="11" s="1"/>
  <c r="Q46" i="11"/>
  <c r="Q47" i="11" s="1"/>
  <c r="AY46" i="11"/>
  <c r="AY47" i="11" s="1"/>
  <c r="BH46" i="11"/>
  <c r="BH47" i="11" s="1"/>
  <c r="R46" i="11"/>
  <c r="R47" i="11" s="1"/>
  <c r="AQ46" i="11"/>
  <c r="AQ47" i="11" s="1"/>
  <c r="AS46" i="11"/>
  <c r="AS47" i="11" s="1"/>
  <c r="O46" i="11"/>
  <c r="O47" i="11" s="1"/>
  <c r="CS46" i="11"/>
  <c r="CS47" i="11" s="1"/>
  <c r="P46" i="11"/>
  <c r="P47" i="11" s="1"/>
  <c r="AU46" i="11"/>
  <c r="AU47" i="11" s="1"/>
  <c r="H46" i="11"/>
  <c r="H47" i="11" s="1"/>
  <c r="Y46" i="11"/>
  <c r="Y47" i="11" s="1"/>
  <c r="M46" i="11"/>
  <c r="M47" i="11" s="1"/>
  <c r="AL46" i="11"/>
  <c r="AL47" i="11" s="1"/>
  <c r="AJ46" i="11"/>
  <c r="BJ46" i="11"/>
  <c r="BJ47" i="11" s="1"/>
  <c r="N46" i="11"/>
  <c r="N47" i="11" s="1"/>
  <c r="CK46" i="11"/>
  <c r="CK47" i="11" s="1"/>
  <c r="BS46" i="11"/>
  <c r="BS47" i="11" s="1"/>
  <c r="BQ46" i="11"/>
  <c r="BQ47" i="11" s="1"/>
  <c r="CR46" i="11"/>
  <c r="CR47" i="11" s="1"/>
  <c r="AO47" i="11"/>
  <c r="CH47" i="11"/>
  <c r="AM47" i="11"/>
  <c r="AP47" i="11"/>
  <c r="CI47" i="11"/>
  <c r="X47" i="11"/>
  <c r="AZ47" i="11"/>
  <c r="BN47" i="11"/>
  <c r="CD47" i="11"/>
  <c r="BF47" i="11"/>
  <c r="L47" i="11"/>
  <c r="Z47" i="11"/>
  <c r="CT47" i="11"/>
  <c r="V47" i="11"/>
  <c r="CP47" i="11"/>
  <c r="AA47" i="11"/>
  <c r="BR47" i="11"/>
  <c r="CU47" i="11"/>
  <c r="BW47" i="11"/>
  <c r="BT47" i="11"/>
  <c r="AD47" i="11"/>
  <c r="CA47" i="11"/>
  <c r="AR47" i="11"/>
  <c r="CG47" i="11"/>
  <c r="CB47" i="11"/>
  <c r="U47" i="11"/>
  <c r="AI47" i="11"/>
  <c r="BG47" i="11"/>
  <c r="CL47" i="11"/>
  <c r="BD47" i="11"/>
  <c r="CN47" i="11"/>
  <c r="CM47" i="11"/>
  <c r="BI47" i="11"/>
  <c r="CO47" i="11"/>
  <c r="BC47" i="11"/>
  <c r="S47" i="11"/>
  <c r="AW47" i="11"/>
  <c r="AG47" i="11"/>
  <c r="BU47" i="11"/>
  <c r="I47" i="11"/>
  <c r="AE47" i="11"/>
  <c r="BO47" i="11"/>
  <c r="CC47" i="11"/>
  <c r="CQ47" i="11"/>
  <c r="BM47" i="11"/>
  <c r="CE47" i="11"/>
  <c r="AF47" i="11" l="1"/>
  <c r="AJ47" i="11"/>
  <c r="L1" i="20"/>
  <c r="L3" i="20"/>
  <c r="J30" i="5"/>
  <c r="N29" i="5"/>
  <c r="J29" i="5"/>
  <c r="N28" i="5"/>
  <c r="J28" i="5"/>
  <c r="J27" i="5"/>
  <c r="J26" i="5"/>
  <c r="N25" i="5"/>
  <c r="J25" i="5"/>
  <c r="N24" i="5"/>
  <c r="J24" i="5"/>
  <c r="N23" i="5"/>
  <c r="J23" i="5"/>
  <c r="J22" i="5"/>
  <c r="N20" i="5"/>
  <c r="N27" i="5" l="1"/>
  <c r="U27" i="5"/>
  <c r="M26" i="5"/>
  <c r="N26" i="5"/>
  <c r="N22" i="5"/>
  <c r="M30" i="5"/>
  <c r="N30" i="5"/>
  <c r="R24" i="5"/>
  <c r="S28" i="5"/>
  <c r="M28" i="5"/>
  <c r="S27" i="5"/>
  <c r="M27" i="5"/>
  <c r="P29" i="5"/>
  <c r="M29" i="5"/>
  <c r="Q25" i="5"/>
  <c r="M25" i="5"/>
  <c r="Q24" i="5"/>
  <c r="M24" i="5"/>
  <c r="M23" i="5"/>
  <c r="U30" i="5"/>
  <c r="O26" i="5"/>
  <c r="P27" i="5"/>
  <c r="O24" i="5"/>
  <c r="O25" i="5"/>
  <c r="U29" i="5"/>
  <c r="Q28" i="5"/>
  <c r="Q30" i="5"/>
  <c r="S24" i="5"/>
  <c r="U24" i="5"/>
  <c r="O29" i="5"/>
  <c r="Q29" i="5"/>
  <c r="U23" i="5"/>
  <c r="S29" i="5"/>
  <c r="O30" i="5"/>
  <c r="P28" i="5"/>
  <c r="P30" i="5"/>
  <c r="R26" i="5"/>
  <c r="V28" i="5"/>
  <c r="U28" i="5"/>
  <c r="T28" i="5"/>
  <c r="V26" i="5"/>
  <c r="U26" i="5"/>
  <c r="T26" i="5"/>
  <c r="V27" i="5"/>
  <c r="T27" i="5"/>
  <c r="R25" i="5"/>
  <c r="V25" i="5"/>
  <c r="J19" i="5"/>
  <c r="U25" i="5"/>
  <c r="O22" i="5"/>
  <c r="M20" i="5"/>
  <c r="O23" i="5"/>
  <c r="P22" i="5"/>
  <c r="P25" i="5"/>
  <c r="R29" i="5"/>
  <c r="K19" i="5"/>
  <c r="P23" i="5"/>
  <c r="P24" i="5"/>
  <c r="P26" i="5"/>
  <c r="R27" i="5"/>
  <c r="R28" i="5"/>
  <c r="R30" i="5"/>
  <c r="Q22" i="5"/>
  <c r="Q23" i="5"/>
  <c r="S30" i="5"/>
  <c r="R23" i="5"/>
  <c r="S22" i="5"/>
  <c r="S23" i="5"/>
  <c r="T29" i="5"/>
  <c r="R22" i="5"/>
  <c r="T22" i="5"/>
  <c r="T23" i="5"/>
  <c r="V30" i="5"/>
  <c r="T30" i="5"/>
  <c r="V22" i="5"/>
  <c r="V29" i="5"/>
  <c r="U22" i="5"/>
  <c r="V24" i="5"/>
  <c r="T24" i="5"/>
  <c r="T25" i="5"/>
  <c r="S25" i="5"/>
  <c r="S26" i="5"/>
  <c r="Q26" i="5"/>
  <c r="Q27" i="5"/>
  <c r="O27" i="5"/>
  <c r="O28" i="5"/>
  <c r="V23" i="5"/>
  <c r="D30" i="5" l="1"/>
  <c r="D29" i="5"/>
  <c r="D28" i="5"/>
  <c r="D27" i="5"/>
  <c r="D26" i="5"/>
  <c r="D25" i="5"/>
  <c r="D24" i="5"/>
  <c r="D23" i="5"/>
  <c r="D22" i="5"/>
  <c r="R19" i="5"/>
  <c r="R20" i="5" s="1"/>
  <c r="M19" i="5"/>
  <c r="S19" i="5"/>
  <c r="S20" i="5" s="1"/>
  <c r="U19" i="5"/>
  <c r="U20" i="5" s="1"/>
  <c r="T19" i="5"/>
  <c r="T20" i="5" s="1"/>
  <c r="V19" i="5"/>
  <c r="V20" i="5" s="1"/>
  <c r="N19" i="5"/>
  <c r="Q19" i="5"/>
  <c r="Q20" i="5" s="1"/>
  <c r="P19" i="5"/>
  <c r="P20" i="5" s="1"/>
  <c r="O19" i="5"/>
  <c r="A30" i="5" l="1"/>
  <c r="B30" i="5"/>
  <c r="C30" i="5"/>
  <c r="A29" i="5"/>
  <c r="B29" i="5"/>
  <c r="C29" i="5"/>
  <c r="A28" i="5"/>
  <c r="B28" i="5"/>
  <c r="C28" i="5"/>
  <c r="A27" i="5"/>
  <c r="B27" i="5"/>
  <c r="C27" i="5"/>
  <c r="A26" i="5"/>
  <c r="B26" i="5"/>
  <c r="C26" i="5"/>
  <c r="A25" i="5"/>
  <c r="B25" i="5"/>
  <c r="C25" i="5"/>
  <c r="A24" i="5"/>
  <c r="B24" i="5"/>
  <c r="C24" i="5"/>
  <c r="A23" i="5"/>
  <c r="B23" i="5"/>
  <c r="C23" i="5"/>
  <c r="F19" i="5"/>
  <c r="L5" i="5" s="1"/>
  <c r="C22" i="5"/>
  <c r="B22" i="5"/>
  <c r="A22" i="5"/>
  <c r="O20" i="5"/>
  <c r="O2" i="5" l="1"/>
  <c r="M4" i="5" s="1"/>
  <c r="C17" i="5"/>
  <c r="B17" i="5"/>
  <c r="A17" i="5"/>
  <c r="L4" i="5" s="1"/>
  <c r="L6" i="5" s="1"/>
  <c r="M6" i="5" l="1"/>
  <c r="M5" i="5"/>
  <c r="J18" i="3"/>
  <c r="D18" i="3"/>
  <c r="E18" i="3"/>
  <c r="F18" i="3"/>
  <c r="U206" i="3"/>
  <c r="U205" i="3"/>
  <c r="U204" i="3"/>
  <c r="U203" i="3"/>
  <c r="U202" i="3"/>
  <c r="U201" i="3"/>
  <c r="U200" i="3"/>
  <c r="U199" i="3"/>
  <c r="U198" i="3"/>
  <c r="U197" i="3"/>
  <c r="U196" i="3"/>
  <c r="U195" i="3"/>
  <c r="U194" i="3"/>
  <c r="U193" i="3"/>
  <c r="U192" i="3"/>
  <c r="U191" i="3"/>
  <c r="U190" i="3"/>
  <c r="U189" i="3"/>
  <c r="U188" i="3"/>
  <c r="U187" i="3"/>
  <c r="U186" i="3"/>
  <c r="U185" i="3"/>
  <c r="U184" i="3"/>
  <c r="U183" i="3"/>
  <c r="U182" i="3"/>
  <c r="U181" i="3"/>
  <c r="U180" i="3"/>
  <c r="U179" i="3"/>
  <c r="U178" i="3"/>
  <c r="U177" i="3"/>
  <c r="U176" i="3"/>
  <c r="U175" i="3"/>
  <c r="U174" i="3"/>
  <c r="U173" i="3"/>
  <c r="U172" i="3"/>
  <c r="U171" i="3"/>
  <c r="U170" i="3"/>
  <c r="U169" i="3"/>
  <c r="U168" i="3"/>
  <c r="U167" i="3"/>
  <c r="U166" i="3"/>
  <c r="U165" i="3"/>
  <c r="U164" i="3"/>
  <c r="U163" i="3"/>
  <c r="U162" i="3"/>
  <c r="U161" i="3"/>
  <c r="U160" i="3"/>
  <c r="U159" i="3"/>
  <c r="U158" i="3"/>
  <c r="U157" i="3"/>
  <c r="U156" i="3"/>
  <c r="U155" i="3"/>
  <c r="U154" i="3"/>
  <c r="U153" i="3"/>
  <c r="U152" i="3"/>
  <c r="U151" i="3"/>
  <c r="U150" i="3"/>
  <c r="U149" i="3"/>
  <c r="U148" i="3"/>
  <c r="U147" i="3"/>
  <c r="U146" i="3"/>
  <c r="U145" i="3"/>
  <c r="U144" i="3"/>
  <c r="U143" i="3"/>
  <c r="U142" i="3"/>
  <c r="U141" i="3"/>
  <c r="U140" i="3"/>
  <c r="U139" i="3"/>
  <c r="U138" i="3"/>
  <c r="U137" i="3"/>
  <c r="U136" i="3"/>
  <c r="U135" i="3"/>
  <c r="U134" i="3"/>
  <c r="U133" i="3"/>
  <c r="U132" i="3"/>
  <c r="U131" i="3"/>
  <c r="U130" i="3"/>
  <c r="U129" i="3"/>
  <c r="U128" i="3"/>
  <c r="U127" i="3"/>
  <c r="U126" i="3"/>
  <c r="U125" i="3"/>
  <c r="U124" i="3"/>
  <c r="U123" i="3"/>
  <c r="U122" i="3"/>
  <c r="U121" i="3"/>
  <c r="U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120" i="3"/>
  <c r="J121" i="3"/>
  <c r="M110" i="3"/>
  <c r="L110" i="3"/>
  <c r="J110" i="3"/>
  <c r="I110" i="3"/>
  <c r="S5" i="3"/>
  <c r="S12" i="3" s="1"/>
  <c r="P15" i="3" s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7" i="1"/>
  <c r="H48" i="1"/>
  <c r="H49" i="1"/>
  <c r="H50" i="1"/>
  <c r="H51" i="1"/>
  <c r="I52" i="1"/>
  <c r="H53" i="1"/>
  <c r="H58" i="1"/>
  <c r="H59" i="1"/>
  <c r="H60" i="1"/>
  <c r="H61" i="1"/>
  <c r="H62" i="1"/>
  <c r="H63" i="1"/>
  <c r="H64" i="1"/>
  <c r="H65" i="1"/>
  <c r="H66" i="1"/>
  <c r="H67" i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H81" i="1"/>
  <c r="I81" i="1" s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M19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7" i="1"/>
  <c r="J48" i="1"/>
  <c r="J49" i="1"/>
  <c r="J50" i="1"/>
  <c r="J51" i="1"/>
  <c r="D51" i="1" s="1"/>
  <c r="J52" i="1"/>
  <c r="D52" i="1" s="1"/>
  <c r="J53" i="1"/>
  <c r="D53" i="1" s="1"/>
  <c r="J58" i="1"/>
  <c r="D58" i="1" s="1"/>
  <c r="J59" i="1"/>
  <c r="D59" i="1" s="1"/>
  <c r="J60" i="1"/>
  <c r="D60" i="1" s="1"/>
  <c r="J61" i="1"/>
  <c r="D61" i="1" s="1"/>
  <c r="J62" i="1"/>
  <c r="D62" i="1" s="1"/>
  <c r="J63" i="1"/>
  <c r="D63" i="1" s="1"/>
  <c r="J64" i="1"/>
  <c r="D64" i="1" s="1"/>
  <c r="J65" i="1"/>
  <c r="D65" i="1" s="1"/>
  <c r="J66" i="1"/>
  <c r="D66" i="1" s="1"/>
  <c r="J67" i="1"/>
  <c r="D67" i="1" s="1"/>
  <c r="J68" i="1"/>
  <c r="D68" i="1" s="1"/>
  <c r="J69" i="1"/>
  <c r="D69" i="1" s="1"/>
  <c r="J70" i="1"/>
  <c r="D70" i="1" s="1"/>
  <c r="J71" i="1"/>
  <c r="D71" i="1" s="1"/>
  <c r="J72" i="1"/>
  <c r="D72" i="1" s="1"/>
  <c r="J73" i="1"/>
  <c r="D73" i="1" s="1"/>
  <c r="J74" i="1"/>
  <c r="D74" i="1" s="1"/>
  <c r="J75" i="1"/>
  <c r="D75" i="1" s="1"/>
  <c r="J76" i="1"/>
  <c r="D76" i="1" s="1"/>
  <c r="J77" i="1"/>
  <c r="D77" i="1" s="1"/>
  <c r="J78" i="1"/>
  <c r="D78" i="1" s="1"/>
  <c r="J79" i="1"/>
  <c r="D79" i="1" s="1"/>
  <c r="J80" i="1"/>
  <c r="D80" i="1" s="1"/>
  <c r="J81" i="1"/>
  <c r="D81" i="1" s="1"/>
  <c r="J82" i="1"/>
  <c r="D82" i="1" s="1"/>
  <c r="J83" i="1"/>
  <c r="D83" i="1" s="1"/>
  <c r="J84" i="1"/>
  <c r="D84" i="1" s="1"/>
  <c r="J85" i="1"/>
  <c r="D85" i="1" s="1"/>
  <c r="J86" i="1"/>
  <c r="D86" i="1" s="1"/>
  <c r="J87" i="1"/>
  <c r="D87" i="1" s="1"/>
  <c r="J88" i="1"/>
  <c r="D88" i="1" s="1"/>
  <c r="J89" i="1"/>
  <c r="D89" i="1" s="1"/>
  <c r="J90" i="1"/>
  <c r="D90" i="1" s="1"/>
  <c r="J91" i="1"/>
  <c r="D91" i="1" s="1"/>
  <c r="J92" i="1"/>
  <c r="D92" i="1" s="1"/>
  <c r="J93" i="1"/>
  <c r="D93" i="1" s="1"/>
  <c r="J94" i="1"/>
  <c r="D94" i="1" s="1"/>
  <c r="J95" i="1"/>
  <c r="D95" i="1" s="1"/>
  <c r="J96" i="1"/>
  <c r="D96" i="1" s="1"/>
  <c r="J97" i="1"/>
  <c r="D97" i="1" s="1"/>
  <c r="J98" i="1"/>
  <c r="D98" i="1" s="1"/>
  <c r="J99" i="1"/>
  <c r="D99" i="1" s="1"/>
  <c r="J100" i="1"/>
  <c r="D100" i="1" s="1"/>
  <c r="J101" i="1"/>
  <c r="D101" i="1" s="1"/>
  <c r="J102" i="1"/>
  <c r="D102" i="1" s="1"/>
  <c r="J103" i="1"/>
  <c r="D103" i="1" s="1"/>
  <c r="J104" i="1"/>
  <c r="D104" i="1" s="1"/>
  <c r="J105" i="1"/>
  <c r="D105" i="1" s="1"/>
  <c r="I67" i="1"/>
  <c r="I80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M3" i="5" l="1"/>
  <c r="M73" i="1"/>
  <c r="M94" i="1"/>
  <c r="M93" i="1"/>
  <c r="M81" i="1"/>
  <c r="M92" i="1"/>
  <c r="M104" i="1"/>
  <c r="M103" i="1"/>
  <c r="M105" i="1"/>
  <c r="M102" i="1"/>
  <c r="M78" i="1"/>
  <c r="M77" i="1"/>
  <c r="M101" i="1"/>
  <c r="M100" i="1"/>
  <c r="M76" i="1"/>
  <c r="M96" i="1"/>
  <c r="M99" i="1"/>
  <c r="M75" i="1"/>
  <c r="M52" i="1"/>
  <c r="M38" i="1"/>
  <c r="M66" i="1"/>
  <c r="M51" i="1"/>
  <c r="M37" i="1"/>
  <c r="M25" i="1"/>
  <c r="M23" i="1"/>
  <c r="M67" i="1"/>
  <c r="M26" i="1"/>
  <c r="M65" i="1"/>
  <c r="M36" i="1"/>
  <c r="M24" i="1"/>
  <c r="M34" i="1"/>
  <c r="M62" i="1"/>
  <c r="M47" i="1"/>
  <c r="M33" i="1"/>
  <c r="M49" i="1"/>
  <c r="M61" i="1"/>
  <c r="M32" i="1"/>
  <c r="M35" i="1"/>
  <c r="M63" i="1"/>
  <c r="M72" i="1"/>
  <c r="M60" i="1"/>
  <c r="M43" i="1"/>
  <c r="M31" i="1"/>
  <c r="M22" i="1"/>
  <c r="M71" i="1"/>
  <c r="M59" i="1"/>
  <c r="M42" i="1"/>
  <c r="M30" i="1"/>
  <c r="M70" i="1"/>
  <c r="M41" i="1"/>
  <c r="M29" i="1"/>
  <c r="M69" i="1"/>
  <c r="M40" i="1"/>
  <c r="M28" i="1"/>
  <c r="M48" i="1"/>
  <c r="M39" i="1"/>
  <c r="M27" i="1"/>
  <c r="I22" i="1"/>
  <c r="I64" i="1"/>
  <c r="Q64" i="1" s="1"/>
  <c r="I49" i="1"/>
  <c r="I35" i="1"/>
  <c r="I23" i="1"/>
  <c r="I62" i="1"/>
  <c r="Q62" i="1" s="1"/>
  <c r="I47" i="1"/>
  <c r="I33" i="1"/>
  <c r="I61" i="1"/>
  <c r="Q61" i="1" s="1"/>
  <c r="I32" i="1"/>
  <c r="I63" i="1"/>
  <c r="P63" i="1" s="1"/>
  <c r="I60" i="1"/>
  <c r="Q60" i="1" s="1"/>
  <c r="I43" i="1"/>
  <c r="I31" i="1"/>
  <c r="I59" i="1"/>
  <c r="Q59" i="1" s="1"/>
  <c r="I42" i="1"/>
  <c r="I30" i="1"/>
  <c r="I21" i="1"/>
  <c r="I58" i="1"/>
  <c r="Q58" i="1" s="1"/>
  <c r="I41" i="1"/>
  <c r="I29" i="1"/>
  <c r="I40" i="1"/>
  <c r="I28" i="1"/>
  <c r="I53" i="1"/>
  <c r="Q53" i="1" s="1"/>
  <c r="I39" i="1"/>
  <c r="I27" i="1"/>
  <c r="I48" i="1"/>
  <c r="I38" i="1"/>
  <c r="I26" i="1"/>
  <c r="I66" i="1"/>
  <c r="P66" i="1" s="1"/>
  <c r="I51" i="1"/>
  <c r="P51" i="1" s="1"/>
  <c r="I37" i="1"/>
  <c r="I25" i="1"/>
  <c r="I34" i="1"/>
  <c r="I65" i="1"/>
  <c r="Q65" i="1" s="1"/>
  <c r="I50" i="1"/>
  <c r="I36" i="1"/>
  <c r="I24" i="1"/>
  <c r="M64" i="1"/>
  <c r="R98" i="1"/>
  <c r="M98" i="1"/>
  <c r="P86" i="1"/>
  <c r="M86" i="1"/>
  <c r="O74" i="1"/>
  <c r="M74" i="1"/>
  <c r="P88" i="1"/>
  <c r="M88" i="1"/>
  <c r="R97" i="1"/>
  <c r="M97" i="1"/>
  <c r="P85" i="1"/>
  <c r="M85" i="1"/>
  <c r="N84" i="1"/>
  <c r="M84" i="1"/>
  <c r="R95" i="1"/>
  <c r="M95" i="1"/>
  <c r="N83" i="1"/>
  <c r="M83" i="1"/>
  <c r="N87" i="1"/>
  <c r="M87" i="1"/>
  <c r="N82" i="1"/>
  <c r="M82" i="1"/>
  <c r="M58" i="1"/>
  <c r="O80" i="1"/>
  <c r="M80" i="1"/>
  <c r="L68" i="1"/>
  <c r="M68" i="1"/>
  <c r="M53" i="1"/>
  <c r="N91" i="1"/>
  <c r="M91" i="1"/>
  <c r="N90" i="1"/>
  <c r="M90" i="1"/>
  <c r="O79" i="1"/>
  <c r="M79" i="1"/>
  <c r="N89" i="1"/>
  <c r="M89" i="1"/>
  <c r="M50" i="1"/>
  <c r="O48" i="1"/>
  <c r="L34" i="1"/>
  <c r="L22" i="1"/>
  <c r="R60" i="1"/>
  <c r="N43" i="1"/>
  <c r="N31" i="1"/>
  <c r="L42" i="1"/>
  <c r="O30" i="1"/>
  <c r="N52" i="1"/>
  <c r="O38" i="1"/>
  <c r="N26" i="1"/>
  <c r="O47" i="1"/>
  <c r="L84" i="1"/>
  <c r="L60" i="1"/>
  <c r="L43" i="1"/>
  <c r="P105" i="1"/>
  <c r="N105" i="1"/>
  <c r="P93" i="1"/>
  <c r="N93" i="1"/>
  <c r="P81" i="1"/>
  <c r="N81" i="1"/>
  <c r="P69" i="1"/>
  <c r="N69" i="1"/>
  <c r="N40" i="1"/>
  <c r="N28" i="1"/>
  <c r="L95" i="1"/>
  <c r="Q99" i="1"/>
  <c r="Q87" i="1"/>
  <c r="Q75" i="1"/>
  <c r="R101" i="1"/>
  <c r="R89" i="1"/>
  <c r="R77" i="1"/>
  <c r="R64" i="1"/>
  <c r="R47" i="1"/>
  <c r="R31" i="1"/>
  <c r="N94" i="1"/>
  <c r="N75" i="1"/>
  <c r="N58" i="1"/>
  <c r="N34" i="1"/>
  <c r="O102" i="1"/>
  <c r="O61" i="1"/>
  <c r="O34" i="1"/>
  <c r="P94" i="1"/>
  <c r="P70" i="1"/>
  <c r="N104" i="1"/>
  <c r="N92" i="1"/>
  <c r="N80" i="1"/>
  <c r="N68" i="1"/>
  <c r="N53" i="1"/>
  <c r="N39" i="1"/>
  <c r="N27" i="1"/>
  <c r="L93" i="1"/>
  <c r="L61" i="1"/>
  <c r="Q98" i="1"/>
  <c r="Q86" i="1"/>
  <c r="Q74" i="1"/>
  <c r="R100" i="1"/>
  <c r="R88" i="1"/>
  <c r="R76" i="1"/>
  <c r="R63" i="1"/>
  <c r="R30" i="1"/>
  <c r="N73" i="1"/>
  <c r="N32" i="1"/>
  <c r="O99" i="1"/>
  <c r="O32" i="1"/>
  <c r="P92" i="1"/>
  <c r="P68" i="1"/>
  <c r="P91" i="1"/>
  <c r="P79" i="1"/>
  <c r="P67" i="1"/>
  <c r="P52" i="1"/>
  <c r="L92" i="1"/>
  <c r="Q97" i="1"/>
  <c r="Q85" i="1"/>
  <c r="Q73" i="1"/>
  <c r="R99" i="1"/>
  <c r="R87" i="1"/>
  <c r="R75" i="1"/>
  <c r="R62" i="1"/>
  <c r="R43" i="1"/>
  <c r="R28" i="1"/>
  <c r="N72" i="1"/>
  <c r="N51" i="1"/>
  <c r="O98" i="1"/>
  <c r="O78" i="1"/>
  <c r="O53" i="1"/>
  <c r="O28" i="1"/>
  <c r="P102" i="1"/>
  <c r="P90" i="1"/>
  <c r="P78" i="1"/>
  <c r="L85" i="1"/>
  <c r="L59" i="1"/>
  <c r="Q96" i="1"/>
  <c r="Q84" i="1"/>
  <c r="Q72" i="1"/>
  <c r="R86" i="1"/>
  <c r="R74" i="1"/>
  <c r="R61" i="1"/>
  <c r="R42" i="1"/>
  <c r="R27" i="1"/>
  <c r="N71" i="1"/>
  <c r="N50" i="1"/>
  <c r="N30" i="1"/>
  <c r="O97" i="1"/>
  <c r="O75" i="1"/>
  <c r="O52" i="1"/>
  <c r="O27" i="1"/>
  <c r="P87" i="1"/>
  <c r="L101" i="1"/>
  <c r="P101" i="1"/>
  <c r="O101" i="1"/>
  <c r="P89" i="1"/>
  <c r="O89" i="1"/>
  <c r="L77" i="1"/>
  <c r="P77" i="1"/>
  <c r="O77" i="1"/>
  <c r="L65" i="1"/>
  <c r="P65" i="1"/>
  <c r="O65" i="1"/>
  <c r="R65" i="1"/>
  <c r="O50" i="1"/>
  <c r="R50" i="1"/>
  <c r="L36" i="1"/>
  <c r="O36" i="1"/>
  <c r="R36" i="1"/>
  <c r="L24" i="1"/>
  <c r="O24" i="1"/>
  <c r="R24" i="1"/>
  <c r="Q95" i="1"/>
  <c r="Q83" i="1"/>
  <c r="Q71" i="1"/>
  <c r="R85" i="1"/>
  <c r="R73" i="1"/>
  <c r="R40" i="1"/>
  <c r="R26" i="1"/>
  <c r="N70" i="1"/>
  <c r="N48" i="1"/>
  <c r="N29" i="1"/>
  <c r="O93" i="1"/>
  <c r="O51" i="1"/>
  <c r="O26" i="1"/>
  <c r="N100" i="1"/>
  <c r="O100" i="1"/>
  <c r="N88" i="1"/>
  <c r="O88" i="1"/>
  <c r="N76" i="1"/>
  <c r="O76" i="1"/>
  <c r="N64" i="1"/>
  <c r="O64" i="1"/>
  <c r="N49" i="1"/>
  <c r="O49" i="1"/>
  <c r="N35" i="1"/>
  <c r="O35" i="1"/>
  <c r="N23" i="1"/>
  <c r="O23" i="1"/>
  <c r="R23" i="1"/>
  <c r="L83" i="1"/>
  <c r="L53" i="1"/>
  <c r="Q94" i="1"/>
  <c r="Q82" i="1"/>
  <c r="Q70" i="1"/>
  <c r="R96" i="1"/>
  <c r="R84" i="1"/>
  <c r="R72" i="1"/>
  <c r="R59" i="1"/>
  <c r="R39" i="1"/>
  <c r="R25" i="1"/>
  <c r="N103" i="1"/>
  <c r="N85" i="1"/>
  <c r="N67" i="1"/>
  <c r="O92" i="1"/>
  <c r="O73" i="1"/>
  <c r="O25" i="1"/>
  <c r="L99" i="1"/>
  <c r="L87" i="1"/>
  <c r="L75" i="1"/>
  <c r="L63" i="1"/>
  <c r="L48" i="1"/>
  <c r="L81" i="1"/>
  <c r="Q105" i="1"/>
  <c r="Q93" i="1"/>
  <c r="Q81" i="1"/>
  <c r="Q69" i="1"/>
  <c r="R83" i="1"/>
  <c r="R71" i="1"/>
  <c r="R38" i="1"/>
  <c r="R22" i="1"/>
  <c r="N102" i="1"/>
  <c r="N66" i="1"/>
  <c r="N25" i="1"/>
  <c r="O91" i="1"/>
  <c r="O69" i="1"/>
  <c r="O22" i="1"/>
  <c r="P82" i="1"/>
  <c r="N98" i="1"/>
  <c r="N86" i="1"/>
  <c r="N74" i="1"/>
  <c r="N62" i="1"/>
  <c r="N47" i="1"/>
  <c r="N33" i="1"/>
  <c r="O33" i="1"/>
  <c r="L80" i="1"/>
  <c r="Q104" i="1"/>
  <c r="Q92" i="1"/>
  <c r="Q80" i="1"/>
  <c r="Q68" i="1"/>
  <c r="R21" i="1"/>
  <c r="R94" i="1"/>
  <c r="R82" i="1"/>
  <c r="R70" i="1"/>
  <c r="R53" i="1"/>
  <c r="R37" i="1"/>
  <c r="N101" i="1"/>
  <c r="N65" i="1"/>
  <c r="N42" i="1"/>
  <c r="N24" i="1"/>
  <c r="O90" i="1"/>
  <c r="O68" i="1"/>
  <c r="P104" i="1"/>
  <c r="P80" i="1"/>
  <c r="L105" i="1"/>
  <c r="L73" i="1"/>
  <c r="Q103" i="1"/>
  <c r="Q91" i="1"/>
  <c r="Q79" i="1"/>
  <c r="Q67" i="1"/>
  <c r="Q52" i="1"/>
  <c r="R105" i="1"/>
  <c r="R93" i="1"/>
  <c r="R81" i="1"/>
  <c r="R69" i="1"/>
  <c r="R52" i="1"/>
  <c r="R35" i="1"/>
  <c r="N99" i="1"/>
  <c r="N63" i="1"/>
  <c r="N41" i="1"/>
  <c r="N22" i="1"/>
  <c r="O87" i="1"/>
  <c r="O67" i="1"/>
  <c r="O40" i="1"/>
  <c r="P100" i="1"/>
  <c r="P76" i="1"/>
  <c r="O96" i="1"/>
  <c r="P96" i="1"/>
  <c r="O84" i="1"/>
  <c r="P84" i="1"/>
  <c r="O72" i="1"/>
  <c r="P72" i="1"/>
  <c r="O60" i="1"/>
  <c r="O43" i="1"/>
  <c r="O31" i="1"/>
  <c r="L104" i="1"/>
  <c r="L72" i="1"/>
  <c r="L31" i="1"/>
  <c r="Q102" i="1"/>
  <c r="Q90" i="1"/>
  <c r="Q78" i="1"/>
  <c r="R104" i="1"/>
  <c r="R92" i="1"/>
  <c r="R80" i="1"/>
  <c r="R68" i="1"/>
  <c r="R51" i="1"/>
  <c r="R34" i="1"/>
  <c r="N97" i="1"/>
  <c r="N79" i="1"/>
  <c r="N61" i="1"/>
  <c r="N38" i="1"/>
  <c r="O105" i="1"/>
  <c r="O86" i="1"/>
  <c r="O66" i="1"/>
  <c r="O39" i="1"/>
  <c r="P99" i="1"/>
  <c r="P75" i="1"/>
  <c r="O95" i="1"/>
  <c r="P95" i="1"/>
  <c r="O83" i="1"/>
  <c r="P83" i="1"/>
  <c r="O71" i="1"/>
  <c r="P71" i="1"/>
  <c r="O59" i="1"/>
  <c r="O42" i="1"/>
  <c r="L97" i="1"/>
  <c r="L71" i="1"/>
  <c r="Q101" i="1"/>
  <c r="Q89" i="1"/>
  <c r="Q77" i="1"/>
  <c r="R103" i="1"/>
  <c r="R91" i="1"/>
  <c r="R79" i="1"/>
  <c r="R67" i="1"/>
  <c r="R49" i="1"/>
  <c r="R33" i="1"/>
  <c r="N96" i="1"/>
  <c r="N78" i="1"/>
  <c r="N60" i="1"/>
  <c r="N37" i="1"/>
  <c r="O104" i="1"/>
  <c r="O85" i="1"/>
  <c r="O63" i="1"/>
  <c r="P98" i="1"/>
  <c r="P74" i="1"/>
  <c r="L103" i="1"/>
  <c r="P103" i="1"/>
  <c r="O94" i="1"/>
  <c r="O82" i="1"/>
  <c r="O70" i="1"/>
  <c r="O58" i="1"/>
  <c r="R58" i="1"/>
  <c r="O41" i="1"/>
  <c r="R41" i="1"/>
  <c r="O29" i="1"/>
  <c r="R29" i="1"/>
  <c r="L96" i="1"/>
  <c r="L69" i="1"/>
  <c r="Q100" i="1"/>
  <c r="Q88" i="1"/>
  <c r="Q76" i="1"/>
  <c r="R102" i="1"/>
  <c r="R90" i="1"/>
  <c r="R78" i="1"/>
  <c r="R66" i="1"/>
  <c r="R48" i="1"/>
  <c r="R32" i="1"/>
  <c r="N95" i="1"/>
  <c r="N77" i="1"/>
  <c r="N59" i="1"/>
  <c r="N36" i="1"/>
  <c r="O103" i="1"/>
  <c r="O81" i="1"/>
  <c r="O62" i="1"/>
  <c r="O37" i="1"/>
  <c r="P97" i="1"/>
  <c r="P73" i="1"/>
  <c r="I18" i="3"/>
  <c r="H18" i="3"/>
  <c r="F15" i="3"/>
  <c r="S3" i="3"/>
  <c r="T3" i="3" s="1"/>
  <c r="P31" i="1"/>
  <c r="L39" i="1"/>
  <c r="L32" i="1"/>
  <c r="L30" i="1"/>
  <c r="L27" i="1"/>
  <c r="L19" i="1"/>
  <c r="L102" i="1"/>
  <c r="L90" i="1"/>
  <c r="L78" i="1"/>
  <c r="L66" i="1"/>
  <c r="L51" i="1"/>
  <c r="L37" i="1"/>
  <c r="L25" i="1"/>
  <c r="L100" i="1"/>
  <c r="L88" i="1"/>
  <c r="L76" i="1"/>
  <c r="L64" i="1"/>
  <c r="L49" i="1"/>
  <c r="L35" i="1"/>
  <c r="L23" i="1"/>
  <c r="L98" i="1"/>
  <c r="L86" i="1"/>
  <c r="L74" i="1"/>
  <c r="L62" i="1"/>
  <c r="L47" i="1"/>
  <c r="L33" i="1"/>
  <c r="L40" i="1"/>
  <c r="L28" i="1"/>
  <c r="L91" i="1"/>
  <c r="L79" i="1"/>
  <c r="L67" i="1"/>
  <c r="L52" i="1"/>
  <c r="L38" i="1"/>
  <c r="L26" i="1"/>
  <c r="L89" i="1"/>
  <c r="L50" i="1"/>
  <c r="L94" i="1"/>
  <c r="L82" i="1"/>
  <c r="L70" i="1"/>
  <c r="L58" i="1"/>
  <c r="L41" i="1"/>
  <c r="L29" i="1"/>
  <c r="J18" i="1"/>
  <c r="P50" i="1" l="1"/>
  <c r="W50" i="1"/>
  <c r="V50" i="1"/>
  <c r="U50" i="1"/>
  <c r="P49" i="1"/>
  <c r="W49" i="1"/>
  <c r="V49" i="1"/>
  <c r="U49" i="1"/>
  <c r="Q48" i="1"/>
  <c r="W48" i="1"/>
  <c r="V48" i="1"/>
  <c r="U48" i="1"/>
  <c r="Q47" i="1"/>
  <c r="W47" i="1"/>
  <c r="V47" i="1"/>
  <c r="U47" i="1"/>
  <c r="W23" i="1"/>
  <c r="V23" i="1"/>
  <c r="U23" i="1"/>
  <c r="W43" i="1"/>
  <c r="V43" i="1"/>
  <c r="U43" i="1"/>
  <c r="W42" i="1"/>
  <c r="V42" i="1"/>
  <c r="U42" i="1"/>
  <c r="W41" i="1"/>
  <c r="V41" i="1"/>
  <c r="U41" i="1"/>
  <c r="W40" i="1"/>
  <c r="V40" i="1"/>
  <c r="U40" i="1"/>
  <c r="W39" i="1"/>
  <c r="V39" i="1"/>
  <c r="U39" i="1"/>
  <c r="W38" i="1"/>
  <c r="V38" i="1"/>
  <c r="U38" i="1"/>
  <c r="W37" i="1"/>
  <c r="V37" i="1"/>
  <c r="U37" i="1"/>
  <c r="W36" i="1"/>
  <c r="V36" i="1"/>
  <c r="U36" i="1"/>
  <c r="W35" i="1"/>
  <c r="V35" i="1"/>
  <c r="U35" i="1"/>
  <c r="W34" i="1"/>
  <c r="V34" i="1"/>
  <c r="U34" i="1"/>
  <c r="W33" i="1"/>
  <c r="V33" i="1"/>
  <c r="U33" i="1"/>
  <c r="W32" i="1"/>
  <c r="V32" i="1"/>
  <c r="U32" i="1"/>
  <c r="W31" i="1"/>
  <c r="V31" i="1"/>
  <c r="U31" i="1"/>
  <c r="W30" i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O9" i="5"/>
  <c r="O11" i="5" s="1"/>
  <c r="W21" i="1"/>
  <c r="U21" i="1"/>
  <c r="V21" i="1"/>
  <c r="W22" i="1"/>
  <c r="V22" i="1"/>
  <c r="U22" i="1"/>
  <c r="S21" i="1"/>
  <c r="T21" i="1"/>
  <c r="T30" i="1"/>
  <c r="S30" i="1"/>
  <c r="T23" i="1"/>
  <c r="S23" i="1"/>
  <c r="T26" i="1"/>
  <c r="S26" i="1"/>
  <c r="T28" i="1"/>
  <c r="S28" i="1"/>
  <c r="S32" i="1"/>
  <c r="T32" i="1"/>
  <c r="T34" i="1"/>
  <c r="S34" i="1"/>
  <c r="T38" i="1"/>
  <c r="S38" i="1"/>
  <c r="T40" i="1"/>
  <c r="S40" i="1"/>
  <c r="T25" i="1"/>
  <c r="S25" i="1"/>
  <c r="T29" i="1"/>
  <c r="S29" i="1"/>
  <c r="T35" i="1"/>
  <c r="S35" i="1"/>
  <c r="S31" i="1"/>
  <c r="T31" i="1"/>
  <c r="S33" i="1"/>
  <c r="T33" i="1"/>
  <c r="T24" i="1"/>
  <c r="S24" i="1"/>
  <c r="T37" i="1"/>
  <c r="S37" i="1"/>
  <c r="T27" i="1"/>
  <c r="S27" i="1"/>
  <c r="T22" i="1"/>
  <c r="S22" i="1"/>
  <c r="T36" i="1"/>
  <c r="S36" i="1"/>
  <c r="T39" i="1"/>
  <c r="S39" i="1"/>
  <c r="Q43" i="1"/>
  <c r="Q42" i="1"/>
  <c r="P41" i="1"/>
  <c r="P40" i="1"/>
  <c r="P39" i="1"/>
  <c r="Q38" i="1"/>
  <c r="Q37" i="1"/>
  <c r="P36" i="1"/>
  <c r="P35" i="1"/>
  <c r="Q34" i="1"/>
  <c r="Q33" i="1"/>
  <c r="P32" i="1"/>
  <c r="Q31" i="1"/>
  <c r="D31" i="1" s="1"/>
  <c r="Q30" i="1"/>
  <c r="Q29" i="1"/>
  <c r="P28" i="1"/>
  <c r="P27" i="1"/>
  <c r="P26" i="1"/>
  <c r="Q25" i="1"/>
  <c r="P24" i="1"/>
  <c r="P23" i="1"/>
  <c r="Q22" i="1"/>
  <c r="P21" i="1"/>
  <c r="L18" i="1"/>
  <c r="Q23" i="1"/>
  <c r="Q26" i="1"/>
  <c r="Q40" i="1"/>
  <c r="P42" i="1"/>
  <c r="D42" i="1" s="1"/>
  <c r="P34" i="1"/>
  <c r="D34" i="1" s="1"/>
  <c r="Q35" i="1"/>
  <c r="P38" i="1"/>
  <c r="D38" i="1" s="1"/>
  <c r="Q32" i="1"/>
  <c r="P25" i="1"/>
  <c r="D25" i="1" s="1"/>
  <c r="P59" i="1"/>
  <c r="Q49" i="1"/>
  <c r="P58" i="1"/>
  <c r="Q36" i="1"/>
  <c r="P47" i="1"/>
  <c r="D47" i="1" s="1"/>
  <c r="Q39" i="1"/>
  <c r="P43" i="1"/>
  <c r="D43" i="1" s="1"/>
  <c r="P22" i="1"/>
  <c r="D22" i="1" s="1"/>
  <c r="Q51" i="1"/>
  <c r="Q27" i="1"/>
  <c r="Q24" i="1"/>
  <c r="P48" i="1"/>
  <c r="D48" i="1" s="1"/>
  <c r="Q41" i="1"/>
  <c r="P37" i="1"/>
  <c r="D37" i="1" s="1"/>
  <c r="P29" i="1"/>
  <c r="D29" i="1" s="1"/>
  <c r="P61" i="1"/>
  <c r="P33" i="1"/>
  <c r="D33" i="1" s="1"/>
  <c r="P64" i="1"/>
  <c r="P62" i="1"/>
  <c r="P53" i="1"/>
  <c r="Q66" i="1"/>
  <c r="P60" i="1"/>
  <c r="P30" i="1"/>
  <c r="D30" i="1" s="1"/>
  <c r="Q63" i="1"/>
  <c r="Q50" i="1"/>
  <c r="Q28" i="1"/>
  <c r="Q21" i="1"/>
  <c r="I18" i="1"/>
  <c r="L15" i="3"/>
  <c r="L16" i="3" s="1"/>
  <c r="K15" i="3"/>
  <c r="K16" i="3" s="1"/>
  <c r="M15" i="3"/>
  <c r="M16" i="3" s="1"/>
  <c r="S15" i="3"/>
  <c r="N15" i="3"/>
  <c r="N16" i="3" s="1"/>
  <c r="R15" i="3"/>
  <c r="J16" i="3"/>
  <c r="T15" i="3"/>
  <c r="O18" i="1"/>
  <c r="O19" i="1" s="1"/>
  <c r="N18" i="1"/>
  <c r="N19" i="1" s="1"/>
  <c r="R18" i="1"/>
  <c r="R19" i="1" s="1"/>
  <c r="D50" i="1" l="1"/>
  <c r="D49" i="1"/>
  <c r="A50" i="1"/>
  <c r="B50" i="1"/>
  <c r="C50" i="1"/>
  <c r="A49" i="1"/>
  <c r="B49" i="1"/>
  <c r="C49" i="1"/>
  <c r="A48" i="1"/>
  <c r="B48" i="1"/>
  <c r="C48" i="1"/>
  <c r="A47" i="1"/>
  <c r="B47" i="1"/>
  <c r="C47" i="1"/>
  <c r="D23" i="1"/>
  <c r="D41" i="1"/>
  <c r="D40" i="1"/>
  <c r="D39" i="1"/>
  <c r="D36" i="1"/>
  <c r="D35" i="1"/>
  <c r="D32" i="1"/>
  <c r="D28" i="1"/>
  <c r="D27" i="1"/>
  <c r="D26" i="1"/>
  <c r="D24" i="1"/>
  <c r="C21" i="1"/>
  <c r="B35" i="1"/>
  <c r="C30" i="1"/>
  <c r="B31" i="1"/>
  <c r="C23" i="1"/>
  <c r="C41" i="1"/>
  <c r="B33" i="1"/>
  <c r="C24" i="1"/>
  <c r="B32" i="1"/>
  <c r="B40" i="1"/>
  <c r="C27" i="1"/>
  <c r="C35" i="1"/>
  <c r="B29" i="1"/>
  <c r="C31" i="1"/>
  <c r="B41" i="1"/>
  <c r="B27" i="1"/>
  <c r="B37" i="1"/>
  <c r="B28" i="1"/>
  <c r="B36" i="1"/>
  <c r="B38" i="1"/>
  <c r="C39" i="1"/>
  <c r="B39" i="1"/>
  <c r="C32" i="1"/>
  <c r="A21" i="1"/>
  <c r="B30" i="1"/>
  <c r="B34" i="1"/>
  <c r="C33" i="1"/>
  <c r="C37" i="1"/>
  <c r="A35" i="1"/>
  <c r="C34" i="1"/>
  <c r="A22" i="1"/>
  <c r="A43" i="1"/>
  <c r="B42" i="1"/>
  <c r="B22" i="1"/>
  <c r="C40" i="1"/>
  <c r="C28" i="1"/>
  <c r="A38" i="1"/>
  <c r="C42" i="1"/>
  <c r="C22" i="1"/>
  <c r="B24" i="1"/>
  <c r="B43" i="1"/>
  <c r="C36" i="1"/>
  <c r="B23" i="1"/>
  <c r="C29" i="1"/>
  <c r="A23" i="1"/>
  <c r="C43" i="1"/>
  <c r="B21" i="1"/>
  <c r="A42" i="1"/>
  <c r="C38" i="1"/>
  <c r="A36" i="1"/>
  <c r="A29" i="1"/>
  <c r="A33" i="1"/>
  <c r="A41" i="1"/>
  <c r="A37" i="1"/>
  <c r="A30" i="1"/>
  <c r="A34" i="1"/>
  <c r="A28" i="1"/>
  <c r="A32" i="1"/>
  <c r="A39" i="1"/>
  <c r="A40" i="1"/>
  <c r="A31" i="1"/>
  <c r="A24" i="1"/>
  <c r="A27" i="1"/>
  <c r="S18" i="1"/>
  <c r="S19" i="1" s="1"/>
  <c r="T18" i="1"/>
  <c r="T19" i="1" s="1"/>
  <c r="D21" i="1"/>
  <c r="Q18" i="1"/>
  <c r="Q19" i="1" s="1"/>
  <c r="P18" i="1"/>
  <c r="P19" i="1" s="1"/>
  <c r="B16" i="3"/>
  <c r="B15" i="3"/>
  <c r="H11" i="3" l="1"/>
  <c r="H7" i="3"/>
  <c r="H3" i="3"/>
  <c r="H12" i="3"/>
  <c r="H8" i="3"/>
  <c r="H4" i="3"/>
  <c r="H13" i="3"/>
  <c r="H10" i="3"/>
  <c r="H9" i="3"/>
  <c r="H5" i="3"/>
  <c r="H6" i="3"/>
  <c r="F13" i="3" l="1"/>
  <c r="P13" i="3"/>
  <c r="P9" i="3"/>
  <c r="F9" i="3"/>
  <c r="F4" i="3"/>
  <c r="P4" i="3"/>
  <c r="P6" i="3"/>
  <c r="F6" i="3"/>
  <c r="F8" i="3"/>
  <c r="P8" i="3"/>
  <c r="I11" i="3"/>
  <c r="I7" i="3"/>
  <c r="K3" i="3"/>
  <c r="K7" i="3"/>
  <c r="K12" i="3"/>
  <c r="K8" i="3"/>
  <c r="J3" i="3"/>
  <c r="S2" i="3" s="1"/>
  <c r="K11" i="3"/>
  <c r="J12" i="3"/>
  <c r="J8" i="3"/>
  <c r="K4" i="3"/>
  <c r="I3" i="3"/>
  <c r="K13" i="3"/>
  <c r="I12" i="3"/>
  <c r="I8" i="3"/>
  <c r="J4" i="3"/>
  <c r="J13" i="3"/>
  <c r="K9" i="3"/>
  <c r="I4" i="3"/>
  <c r="F3" i="3"/>
  <c r="J6" i="3"/>
  <c r="M3" i="3"/>
  <c r="I13" i="3"/>
  <c r="J9" i="3"/>
  <c r="K5" i="3"/>
  <c r="I9" i="3"/>
  <c r="J5" i="3"/>
  <c r="K10" i="3"/>
  <c r="K6" i="3"/>
  <c r="I5" i="3"/>
  <c r="J10" i="3"/>
  <c r="I10" i="3"/>
  <c r="I6" i="3"/>
  <c r="P3" i="3"/>
  <c r="J11" i="3"/>
  <c r="J7" i="3"/>
  <c r="L3" i="3"/>
  <c r="F7" i="3"/>
  <c r="P7" i="3"/>
  <c r="P5" i="3"/>
  <c r="F5" i="3"/>
  <c r="P10" i="3"/>
  <c r="F10" i="3"/>
  <c r="F12" i="3"/>
  <c r="P12" i="3"/>
  <c r="F11" i="3"/>
  <c r="P11" i="3"/>
  <c r="N6" i="3" l="1"/>
  <c r="M6" i="3"/>
  <c r="L6" i="3"/>
  <c r="L8" i="3"/>
  <c r="N8" i="3"/>
  <c r="M8" i="3"/>
  <c r="L12" i="3"/>
  <c r="N12" i="3"/>
  <c r="M12" i="3"/>
  <c r="M4" i="3"/>
  <c r="L4" i="3"/>
  <c r="N4" i="3"/>
  <c r="M11" i="3"/>
  <c r="N11" i="3"/>
  <c r="L11" i="3"/>
  <c r="N10" i="3"/>
  <c r="M10" i="3"/>
  <c r="L10" i="3"/>
  <c r="N9" i="3"/>
  <c r="M9" i="3"/>
  <c r="L9" i="3"/>
  <c r="N5" i="3"/>
  <c r="M5" i="3"/>
  <c r="L5" i="3"/>
  <c r="N13" i="3"/>
  <c r="M13" i="3"/>
  <c r="L13" i="3"/>
  <c r="M7" i="3"/>
  <c r="N7" i="3"/>
  <c r="L7" i="3"/>
  <c r="M18" i="1" l="1"/>
  <c r="V14" i="1"/>
  <c r="B70" i="11" l="1"/>
  <c r="J70" i="11" s="1"/>
  <c r="G66" i="11" l="1"/>
  <c r="AF70" i="11"/>
  <c r="FG66" i="11"/>
  <c r="GB66" i="11"/>
  <c r="GD70" i="11"/>
  <c r="GD72" i="11" s="1"/>
  <c r="GD74" i="11" s="1"/>
  <c r="EN66" i="11"/>
  <c r="DR66" i="11"/>
  <c r="DT66" i="11"/>
  <c r="EO66" i="11"/>
  <c r="FK66" i="11"/>
  <c r="GE66" i="11"/>
  <c r="DV70" i="11"/>
  <c r="DV72" i="11" s="1"/>
  <c r="DV74" i="11" s="1"/>
  <c r="GF70" i="11"/>
  <c r="GF72" i="11" s="1"/>
  <c r="GF74" i="11" s="1"/>
  <c r="DW66" i="11"/>
  <c r="EP66" i="11"/>
  <c r="FL66" i="11"/>
  <c r="GF66" i="11"/>
  <c r="EC70" i="11"/>
  <c r="EC72" i="11" s="1"/>
  <c r="EC74" i="11" s="1"/>
  <c r="DX66" i="11"/>
  <c r="ER66" i="11"/>
  <c r="FM66" i="11"/>
  <c r="GG66" i="11"/>
  <c r="EH70" i="11"/>
  <c r="EH72" i="11" s="1"/>
  <c r="EH74" i="11" s="1"/>
  <c r="EA66" i="11"/>
  <c r="EU66" i="11"/>
  <c r="FN66" i="11"/>
  <c r="GI66" i="11"/>
  <c r="EJ70" i="11"/>
  <c r="EJ72" i="11" s="1"/>
  <c r="EJ74" i="11" s="1"/>
  <c r="FW66" i="11"/>
  <c r="EB66" i="11"/>
  <c r="EV66" i="11"/>
  <c r="FP66" i="11"/>
  <c r="EO70" i="11"/>
  <c r="EO72" i="11" s="1"/>
  <c r="EO74" i="11" s="1"/>
  <c r="EF66" i="11"/>
  <c r="FF70" i="11"/>
  <c r="FF72" i="11" s="1"/>
  <c r="FF74" i="11" s="1"/>
  <c r="EC66" i="11"/>
  <c r="EY66" i="11"/>
  <c r="FS66" i="11"/>
  <c r="ET70" i="11"/>
  <c r="ET72" i="11" s="1"/>
  <c r="ET74" i="11" s="1"/>
  <c r="ED66" i="11"/>
  <c r="EZ66" i="11"/>
  <c r="FT66" i="11"/>
  <c r="FA70" i="11"/>
  <c r="FA72" i="11" s="1"/>
  <c r="FA74" i="11" s="1"/>
  <c r="FA66" i="11"/>
  <c r="EI66" i="11"/>
  <c r="FB66" i="11"/>
  <c r="FX66" i="11"/>
  <c r="FM70" i="11"/>
  <c r="FM72" i="11" s="1"/>
  <c r="FM74" i="11" s="1"/>
  <c r="EJ66" i="11"/>
  <c r="FD66" i="11"/>
  <c r="FY66" i="11"/>
  <c r="FR70" i="11"/>
  <c r="FR72" i="11" s="1"/>
  <c r="FR74" i="11" s="1"/>
  <c r="EM66" i="11"/>
  <c r="FZ66" i="11"/>
  <c r="FY70" i="11"/>
  <c r="FY72" i="11" s="1"/>
  <c r="FY74" i="11" s="1"/>
  <c r="FH66" i="11"/>
  <c r="GI70" i="11"/>
  <c r="GI72" i="11" s="1"/>
  <c r="GI74" i="11" s="1"/>
  <c r="GH66" i="11"/>
  <c r="EW66" i="11"/>
  <c r="ET66" i="11"/>
  <c r="ES66" i="11"/>
  <c r="EQ66" i="11"/>
  <c r="EL70" i="11"/>
  <c r="EL72" i="11" s="1"/>
  <c r="EL74" i="11" s="1"/>
  <c r="FQ66" i="11"/>
  <c r="EA70" i="11"/>
  <c r="EA72" i="11" s="1"/>
  <c r="EA74" i="11" s="1"/>
  <c r="DY66" i="11"/>
  <c r="DV66" i="11"/>
  <c r="DU70" i="11"/>
  <c r="DU72" i="11" s="1"/>
  <c r="DU74" i="11" s="1"/>
  <c r="EM70" i="11"/>
  <c r="EM72" i="11" s="1"/>
  <c r="EM74" i="11" s="1"/>
  <c r="GC66" i="11"/>
  <c r="EI70" i="11"/>
  <c r="EI72" i="11" s="1"/>
  <c r="EI74" i="11" s="1"/>
  <c r="EX70" i="11"/>
  <c r="EX72" i="11" s="1"/>
  <c r="EX74" i="11" s="1"/>
  <c r="EY70" i="11"/>
  <c r="EY72" i="11" s="1"/>
  <c r="EY74" i="11" s="1"/>
  <c r="FV66" i="11"/>
  <c r="EK66" i="11"/>
  <c r="EH66" i="11"/>
  <c r="EG70" i="11"/>
  <c r="EG72" i="11" s="1"/>
  <c r="EG74" i="11" s="1"/>
  <c r="EE66" i="11"/>
  <c r="DZ70" i="11"/>
  <c r="DZ72" i="11" s="1"/>
  <c r="DZ74" i="11" s="1"/>
  <c r="DU66" i="11"/>
  <c r="FJ66" i="11"/>
  <c r="DS66" i="11"/>
  <c r="FE66" i="11"/>
  <c r="FV70" i="11"/>
  <c r="FQ70" i="11"/>
  <c r="FQ72" i="11" s="1"/>
  <c r="FQ74" i="11" s="1"/>
  <c r="DW70" i="11"/>
  <c r="DW72" i="11" s="1"/>
  <c r="DW74" i="11" s="1"/>
  <c r="FU70" i="11"/>
  <c r="FU72" i="11" s="1"/>
  <c r="FU74" i="11" s="1"/>
  <c r="EX66" i="11"/>
  <c r="GB70" i="11"/>
  <c r="GB72" i="11" s="1"/>
  <c r="GB74" i="11" s="1"/>
  <c r="FZ70" i="11"/>
  <c r="FZ72" i="11" s="1"/>
  <c r="FZ74" i="11" s="1"/>
  <c r="EQ70" i="11"/>
  <c r="EQ72" i="11" s="1"/>
  <c r="EQ74" i="11" s="1"/>
  <c r="FX70" i="11"/>
  <c r="FX72" i="11" s="1"/>
  <c r="FX74" i="11" s="1"/>
  <c r="FW70" i="11"/>
  <c r="FW72" i="11" s="1"/>
  <c r="FW74" i="11" s="1"/>
  <c r="EG66" i="11"/>
  <c r="GC70" i="11"/>
  <c r="GC72" i="11" s="1"/>
  <c r="GC74" i="11" s="1"/>
  <c r="FU66" i="11"/>
  <c r="FI70" i="11"/>
  <c r="FI72" i="11" s="1"/>
  <c r="FI74" i="11" s="1"/>
  <c r="EL66" i="11"/>
  <c r="FP70" i="11"/>
  <c r="FP72" i="11" s="1"/>
  <c r="FP74" i="11" s="1"/>
  <c r="FN70" i="11"/>
  <c r="FN72" i="11" s="1"/>
  <c r="FN74" i="11" s="1"/>
  <c r="GA70" i="11"/>
  <c r="GA72" i="11" s="1"/>
  <c r="GA74" i="11" s="1"/>
  <c r="FL70" i="11"/>
  <c r="FL72" i="11" s="1"/>
  <c r="FL74" i="11" s="1"/>
  <c r="FK70" i="11"/>
  <c r="FK72" i="11" s="1"/>
  <c r="FK74" i="11" s="1"/>
  <c r="FO66" i="11"/>
  <c r="EK70" i="11"/>
  <c r="EK72" i="11" s="1"/>
  <c r="EK74" i="11" s="1"/>
  <c r="DZ66" i="11"/>
  <c r="FD70" i="11"/>
  <c r="FD72" i="11" s="1"/>
  <c r="FD74" i="11" s="1"/>
  <c r="FB70" i="11"/>
  <c r="FB72" i="11" s="1"/>
  <c r="FB74" i="11" s="1"/>
  <c r="FO70" i="11"/>
  <c r="FO72" i="11" s="1"/>
  <c r="FO74" i="11" s="1"/>
  <c r="EZ70" i="11"/>
  <c r="EZ72" i="11" s="1"/>
  <c r="EZ74" i="11" s="1"/>
  <c r="GG70" i="11"/>
  <c r="GG72" i="11" s="1"/>
  <c r="GG74" i="11" s="1"/>
  <c r="ES70" i="11"/>
  <c r="ES72" i="11" s="1"/>
  <c r="ES74" i="11" s="1"/>
  <c r="GD66" i="11"/>
  <c r="DY70" i="11"/>
  <c r="DY72" i="11" s="1"/>
  <c r="DY74" i="11" s="1"/>
  <c r="FT70" i="11"/>
  <c r="FT72" i="11" s="1"/>
  <c r="FT74" i="11" s="1"/>
  <c r="ER70" i="11"/>
  <c r="ER72" i="11" s="1"/>
  <c r="ER74" i="11" s="1"/>
  <c r="EP70" i="11"/>
  <c r="EP72" i="11" s="1"/>
  <c r="EP74" i="11" s="1"/>
  <c r="FC70" i="11"/>
  <c r="FC72" i="11" s="1"/>
  <c r="FC74" i="11" s="1"/>
  <c r="EN70" i="11"/>
  <c r="EN72" i="11" s="1"/>
  <c r="EN74" i="11" s="1"/>
  <c r="EW70" i="11"/>
  <c r="EW72" i="11" s="1"/>
  <c r="EW74" i="11" s="1"/>
  <c r="EB70" i="11"/>
  <c r="EB72" i="11" s="1"/>
  <c r="EB74" i="11" s="1"/>
  <c r="FG70" i="11"/>
  <c r="FG72" i="11" s="1"/>
  <c r="FG74" i="11" s="1"/>
  <c r="FJ70" i="11"/>
  <c r="FJ72" i="11" s="1"/>
  <c r="FJ74" i="11" s="1"/>
  <c r="FE70" i="11"/>
  <c r="FE72" i="11" s="1"/>
  <c r="FE74" i="11" s="1"/>
  <c r="GE70" i="11"/>
  <c r="GE72" i="11" s="1"/>
  <c r="GE74" i="11" s="1"/>
  <c r="FH70" i="11"/>
  <c r="FH72" i="11" s="1"/>
  <c r="FH74" i="11" s="1"/>
  <c r="EF70" i="11"/>
  <c r="EF72" i="11" s="1"/>
  <c r="EF74" i="11" s="1"/>
  <c r="ED70" i="11"/>
  <c r="ED72" i="11" s="1"/>
  <c r="ED74" i="11" s="1"/>
  <c r="EE70" i="11"/>
  <c r="EE72" i="11" s="1"/>
  <c r="EE74" i="11" s="1"/>
  <c r="EU70" i="11"/>
  <c r="EU72" i="11" s="1"/>
  <c r="EU74" i="11" s="1"/>
  <c r="FI66" i="11"/>
  <c r="FS70" i="11"/>
  <c r="FS72" i="11" s="1"/>
  <c r="FS74" i="11" s="1"/>
  <c r="EV70" i="11"/>
  <c r="EV72" i="11" s="1"/>
  <c r="EV74" i="11" s="1"/>
  <c r="DT70" i="11"/>
  <c r="DT72" i="11" s="1"/>
  <c r="DT74" i="11" s="1"/>
  <c r="DR70" i="11"/>
  <c r="DR72" i="11" s="1"/>
  <c r="DR74" i="11" s="1"/>
  <c r="DS70" i="11"/>
  <c r="DS72" i="11" s="1"/>
  <c r="DS74" i="11" s="1"/>
  <c r="GH70" i="11"/>
  <c r="GH72" i="11" s="1"/>
  <c r="GH74" i="11" s="1"/>
  <c r="GA66" i="11"/>
  <c r="FR66" i="11"/>
  <c r="FF66" i="11"/>
  <c r="DX70" i="11"/>
  <c r="DX72" i="11" s="1"/>
  <c r="DX74" i="11" s="1"/>
  <c r="FC66" i="11"/>
  <c r="DQ66" i="11"/>
  <c r="DF66" i="11"/>
  <c r="DM66" i="11"/>
  <c r="CY70" i="11"/>
  <c r="CY72" i="11" s="1"/>
  <c r="CY74" i="11" s="1"/>
  <c r="DD70" i="11"/>
  <c r="DD72" i="11" s="1"/>
  <c r="DD74" i="11" s="1"/>
  <c r="DQ70" i="11"/>
  <c r="DF70" i="11"/>
  <c r="DF72" i="11" s="1"/>
  <c r="DF74" i="11" s="1"/>
  <c r="DM70" i="11"/>
  <c r="DM72" i="11" s="1"/>
  <c r="DM74" i="11" s="1"/>
  <c r="CY66" i="11"/>
  <c r="DJ66" i="11"/>
  <c r="CW66" i="11"/>
  <c r="DN66" i="11"/>
  <c r="DE66" i="11"/>
  <c r="DG66" i="11"/>
  <c r="DJ70" i="11"/>
  <c r="DJ72" i="11" s="1"/>
  <c r="DJ74" i="11" s="1"/>
  <c r="CW70" i="11"/>
  <c r="CW72" i="11" s="1"/>
  <c r="CW74" i="11" s="1"/>
  <c r="DN70" i="11"/>
  <c r="DN72" i="11" s="1"/>
  <c r="DN74" i="11" s="1"/>
  <c r="DE70" i="11"/>
  <c r="DE72" i="11" s="1"/>
  <c r="DE74" i="11" s="1"/>
  <c r="CX66" i="11"/>
  <c r="DL70" i="11"/>
  <c r="DL72" i="11" s="1"/>
  <c r="DL74" i="11" s="1"/>
  <c r="DC66" i="11"/>
  <c r="CZ70" i="11"/>
  <c r="CZ72" i="11" s="1"/>
  <c r="CZ74" i="11" s="1"/>
  <c r="CX70" i="11"/>
  <c r="CX72" i="11" s="1"/>
  <c r="CX74" i="11" s="1"/>
  <c r="DL66" i="11"/>
  <c r="DC70" i="11"/>
  <c r="DC72" i="11" s="1"/>
  <c r="DC74" i="11" s="1"/>
  <c r="DK70" i="11"/>
  <c r="DK72" i="11" s="1"/>
  <c r="DK74" i="11" s="1"/>
  <c r="DH70" i="11"/>
  <c r="DH72" i="11" s="1"/>
  <c r="DH74" i="11" s="1"/>
  <c r="CV70" i="11"/>
  <c r="CV72" i="11" s="1"/>
  <c r="CV74" i="11" s="1"/>
  <c r="DB66" i="11"/>
  <c r="DA66" i="11"/>
  <c r="DP66" i="11"/>
  <c r="DI70" i="11"/>
  <c r="DI72" i="11" s="1"/>
  <c r="DI74" i="11" s="1"/>
  <c r="DH66" i="11"/>
  <c r="CV66" i="11"/>
  <c r="DB70" i="11"/>
  <c r="DB72" i="11" s="1"/>
  <c r="DB74" i="11" s="1"/>
  <c r="DA70" i="11"/>
  <c r="DA72" i="11" s="1"/>
  <c r="DA74" i="11" s="1"/>
  <c r="DP70" i="11"/>
  <c r="DP72" i="11" s="1"/>
  <c r="DP74" i="11" s="1"/>
  <c r="DO66" i="11"/>
  <c r="DI66" i="11"/>
  <c r="CZ66" i="11"/>
  <c r="DD66" i="11"/>
  <c r="DG70" i="11"/>
  <c r="DG72" i="11" s="1"/>
  <c r="DG74" i="11" s="1"/>
  <c r="DO70" i="11"/>
  <c r="DO72" i="11" s="1"/>
  <c r="DO74" i="11" s="1"/>
  <c r="DK66" i="11"/>
  <c r="L66" i="11"/>
  <c r="X66" i="11"/>
  <c r="AJ66" i="11"/>
  <c r="AV66" i="11"/>
  <c r="BH66" i="11"/>
  <c r="BT66" i="11"/>
  <c r="CF66" i="11"/>
  <c r="CR66" i="11"/>
  <c r="M66" i="11"/>
  <c r="Y66" i="11"/>
  <c r="AK66" i="11"/>
  <c r="AW66" i="11"/>
  <c r="BI66" i="11"/>
  <c r="BU66" i="11"/>
  <c r="CG66" i="11"/>
  <c r="CS66" i="11"/>
  <c r="T66" i="11"/>
  <c r="BP66" i="11"/>
  <c r="CB66" i="11"/>
  <c r="AG66" i="11"/>
  <c r="CO66" i="11"/>
  <c r="AH66" i="11"/>
  <c r="BR66" i="11"/>
  <c r="W66" i="11"/>
  <c r="BS66" i="11"/>
  <c r="N66" i="11"/>
  <c r="Z66" i="11"/>
  <c r="AL66" i="11"/>
  <c r="AX66" i="11"/>
  <c r="BJ66" i="11"/>
  <c r="BV66" i="11"/>
  <c r="CH66" i="11"/>
  <c r="CT66" i="11"/>
  <c r="AC66" i="11"/>
  <c r="AO66" i="11"/>
  <c r="BA66" i="11"/>
  <c r="BY66" i="11"/>
  <c r="J66" i="11"/>
  <c r="CA66" i="11"/>
  <c r="BD66" i="11"/>
  <c r="BE66" i="11"/>
  <c r="O66" i="11"/>
  <c r="AA66" i="11"/>
  <c r="AM66" i="11"/>
  <c r="AY66" i="11"/>
  <c r="BK66" i="11"/>
  <c r="BW66" i="11"/>
  <c r="CI66" i="11"/>
  <c r="CU66" i="11"/>
  <c r="U66" i="11"/>
  <c r="P66" i="11"/>
  <c r="AB66" i="11"/>
  <c r="AN66" i="11"/>
  <c r="AZ66" i="11"/>
  <c r="BL66" i="11"/>
  <c r="BX66" i="11"/>
  <c r="CJ66" i="11"/>
  <c r="I66" i="11"/>
  <c r="Q66" i="11"/>
  <c r="BM66" i="11"/>
  <c r="CK66" i="11"/>
  <c r="CM66" i="11"/>
  <c r="AF66" i="11"/>
  <c r="CC66" i="11"/>
  <c r="BF66" i="11"/>
  <c r="CP66" i="11"/>
  <c r="AI66" i="11"/>
  <c r="CE66" i="11"/>
  <c r="R66" i="11"/>
  <c r="AD66" i="11"/>
  <c r="AP66" i="11"/>
  <c r="BB66" i="11"/>
  <c r="BN66" i="11"/>
  <c r="BZ66" i="11"/>
  <c r="CL66" i="11"/>
  <c r="K66" i="11"/>
  <c r="S66" i="11"/>
  <c r="AE66" i="11"/>
  <c r="AQ66" i="11"/>
  <c r="BC66" i="11"/>
  <c r="BO66" i="11"/>
  <c r="H66" i="11"/>
  <c r="AR66" i="11"/>
  <c r="CN66" i="11"/>
  <c r="AS66" i="11"/>
  <c r="BQ66" i="11"/>
  <c r="AT66" i="11"/>
  <c r="CD66" i="11"/>
  <c r="BG66" i="11"/>
  <c r="CQ66" i="11"/>
  <c r="V66" i="11"/>
  <c r="AU66" i="11"/>
  <c r="AJ70" i="11"/>
  <c r="CP70" i="11"/>
  <c r="CP72" i="11" s="1"/>
  <c r="CP74" i="11" s="1"/>
  <c r="M70" i="11"/>
  <c r="M72" i="11" s="1"/>
  <c r="M74" i="11" s="1"/>
  <c r="BC70" i="11"/>
  <c r="BC72" i="11" s="1"/>
  <c r="BC74" i="11" s="1"/>
  <c r="P70" i="11"/>
  <c r="P72" i="11" s="1"/>
  <c r="P74" i="11" s="1"/>
  <c r="AY70" i="11"/>
  <c r="AY72" i="11" s="1"/>
  <c r="AY74" i="11" s="1"/>
  <c r="CF70" i="11"/>
  <c r="CF72" i="11" s="1"/>
  <c r="CF74" i="11" s="1"/>
  <c r="BV70" i="11"/>
  <c r="BV72" i="11" s="1"/>
  <c r="BV74" i="11" s="1"/>
  <c r="BX70" i="11"/>
  <c r="BX72" i="11" s="1"/>
  <c r="BX74" i="11" s="1"/>
  <c r="AI70" i="11"/>
  <c r="AI72" i="11" s="1"/>
  <c r="AI74" i="11" s="1"/>
  <c r="Y70" i="11"/>
  <c r="Y72" i="11" s="1"/>
  <c r="Y74" i="11" s="1"/>
  <c r="BL70" i="11"/>
  <c r="BL72" i="11" s="1"/>
  <c r="BL74" i="11" s="1"/>
  <c r="BP70" i="11"/>
  <c r="BP72" i="11" s="1"/>
  <c r="BP74" i="11" s="1"/>
  <c r="CD70" i="11"/>
  <c r="CD72" i="11" s="1"/>
  <c r="CD74" i="11" s="1"/>
  <c r="BE70" i="11"/>
  <c r="BE72" i="11" s="1"/>
  <c r="BE74" i="11" s="1"/>
  <c r="G70" i="11"/>
  <c r="G72" i="11" s="1"/>
  <c r="G74" i="11" s="1"/>
  <c r="CT70" i="11"/>
  <c r="CT72" i="11" s="1"/>
  <c r="CT74" i="11" s="1"/>
  <c r="CG70" i="11"/>
  <c r="CG72" i="11" s="1"/>
  <c r="CG74" i="11" s="1"/>
  <c r="BU70" i="11"/>
  <c r="BU72" i="11" s="1"/>
  <c r="BU74" i="11" s="1"/>
  <c r="BT70" i="11"/>
  <c r="BT72" i="11" s="1"/>
  <c r="BT74" i="11" s="1"/>
  <c r="X70" i="11"/>
  <c r="X72" i="11" s="1"/>
  <c r="X74" i="11" s="1"/>
  <c r="AK70" i="11"/>
  <c r="AK72" i="11" s="1"/>
  <c r="AK74" i="11" s="1"/>
  <c r="AW70" i="11"/>
  <c r="AW72" i="11" s="1"/>
  <c r="AW74" i="11" s="1"/>
  <c r="BH70" i="11"/>
  <c r="BH72" i="11" s="1"/>
  <c r="BH74" i="11" s="1"/>
  <c r="AT70" i="11"/>
  <c r="AT72" i="11" s="1"/>
  <c r="AT74" i="11" s="1"/>
  <c r="CE70" i="11"/>
  <c r="CE72" i="11" s="1"/>
  <c r="CE74" i="11" s="1"/>
  <c r="AS70" i="11"/>
  <c r="AS72" i="11" s="1"/>
  <c r="AS74" i="11" s="1"/>
  <c r="AP70" i="11"/>
  <c r="AP72" i="11" s="1"/>
  <c r="AP74" i="11" s="1"/>
  <c r="BQ70" i="11"/>
  <c r="BQ72" i="11" s="1"/>
  <c r="BQ74" i="11" s="1"/>
  <c r="AH70" i="11"/>
  <c r="AH72" i="11" s="1"/>
  <c r="AH74" i="11" s="1"/>
  <c r="V70" i="11"/>
  <c r="V72" i="11" s="1"/>
  <c r="V74" i="11" s="1"/>
  <c r="BS70" i="11"/>
  <c r="BS72" i="11" s="1"/>
  <c r="BS74" i="11" s="1"/>
  <c r="CU70" i="11"/>
  <c r="CU72" i="11" s="1"/>
  <c r="CU74" i="11" s="1"/>
  <c r="BN70" i="11"/>
  <c r="BN72" i="11" s="1"/>
  <c r="BN74" i="11" s="1"/>
  <c r="AB70" i="11"/>
  <c r="AB72" i="11" s="1"/>
  <c r="AB74" i="11" s="1"/>
  <c r="CI70" i="11"/>
  <c r="CI72" i="11" s="1"/>
  <c r="CI74" i="11" s="1"/>
  <c r="AA70" i="11"/>
  <c r="AA72" i="11" s="1"/>
  <c r="AA74" i="11" s="1"/>
  <c r="Z70" i="11"/>
  <c r="Z72" i="11" s="1"/>
  <c r="Z74" i="11" s="1"/>
  <c r="BW70" i="11"/>
  <c r="BW72" i="11" s="1"/>
  <c r="BW74" i="11" s="1"/>
  <c r="CL70" i="11"/>
  <c r="CL72" i="11" s="1"/>
  <c r="CL74" i="11" s="1"/>
  <c r="Q70" i="11"/>
  <c r="Q72" i="11" s="1"/>
  <c r="Q74" i="11" s="1"/>
  <c r="BG70" i="11"/>
  <c r="BG72" i="11" s="1"/>
  <c r="BG74" i="11" s="1"/>
  <c r="BO70" i="11"/>
  <c r="BO72" i="11" s="1"/>
  <c r="BO74" i="11" s="1"/>
  <c r="BI70" i="11"/>
  <c r="BI72" i="11" s="1"/>
  <c r="BI74" i="11" s="1"/>
  <c r="AU70" i="11"/>
  <c r="AU72" i="11" s="1"/>
  <c r="AU74" i="11" s="1"/>
  <c r="CQ70" i="11"/>
  <c r="CQ72" i="11" s="1"/>
  <c r="CQ74" i="11" s="1"/>
  <c r="CO70" i="11"/>
  <c r="CO72" i="11" s="1"/>
  <c r="CO74" i="11" s="1"/>
  <c r="BB70" i="11"/>
  <c r="BB72" i="11" s="1"/>
  <c r="BB74" i="11" s="1"/>
  <c r="AR70" i="11"/>
  <c r="AR72" i="11" s="1"/>
  <c r="AR74" i="11" s="1"/>
  <c r="CH70" i="11"/>
  <c r="CH72" i="11" s="1"/>
  <c r="CH74" i="11" s="1"/>
  <c r="K70" i="11"/>
  <c r="K72" i="11" s="1"/>
  <c r="K74" i="11" s="1"/>
  <c r="BR70" i="11"/>
  <c r="BR72" i="11" s="1"/>
  <c r="BR74" i="11" s="1"/>
  <c r="CN70" i="11"/>
  <c r="CN72" i="11" s="1"/>
  <c r="CN74" i="11" s="1"/>
  <c r="R70" i="11"/>
  <c r="R72" i="11" s="1"/>
  <c r="R74" i="11" s="1"/>
  <c r="I70" i="11"/>
  <c r="I72" i="11" s="1"/>
  <c r="I74" i="11" s="1"/>
  <c r="CJ70" i="11"/>
  <c r="CJ72" i="11" s="1"/>
  <c r="CJ74" i="11" s="1"/>
  <c r="AM70" i="11"/>
  <c r="AM72" i="11" s="1"/>
  <c r="AM74" i="11" s="1"/>
  <c r="S70" i="11"/>
  <c r="S72" i="11" s="1"/>
  <c r="S74" i="11" s="1"/>
  <c r="BK70" i="11"/>
  <c r="BK72" i="11" s="1"/>
  <c r="BK74" i="11" s="1"/>
  <c r="N70" i="11"/>
  <c r="N72" i="11" s="1"/>
  <c r="N74" i="11" s="1"/>
  <c r="H70" i="11"/>
  <c r="H72" i="11" s="1"/>
  <c r="H74" i="11" s="1"/>
  <c r="U70" i="11"/>
  <c r="BD70" i="11"/>
  <c r="BD72" i="11" s="1"/>
  <c r="BD74" i="11" s="1"/>
  <c r="BJ70" i="11"/>
  <c r="BJ72" i="11" s="1"/>
  <c r="BJ74" i="11" s="1"/>
  <c r="L70" i="11"/>
  <c r="L72" i="11" s="1"/>
  <c r="L74" i="11" s="1"/>
  <c r="O70" i="11"/>
  <c r="O72" i="11" s="1"/>
  <c r="O74" i="11" s="1"/>
  <c r="BY70" i="11"/>
  <c r="BY72" i="11" s="1"/>
  <c r="BY74" i="11" s="1"/>
  <c r="W70" i="11"/>
  <c r="W72" i="11" s="1"/>
  <c r="W74" i="11" s="1"/>
  <c r="J72" i="11"/>
  <c r="J74" i="11" s="1"/>
  <c r="BF70" i="11"/>
  <c r="BF72" i="11" s="1"/>
  <c r="BF74" i="11" s="1"/>
  <c r="CB70" i="11"/>
  <c r="CB72" i="11" s="1"/>
  <c r="CB74" i="11" s="1"/>
  <c r="AZ70" i="11"/>
  <c r="AZ72" i="11" s="1"/>
  <c r="AZ74" i="11" s="1"/>
  <c r="AO70" i="11"/>
  <c r="AD70" i="11"/>
  <c r="AD72" i="11" s="1"/>
  <c r="AD74" i="11" s="1"/>
  <c r="CA70" i="11"/>
  <c r="CA72" i="11" s="1"/>
  <c r="CA74" i="11" s="1"/>
  <c r="AG70" i="11"/>
  <c r="AG72" i="11" s="1"/>
  <c r="AG74" i="11" s="1"/>
  <c r="CM70" i="11"/>
  <c r="CM72" i="11" s="1"/>
  <c r="CM74" i="11" s="1"/>
  <c r="CR70" i="11"/>
  <c r="CR72" i="11" s="1"/>
  <c r="CR74" i="11" s="1"/>
  <c r="BZ70" i="11"/>
  <c r="BZ72" i="11" s="1"/>
  <c r="BZ74" i="11" s="1"/>
  <c r="BM70" i="11"/>
  <c r="BM72" i="11" s="1"/>
  <c r="BM74" i="11" s="1"/>
  <c r="CS70" i="11"/>
  <c r="CS72" i="11" s="1"/>
  <c r="CS74" i="11" s="1"/>
  <c r="T70" i="11"/>
  <c r="T72" i="11" s="1"/>
  <c r="T74" i="11" s="1"/>
  <c r="AL70" i="11"/>
  <c r="AL72" i="11" s="1"/>
  <c r="AL74" i="11" s="1"/>
  <c r="AC70" i="11"/>
  <c r="AC72" i="11" s="1"/>
  <c r="AC74" i="11" s="1"/>
  <c r="CK70" i="11"/>
  <c r="CK72" i="11" s="1"/>
  <c r="CK74" i="11" s="1"/>
  <c r="AV70" i="11"/>
  <c r="AV72" i="11" s="1"/>
  <c r="AV74" i="11" s="1"/>
  <c r="BA70" i="11"/>
  <c r="BA72" i="11" s="1"/>
  <c r="BA74" i="11" s="1"/>
  <c r="AQ70" i="11"/>
  <c r="AQ72" i="11" s="1"/>
  <c r="AQ74" i="11" s="1"/>
  <c r="AX70" i="11"/>
  <c r="AX72" i="11" s="1"/>
  <c r="AX74" i="11" s="1"/>
  <c r="AE70" i="11"/>
  <c r="AE72" i="11" s="1"/>
  <c r="AE74" i="11" s="1"/>
  <c r="CC70" i="11"/>
  <c r="CC72" i="11" s="1"/>
  <c r="CC74" i="11" s="1"/>
  <c r="AN70" i="11"/>
  <c r="AN72" i="11" s="1"/>
  <c r="AN74" i="11" s="1"/>
  <c r="FV72" i="11" l="1"/>
  <c r="FV74" i="11" s="1"/>
  <c r="F14" i="11"/>
  <c r="F8" i="11"/>
  <c r="K9" i="11"/>
  <c r="AF72" i="11"/>
  <c r="AF74" i="11" s="1"/>
  <c r="DQ72" i="11"/>
  <c r="DQ74" i="11" s="1"/>
  <c r="AO72" i="11"/>
  <c r="AO74" i="11" s="1"/>
  <c r="U72" i="11"/>
  <c r="U74" i="11" s="1"/>
  <c r="AJ72" i="11"/>
  <c r="AJ74" i="11" s="1"/>
  <c r="K11" i="11" l="1"/>
  <c r="K12" i="11" a="1"/>
  <c r="K12" i="11" s="1"/>
  <c r="K8" i="11"/>
  <c r="K10" i="11"/>
  <c r="B11" i="22"/>
  <c r="B9" i="22" s="1"/>
  <c r="C11" i="22"/>
  <c r="C9" i="22" s="1"/>
  <c r="D11" i="22"/>
  <c r="D9" i="22" s="1"/>
  <c r="C6" i="19" l="1"/>
  <c r="B6" i="19"/>
  <c r="D6" i="19"/>
  <c r="I21" i="19"/>
  <c r="G21" i="19" s="1"/>
  <c r="D20" i="19" l="1"/>
  <c r="D19" i="19"/>
  <c r="B20" i="19"/>
  <c r="B19" i="19"/>
  <c r="C20" i="19"/>
  <c r="C19" i="19"/>
  <c r="C7" i="19"/>
  <c r="D7" i="19"/>
  <c r="B7" i="19"/>
  <c r="D5" i="19" l="1"/>
  <c r="D21" i="19"/>
  <c r="C5" i="19"/>
  <c r="C21" i="19"/>
  <c r="B5" i="19"/>
  <c r="B21" i="19"/>
  <c r="V18" i="1" l="1"/>
  <c r="V19" i="1" s="1"/>
  <c r="W18" i="1"/>
  <c r="W19" i="1" s="1"/>
  <c r="B25" i="1"/>
  <c r="C25" i="1"/>
  <c r="A25" i="1"/>
  <c r="C26" i="1"/>
  <c r="B26" i="1"/>
  <c r="U18" i="1"/>
  <c r="A26" i="1"/>
  <c r="F18" i="1" l="1"/>
  <c r="M6" i="1" s="1"/>
  <c r="P2" i="1"/>
  <c r="N5" i="1" s="1"/>
  <c r="A17" i="1"/>
  <c r="C17" i="1"/>
  <c r="B17" i="1"/>
  <c r="U19" i="1"/>
  <c r="N7" i="1" l="1"/>
  <c r="N6" i="1"/>
  <c r="M5" i="1"/>
  <c r="M7" i="1" s="1"/>
  <c r="N4" i="1" l="1"/>
  <c r="P9" i="1" s="1"/>
  <c r="P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 Briggs</author>
  </authors>
  <commentList>
    <comment ref="B17" authorId="0" shapeId="0" xr:uid="{2E368818-5513-4921-BF7C-90B4861D3182}">
      <text>
        <r>
          <rPr>
            <b/>
            <sz val="9"/>
            <color indexed="81"/>
            <rFont val="Tahoma"/>
            <family val="2"/>
          </rPr>
          <t>Dana Briggs:</t>
        </r>
        <r>
          <rPr>
            <sz val="9"/>
            <color indexed="81"/>
            <rFont val="Tahoma"/>
            <family val="2"/>
          </rPr>
          <t xml:space="preserve">
$8.00 Is For Prod Builders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 Briggs</author>
  </authors>
  <commentList>
    <comment ref="B17" authorId="0" shapeId="0" xr:uid="{F48B12FE-F08A-46A0-A0B9-C82AF61D6223}">
      <text>
        <r>
          <rPr>
            <b/>
            <sz val="9"/>
            <color indexed="81"/>
            <rFont val="Tahoma"/>
            <family val="2"/>
          </rPr>
          <t>Dana Briggs:</t>
        </r>
        <r>
          <rPr>
            <sz val="9"/>
            <color indexed="81"/>
            <rFont val="Tahoma"/>
            <family val="2"/>
          </rPr>
          <t xml:space="preserve">
1/2" increments</t>
        </r>
      </text>
    </comment>
    <comment ref="C17" authorId="0" shapeId="0" xr:uid="{274FF724-717B-405A-BA54-C364309EF364}">
      <text>
        <r>
          <rPr>
            <b/>
            <sz val="9"/>
            <color indexed="81"/>
            <rFont val="Tahoma"/>
            <family val="2"/>
          </rPr>
          <t>Dana Briggs:</t>
        </r>
        <r>
          <rPr>
            <sz val="9"/>
            <color indexed="81"/>
            <rFont val="Tahoma"/>
            <family val="2"/>
          </rPr>
          <t xml:space="preserve">
1" increments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<sst xmlns="http://schemas.openxmlformats.org/spreadsheetml/2006/main" count="9403" uniqueCount="1398">
  <si>
    <t>ALUMINUM SHUTTER SPECIFICATIONS</t>
  </si>
  <si>
    <t>T&amp;C FV Art Shutter Heights</t>
  </si>
  <si>
    <t>ESM Deco, 1.25 Blade</t>
  </si>
  <si>
    <t>Blades</t>
  </si>
  <si>
    <t>Finished Height</t>
  </si>
  <si>
    <t>FORTIFIED RATE LOUVERED SHUTTERS</t>
  </si>
  <si>
    <t>96" X 96" MAX SIZE</t>
  </si>
  <si>
    <t>+50/-55 PSI</t>
  </si>
  <si>
    <t>1-1/2" BLADE</t>
  </si>
  <si>
    <t>MAX 24" THEN REQUIRES A MULLION</t>
  </si>
  <si>
    <t>HINGE</t>
  </si>
  <si>
    <t>TIE DOWN MAX 24", ALL AROUND SHUTTER</t>
  </si>
  <si>
    <t>57" X 88"</t>
  </si>
  <si>
    <t>+80/-80 PSI</t>
  </si>
  <si>
    <t>MAX 19" THEN REQUIRES A MULLION</t>
  </si>
  <si>
    <t>TIE DOWNS ON BOTTOM, REQUIRES 2</t>
  </si>
  <si>
    <t>EASTERN METAL RATED BOARD AND BATTEN</t>
  </si>
  <si>
    <t>+40/-40 PSI</t>
  </si>
  <si>
    <t>MAXIMUM INDIVIDUAL WIDTH 25.5"</t>
  </si>
  <si>
    <t>QUAD TO 102.375"</t>
  </si>
  <si>
    <t>MAXIMUM RATED HEIGHT IS 66.125"</t>
  </si>
  <si>
    <t>TOWN AND COUNTRY RATED FULLVIEW</t>
  </si>
  <si>
    <t>See Shutters Heights ----&gt;</t>
  </si>
  <si>
    <t>53.5" SINGLE SPAN WIDTH</t>
  </si>
  <si>
    <t>OVER 53.5 REQUIRE MULLION EVERY @ 34"</t>
  </si>
  <si>
    <t>MAXIMUM WIDTH 136" (QUAD)</t>
  </si>
  <si>
    <t>MAXIMUM HEIGHT IS 97.75"</t>
  </si>
  <si>
    <t>HINGED LEFT AND RIGHT</t>
  </si>
  <si>
    <t>CENTER LOCK</t>
  </si>
  <si>
    <t>BRACKET TOP AND BOTTOM @JOINTS</t>
  </si>
  <si>
    <t>EMS DECO</t>
  </si>
  <si>
    <t>UNLIMTED WIDTH</t>
  </si>
  <si>
    <t>72" MAXIMUM HEIGHT</t>
  </si>
  <si>
    <t>MULLIONS REQUIRED EVERY 40"</t>
  </si>
  <si>
    <t>DATE:</t>
  </si>
  <si>
    <t>TIME:</t>
  </si>
  <si>
    <t>CUSTOMER NAME/JOB NO/SALES PERSON/DATE</t>
  </si>
  <si>
    <t>Whole NR</t>
  </si>
  <si>
    <t>Whole R</t>
  </si>
  <si>
    <t>Bldr NR</t>
  </si>
  <si>
    <t>Bldr R</t>
  </si>
  <si>
    <t>Resid NR</t>
  </si>
  <si>
    <t>Resid R</t>
  </si>
  <si>
    <t>Tropical Builders</t>
  </si>
  <si>
    <t>Trish</t>
  </si>
  <si>
    <t>Horan Residence- Herring Gull Lane- TRIANGLE SECTION</t>
  </si>
  <si>
    <t>W-9 $</t>
  </si>
  <si>
    <t>FILE LOCA:</t>
  </si>
  <si>
    <t>SCREEN TYPE ?</t>
  </si>
  <si>
    <t>SEE YELLOW HIGHLIGHT FOR CORRESPONDING ID</t>
  </si>
  <si>
    <t>CONTRACT</t>
  </si>
  <si>
    <t>Total Height</t>
  </si>
  <si>
    <t>Ft</t>
  </si>
  <si>
    <t>Wall</t>
  </si>
  <si>
    <t>$/LFt</t>
  </si>
  <si>
    <t>1720 -&gt;</t>
  </si>
  <si>
    <t>SCREEN UNDER USING: 17x20, 1X2, 2X2</t>
  </si>
  <si>
    <t>Pet Screen ?</t>
  </si>
  <si>
    <t>1111 -&gt;</t>
  </si>
  <si>
    <t>SCREEN UNDER USING: TUFF SCREEN, 1X2, 2X2, NO CHAIR</t>
  </si>
  <si>
    <t>Wall 1</t>
  </si>
  <si>
    <t>2020 -&gt;</t>
  </si>
  <si>
    <t>SCREEN UNDER USING: 20X20, 1X2, 2X2</t>
  </si>
  <si>
    <t>Wall 2</t>
  </si>
  <si>
    <t>2222 -&gt;</t>
  </si>
  <si>
    <t>SCREEN MAT'L &gt; 2X2, LANAI OR ROOF (Includes 1720, 2020)</t>
  </si>
  <si>
    <t>Wall 3</t>
  </si>
  <si>
    <t>3333 -&gt;</t>
  </si>
  <si>
    <t>SCREEN SUPER, LARGE SPAN, NO CHAIR (Tuff Screen and Super Screen)</t>
  </si>
  <si>
    <t>Wall 4</t>
  </si>
  <si>
    <t>Pet Scr $</t>
  </si>
  <si>
    <t>3068 Door</t>
  </si>
  <si>
    <t>Ea</t>
  </si>
  <si>
    <t>Wall Price</t>
  </si>
  <si>
    <t>(INFO only! This is only based on SqFt X $)</t>
  </si>
  <si>
    <t>3080 Door</t>
  </si>
  <si>
    <t>Doors</t>
  </si>
  <si>
    <t>Commission (%)</t>
  </si>
  <si>
    <t>v</t>
  </si>
  <si>
    <t>LF</t>
  </si>
  <si>
    <t>Of Wall</t>
  </si>
  <si>
    <t>Scrn Rf $</t>
  </si>
  <si>
    <t>Lanai</t>
  </si>
  <si>
    <t>SALES, WHEN GENERATING PRICE MAKE NOTE OF COMMISSION FOR IT VARIES</t>
  </si>
  <si>
    <t>$/SqFt</t>
  </si>
  <si>
    <t>Roof $</t>
  </si>
  <si>
    <t>Room</t>
  </si>
  <si>
    <t>MANLIFT, $600/DAY, 1600/WEEK, 2600/4-WEEKS</t>
  </si>
  <si>
    <t>Screen Room (Elite Roof)</t>
  </si>
  <si>
    <t>Enclosure (Screen Roof)</t>
  </si>
  <si>
    <t>Roof Shape</t>
  </si>
  <si>
    <t>SEFlat</t>
  </si>
  <si>
    <t>5" SG $</t>
  </si>
  <si>
    <t>Pitch</t>
  </si>
  <si>
    <t>Deg</t>
  </si>
  <si>
    <t xml:space="preserve"> </t>
  </si>
  <si>
    <t>Tan</t>
  </si>
  <si>
    <t>SRFlat</t>
  </si>
  <si>
    <t>SRShed</t>
  </si>
  <si>
    <t>SRMansurd</t>
  </si>
  <si>
    <t>SRGable</t>
  </si>
  <si>
    <t>SEShed</t>
  </si>
  <si>
    <t>SEMansurd</t>
  </si>
  <si>
    <t>SEGable</t>
  </si>
  <si>
    <t>Roof Pitch</t>
  </si>
  <si>
    <t>7" SG $</t>
  </si>
  <si>
    <t>Hght (Ft)</t>
  </si>
  <si>
    <t>Length</t>
  </si>
  <si>
    <t>Width</t>
  </si>
  <si>
    <t>SqFt</t>
  </si>
  <si>
    <t>Scr Length</t>
  </si>
  <si>
    <t>DS $</t>
  </si>
  <si>
    <t>BUILD DETAILS</t>
  </si>
  <si>
    <t>NA</t>
  </si>
  <si>
    <t>Scr Width (Beam)</t>
  </si>
  <si>
    <t>Scr Roof $</t>
  </si>
  <si>
    <t>Room Length</t>
  </si>
  <si>
    <t>Room Width</t>
  </si>
  <si>
    <t>Enclo Roof $</t>
  </si>
  <si>
    <t>5" SG</t>
  </si>
  <si>
    <t>7" SG</t>
  </si>
  <si>
    <t>DownSpouts</t>
  </si>
  <si>
    <t>EA</t>
  </si>
  <si>
    <t>LENGTH OF SCREEN UNDER</t>
  </si>
  <si>
    <t>1x2 Horiz</t>
  </si>
  <si>
    <t>2x2 Vert</t>
  </si>
  <si>
    <t>2x2 Chair</t>
  </si>
  <si>
    <t>Height</t>
  </si>
  <si>
    <t>Screen</t>
  </si>
  <si>
    <t>Spline</t>
  </si>
  <si>
    <t>Capri</t>
  </si>
  <si>
    <t>Fasteners</t>
  </si>
  <si>
    <t>Vert Post</t>
  </si>
  <si>
    <t>Tax</t>
  </si>
  <si>
    <t>Labor</t>
  </si>
  <si>
    <t>TOTAL COST / LENGTH OF SCREEN</t>
  </si>
  <si>
    <t>TOTAL COST / LINEAL FOOT</t>
  </si>
  <si>
    <t>PRICE @</t>
  </si>
  <si>
    <t>Door 3068</t>
  </si>
  <si>
    <t>Door 3080</t>
  </si>
  <si>
    <t>TOTAL</t>
  </si>
  <si>
    <t>COMMISSION</t>
  </si>
  <si>
    <t>GROSS PROFIT</t>
  </si>
  <si>
    <t>Flat</t>
  </si>
  <si>
    <t>Mansurd</t>
  </si>
  <si>
    <t>Minto</t>
  </si>
  <si>
    <t>Gable</t>
  </si>
  <si>
    <t>Shed</t>
  </si>
  <si>
    <t>AP</t>
  </si>
  <si>
    <t>Bldr</t>
  </si>
  <si>
    <t>Resid/Bldr Rf</t>
  </si>
  <si>
    <t>Resis Rf</t>
  </si>
  <si>
    <t>patio</t>
  </si>
  <si>
    <t>smb</t>
  </si>
  <si>
    <t>2x1</t>
  </si>
  <si>
    <t>2x2</t>
  </si>
  <si>
    <t>2x3</t>
  </si>
  <si>
    <t>2x4</t>
  </si>
  <si>
    <t>2X4</t>
  </si>
  <si>
    <t>2x6</t>
  </si>
  <si>
    <t>2x8</t>
  </si>
  <si>
    <t>2x9</t>
  </si>
  <si>
    <t>2x10</t>
  </si>
  <si>
    <t>DIRECTIONS</t>
  </si>
  <si>
    <t>Openings</t>
  </si>
  <si>
    <t>1. Pick Flat Track (FT) or Direct Mount (DM)</t>
  </si>
  <si>
    <t>Note: FT excludes MPM and FPM</t>
  </si>
  <si>
    <t>WAYNE DALTON FABRIC SHIELD</t>
  </si>
  <si>
    <t>Minutes</t>
  </si>
  <si>
    <t>2. DM requires the selection of Male
     Panelmate or Female Panelmate</t>
  </si>
  <si>
    <t>MAXIMUM SPAN 108"</t>
  </si>
  <si>
    <t>PROD</t>
  </si>
  <si>
    <t>Sell'g</t>
  </si>
  <si>
    <t>Inst</t>
  </si>
  <si>
    <t>Rate</t>
  </si>
  <si>
    <t>3. If you see RED you must change
     the Factor in the Blue box</t>
  </si>
  <si>
    <t>SPACING</t>
  </si>
  <si>
    <t>Cost</t>
  </si>
  <si>
    <t>Commish</t>
  </si>
  <si>
    <t>FT, R/S - 12" Spacing</t>
  </si>
  <si>
    <t>OvrHd</t>
  </si>
  <si>
    <t>DM - 11" UP TO 72", Then 8"</t>
  </si>
  <si>
    <t>Prof</t>
  </si>
  <si>
    <t>CUSTOMER NAME</t>
  </si>
  <si>
    <t>Percentage</t>
  </si>
  <si>
    <t>Do you see any RED on this page? 
Change Blue Factor until its Green (15%)!
THIS ONLY RELATES TO "PROD"</t>
  </si>
  <si>
    <t>DATE</t>
  </si>
  <si>
    <t>SALESMAN/JOB</t>
  </si>
  <si>
    <t>Horan Residence- Lot 37- Herring Gull Lane</t>
  </si>
  <si>
    <t>FT or DM?</t>
  </si>
  <si>
    <t>DM</t>
  </si>
  <si>
    <t>Male PanelMate is DM Only ---&gt;</t>
  </si>
  <si>
    <t>MPM or FPM</t>
  </si>
  <si>
    <t>FPM</t>
  </si>
  <si>
    <t>FT does not use MPM or FPM's</t>
  </si>
  <si>
    <t>BLDR</t>
  </si>
  <si>
    <t>RESID</t>
  </si>
  <si>
    <t>TOTAL COST</t>
  </si>
  <si>
    <t>TOTALS -&gt;</t>
  </si>
  <si>
    <t>Count</t>
  </si>
  <si>
    <t>---&gt;</t>
  </si>
  <si>
    <t>COST/OPNG</t>
  </si>
  <si>
    <t>OPENING</t>
  </si>
  <si>
    <t>SPAN</t>
  </si>
  <si>
    <t>N-SPAN</t>
  </si>
  <si>
    <t>SQFT</t>
  </si>
  <si>
    <t>FABRIC</t>
  </si>
  <si>
    <t>1 - FT, R/S</t>
  </si>
  <si>
    <t>2 - LAGS</t>
  </si>
  <si>
    <t>3 - CAPS</t>
  </si>
  <si>
    <t>4 - T-BOLTS</t>
  </si>
  <si>
    <t>5 - W/N</t>
  </si>
  <si>
    <t>CAULK</t>
  </si>
  <si>
    <t>MPM</t>
  </si>
  <si>
    <t>MPM Caps</t>
  </si>
  <si>
    <t>STUDS</t>
  </si>
  <si>
    <t>H-PLUGS</t>
  </si>
  <si>
    <t>W-D</t>
  </si>
  <si>
    <t>EAST</t>
  </si>
  <si>
    <t>FAST</t>
  </si>
  <si>
    <t>P-DEC</t>
  </si>
  <si>
    <t>T&amp;C</t>
  </si>
  <si>
    <t>FT</t>
  </si>
  <si>
    <t>AT</t>
  </si>
  <si>
    <t>1. Pick Armor Trak (AT) or Direct Mount (DM)</t>
  </si>
  <si>
    <t>Note: AT excludes MPM and FPM</t>
  </si>
  <si>
    <t>MUHLER FABRIC</t>
  </si>
  <si>
    <t>144"</t>
  </si>
  <si>
    <t>4"</t>
  </si>
  <si>
    <t>MAXIMUM SPAN 144"</t>
  </si>
  <si>
    <t>114"</t>
  </si>
  <si>
    <t>8"</t>
  </si>
  <si>
    <t>78"</t>
  </si>
  <si>
    <t>12"</t>
  </si>
  <si>
    <t>54"</t>
  </si>
  <si>
    <t>16"</t>
  </si>
  <si>
    <t>Span distance determines spacing. See---&gt;</t>
  </si>
  <si>
    <t>42"</t>
  </si>
  <si>
    <t>20"</t>
  </si>
  <si>
    <t>36"</t>
  </si>
  <si>
    <t>24"</t>
  </si>
  <si>
    <t>319 Venning Street</t>
  </si>
  <si>
    <t>Averi</t>
  </si>
  <si>
    <t>AT or DM?</t>
  </si>
  <si>
    <t>MPM or FPM?</t>
  </si>
  <si>
    <t xml:space="preserve">  The selection of AT overrides MPM or FPM's</t>
  </si>
  <si>
    <t>RETAIL</t>
  </si>
  <si>
    <t>COST</t>
  </si>
  <si>
    <t>1 - AT</t>
  </si>
  <si>
    <t>2 - SCREWS</t>
  </si>
  <si>
    <t>WN</t>
  </si>
  <si>
    <t>Muhle3r</t>
  </si>
  <si>
    <t>SCREWS</t>
  </si>
  <si>
    <t>1. Pick Flat Track (AT) or Direct Mount (DM)</t>
  </si>
  <si>
    <t>Galv and Alum Panels</t>
  </si>
  <si>
    <t>MAXIMUM SPAN GALV 108", Aluminum 144"</t>
  </si>
  <si>
    <t>2. DM requires Female Panelmate</t>
  </si>
  <si>
    <t xml:space="preserve">Mounting is 12" OC unless </t>
  </si>
  <si>
    <t>Install</t>
  </si>
  <si>
    <t>Horan Residence</t>
  </si>
  <si>
    <t>Lot 37- Herring Gull Lane</t>
  </si>
  <si>
    <t>Cost/Opng</t>
  </si>
  <si>
    <t>G or A</t>
  </si>
  <si>
    <t>GROM</t>
  </si>
  <si>
    <t>PANELS</t>
  </si>
  <si>
    <t>FT, R/S</t>
  </si>
  <si>
    <t>LAGS</t>
  </si>
  <si>
    <t>CAPS</t>
  </si>
  <si>
    <t>T-BOLTS</t>
  </si>
  <si>
    <t>W/N</t>
  </si>
  <si>
    <t>G</t>
  </si>
  <si>
    <t>Galv</t>
  </si>
  <si>
    <t>Alum</t>
  </si>
  <si>
    <t>OSB</t>
  </si>
  <si>
    <t>SELLING</t>
  </si>
  <si>
    <t>MAT'L</t>
  </si>
  <si>
    <t>LABOR</t>
  </si>
  <si>
    <t>OVRHD</t>
  </si>
  <si>
    <t>COMMISH</t>
  </si>
  <si>
    <t>PROF</t>
  </si>
  <si>
    <t>BONUS</t>
  </si>
  <si>
    <t>MAXIMUM SPAN 94"</t>
  </si>
  <si>
    <t>PRICE</t>
  </si>
  <si>
    <t>POOL</t>
  </si>
  <si>
    <t>Goal MH</t>
  </si>
  <si>
    <t>GAS&lt;60Mi</t>
  </si>
  <si>
    <t>Min/Opng</t>
  </si>
  <si>
    <t>48" Wide (Span 44") x 72: 20-30-20</t>
  </si>
  <si>
    <t>GAS&gt;Mileage</t>
  </si>
  <si>
    <t>&gt;44" to 92" Span (96" Brd): 9-15-9</t>
  </si>
  <si>
    <t>PASSES</t>
  </si>
  <si>
    <t>CDX $ (3-Ply)</t>
  </si>
  <si>
    <t>AVE COST PSF</t>
  </si>
  <si>
    <t>Quantities</t>
  </si>
  <si>
    <t>Cut SBLgth</t>
  </si>
  <si>
    <t>Cut N-SBLgth</t>
  </si>
  <si>
    <t>CDX</t>
  </si>
  <si>
    <t>EDGE</t>
  </si>
  <si>
    <t>INTERM</t>
  </si>
  <si>
    <t>Pene's</t>
  </si>
  <si>
    <t>Span</t>
  </si>
  <si>
    <t>N-Span</t>
  </si>
  <si>
    <t>96"</t>
  </si>
  <si>
    <t>48"</t>
  </si>
  <si>
    <t>Non-Span</t>
  </si>
  <si>
    <t>Brd</t>
  </si>
  <si>
    <t>96E</t>
  </si>
  <si>
    <t>96I</t>
  </si>
  <si>
    <t>95E</t>
  </si>
  <si>
    <t>95I</t>
  </si>
  <si>
    <t>94E</t>
  </si>
  <si>
    <t>94I</t>
  </si>
  <si>
    <t>93E</t>
  </si>
  <si>
    <t>93I</t>
  </si>
  <si>
    <t>92E</t>
  </si>
  <si>
    <t>92I</t>
  </si>
  <si>
    <t>91E</t>
  </si>
  <si>
    <t>91I</t>
  </si>
  <si>
    <t>90E</t>
  </si>
  <si>
    <t>90I</t>
  </si>
  <si>
    <t>89E</t>
  </si>
  <si>
    <t>89I</t>
  </si>
  <si>
    <t>88E</t>
  </si>
  <si>
    <t>88I</t>
  </si>
  <si>
    <t>87E</t>
  </si>
  <si>
    <t>87I</t>
  </si>
  <si>
    <t>48E</t>
  </si>
  <si>
    <t>48I</t>
  </si>
  <si>
    <t>JOB #</t>
  </si>
  <si>
    <t>$/SQFT</t>
  </si>
  <si>
    <t>TOTAL COST /JOB (ESTIMATE)</t>
  </si>
  <si>
    <t>MARGIN</t>
  </si>
  <si>
    <t>CST/SQFT</t>
  </si>
  <si>
    <t>NEED TO BE</t>
  </si>
  <si>
    <t>TAX</t>
  </si>
  <si>
    <t>DESCRIPTION</t>
  </si>
  <si>
    <t>$/LF</t>
  </si>
  <si>
    <t>$/PC</t>
  </si>
  <si>
    <t>QTY/STORE</t>
  </si>
  <si>
    <t>EXTND</t>
  </si>
  <si>
    <t>U-HEADER, BRONZE</t>
  </si>
  <si>
    <t>H-HEADER, BRONZE</t>
  </si>
  <si>
    <t>FLAT TRACK, STUDLESS, BRONZE</t>
  </si>
  <si>
    <t>ANGLE F TRACK, STUDLESS, BRONZE</t>
  </si>
  <si>
    <t>ALUMINUM STORM PANEL</t>
  </si>
  <si>
    <t>4" SELF TAPER</t>
  </si>
  <si>
    <t>AVERAGE STORE</t>
  </si>
  <si>
    <t>2" SELF TAPER</t>
  </si>
  <si>
    <t>TAMPINS</t>
  </si>
  <si>
    <t>W</t>
  </si>
  <si>
    <t>H</t>
  </si>
  <si>
    <t>3/4" SIDEWALK BOLTS</t>
  </si>
  <si>
    <t>TRACK BOLTS</t>
  </si>
  <si>
    <t>WINGNUTS</t>
  </si>
  <si>
    <t>BLACK PLASTIC CAPS</t>
  </si>
  <si>
    <t>CST/MATL</t>
  </si>
  <si>
    <t>ASSUMPTIONS</t>
  </si>
  <si>
    <t>6 STORES</t>
  </si>
  <si>
    <t>LODGING</t>
  </si>
  <si>
    <t>MILES</t>
  </si>
  <si>
    <t>GUYS</t>
  </si>
  <si>
    <t>WHOLE</t>
  </si>
  <si>
    <r>
      <t>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/HR</t>
    </r>
  </si>
  <si>
    <r>
      <t xml:space="preserve">NOTE: MULLIONS ARE NEEDED OVER 40" IN WIDTH AND QTY IS SHOWN IN THE </t>
    </r>
    <r>
      <rPr>
        <b/>
        <sz val="11"/>
        <color rgb="FFFFFF00"/>
        <rFont val="Calibri"/>
        <family val="2"/>
        <scheme val="minor"/>
      </rPr>
      <t>YELLOW</t>
    </r>
    <r>
      <rPr>
        <sz val="11"/>
        <color rgb="FFFF0000"/>
        <rFont val="Calibri"/>
        <family val="2"/>
        <scheme val="minor"/>
      </rPr>
      <t xml:space="preserve"> COLUMN</t>
    </r>
  </si>
  <si>
    <t>Inches</t>
  </si>
  <si>
    <t>MULLION</t>
  </si>
  <si>
    <t>BLADE</t>
  </si>
  <si>
    <t>ARMS</t>
  </si>
  <si>
    <t>LINE</t>
  </si>
  <si>
    <t>QTY</t>
  </si>
  <si>
    <t>PAINT</t>
  </si>
  <si>
    <t>S/W DESCRIP</t>
  </si>
  <si>
    <t>LOGISTICS</t>
  </si>
  <si>
    <t>HEADER</t>
  </si>
  <si>
    <t>HDR/HINGE</t>
  </si>
  <si>
    <t>SILL</t>
  </si>
  <si>
    <t>LFT SIDE</t>
  </si>
  <si>
    <t>RT SIDE</t>
  </si>
  <si>
    <t>SIZE</t>
  </si>
  <si>
    <t>LENGTH</t>
  </si>
  <si>
    <t>HDWARE</t>
  </si>
  <si>
    <t>3/16 AL RIV</t>
  </si>
  <si>
    <r>
      <t>IN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</si>
  <si>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PNT FT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</si>
  <si>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CUT/SAND/ASS</t>
  </si>
  <si>
    <t>PRM $</t>
  </si>
  <si>
    <t>PRM LBR</t>
  </si>
  <si>
    <t>SAND</t>
  </si>
  <si>
    <t>PNT $</t>
  </si>
  <si>
    <t>PNT LBR</t>
  </si>
  <si>
    <t>LOGISTICS $</t>
  </si>
  <si>
    <t>DECO SILL</t>
  </si>
  <si>
    <t>41-63-831</t>
  </si>
  <si>
    <t>WIDTH</t>
  </si>
  <si>
    <t>YES</t>
  </si>
  <si>
    <t>SW2802</t>
  </si>
  <si>
    <t>INSTALL</t>
  </si>
  <si>
    <t>DECO TOP</t>
  </si>
  <si>
    <t>41-63-837N</t>
  </si>
  <si>
    <t>DECO MULL</t>
  </si>
  <si>
    <t>41-63-838P200</t>
  </si>
  <si>
    <t>HEIGHT - .161</t>
  </si>
  <si>
    <t>DECO HINGE</t>
  </si>
  <si>
    <t>41-63-803</t>
  </si>
  <si>
    <t>DECO BLADE</t>
  </si>
  <si>
    <t>41-63-830</t>
  </si>
  <si>
    <t>WIDTH - 1.140 X 2</t>
  </si>
  <si>
    <t>DECO L SIDE</t>
  </si>
  <si>
    <t>41-63-832L200</t>
  </si>
  <si>
    <t>DECO R SIDE</t>
  </si>
  <si>
    <t>41-63-832R200</t>
  </si>
  <si>
    <t>DECO STILE</t>
  </si>
  <si>
    <t>41-63-862</t>
  </si>
  <si>
    <t>3/16 Alum Blind Rivet</t>
  </si>
  <si>
    <t>BR-M42247</t>
  </si>
  <si>
    <t>BAH FEMALE HINGE</t>
  </si>
  <si>
    <t>BLADES EVERY 2"</t>
  </si>
  <si>
    <t>BAH ARMS/HARDWARE</t>
  </si>
  <si>
    <t>Cost/SqFt</t>
  </si>
  <si>
    <t>NO</t>
  </si>
  <si>
    <t>PICKUP</t>
  </si>
  <si>
    <t>SHIP/CR</t>
  </si>
  <si>
    <t>DELIVERY</t>
  </si>
  <si>
    <t>LCR</t>
  </si>
  <si>
    <t>CUSTOMER NAME?</t>
  </si>
  <si>
    <t>Walliser</t>
  </si>
  <si>
    <t>OPTIONS</t>
  </si>
  <si>
    <t>F/B</t>
  </si>
  <si>
    <t>SINGLE</t>
  </si>
  <si>
    <t>SHUTTER</t>
  </si>
  <si>
    <t>STD OP</t>
  </si>
  <si>
    <t>STD 2</t>
  </si>
  <si>
    <t>EACH</t>
  </si>
  <si>
    <t>BOARDS</t>
  </si>
  <si>
    <t>HINGES</t>
  </si>
  <si>
    <t>MFG</t>
  </si>
  <si>
    <t>PR, QD</t>
  </si>
  <si>
    <t>HOST MAT'L</t>
  </si>
  <si>
    <t>HEIGHT</t>
  </si>
  <si>
    <t>S/W #</t>
  </si>
  <si>
    <t>PATTERN</t>
  </si>
  <si>
    <t>HRDWRE</t>
  </si>
  <si>
    <t>FIXED</t>
  </si>
  <si>
    <t>CENT HNGE</t>
  </si>
  <si>
    <t>BIFOLD</t>
  </si>
  <si>
    <t>&gt;2 BATT</t>
  </si>
  <si>
    <r>
      <rPr>
        <sz val="11"/>
        <color theme="1"/>
        <rFont val="Calibri"/>
        <family val="2"/>
        <scheme val="minor"/>
      </rPr>
      <t>FT</t>
    </r>
    <r>
      <rPr>
        <vertAlign val="superscript"/>
        <sz val="11"/>
        <color theme="1"/>
        <rFont val="Calibri"/>
        <family val="2"/>
        <scheme val="minor"/>
      </rPr>
      <t>2</t>
    </r>
  </si>
  <si>
    <t>"S"</t>
  </si>
  <si>
    <t>"PR"</t>
  </si>
  <si>
    <t>"QD"</t>
  </si>
  <si>
    <t>STD BATTEN</t>
  </si>
  <si>
    <t>ADD BATTENS</t>
  </si>
  <si>
    <t>FASTENERS</t>
  </si>
  <si>
    <t>STD HW WOOD</t>
  </si>
  <si>
    <t>STD HW CONC</t>
  </si>
  <si>
    <t>STM BR</t>
  </si>
  <si>
    <t>CUT/ASS/SAND</t>
  </si>
  <si>
    <t>PR</t>
  </si>
  <si>
    <t>WOOD</t>
  </si>
  <si>
    <t>SW6258</t>
  </si>
  <si>
    <t>S</t>
  </si>
  <si>
    <t>1/4 POP</t>
  </si>
  <si>
    <t>CONCRETE</t>
  </si>
  <si>
    <t>+1</t>
  </si>
  <si>
    <t>QD</t>
  </si>
  <si>
    <t>+2</t>
  </si>
  <si>
    <t>1/8" POP</t>
  </si>
  <si>
    <t>+3</t>
  </si>
  <si>
    <t>3/16" POP</t>
  </si>
  <si>
    <t>1/4" RIV</t>
  </si>
  <si>
    <t>2.5" swb</t>
  </si>
  <si>
    <t>3-3</t>
  </si>
  <si>
    <t>4-3</t>
  </si>
  <si>
    <t>4-4</t>
  </si>
  <si>
    <t>5-4</t>
  </si>
  <si>
    <t>5-5</t>
  </si>
  <si>
    <t>3-5-3</t>
  </si>
  <si>
    <t>4-4-4</t>
  </si>
  <si>
    <t>4-5-4</t>
  </si>
  <si>
    <t>5-4-5</t>
  </si>
  <si>
    <t>5-5-5</t>
  </si>
  <si>
    <t>4-4-4-4</t>
  </si>
  <si>
    <t>3-5-5-4</t>
  </si>
  <si>
    <t>3-4-4-4-3</t>
  </si>
  <si>
    <t>5-5-4-5</t>
  </si>
  <si>
    <t>5-5-5-5</t>
  </si>
  <si>
    <t>3-5-5-5-3</t>
  </si>
  <si>
    <t>3-4-4-4-4-3</t>
  </si>
  <si>
    <t>4-5-5-5-4</t>
  </si>
  <si>
    <t>5-5-5-5-4</t>
  </si>
  <si>
    <t>5-5-5-5-5</t>
  </si>
  <si>
    <t>STD</t>
  </si>
  <si>
    <t>FOR PROPER HARDWARE PRICING PICK WHO SOLD TO</t>
  </si>
  <si>
    <t>Coastal Signature</t>
  </si>
  <si>
    <t>Mcauliffe Residence- Lot C13- 4 Edgefield Lane</t>
  </si>
  <si>
    <r>
      <t xml:space="preserve">STANDARD SIZE SHUTTER, </t>
    </r>
    <r>
      <rPr>
        <b/>
        <sz val="11"/>
        <color theme="1"/>
        <rFont val="Calibri"/>
        <family val="2"/>
        <scheme val="minor"/>
      </rPr>
      <t>=&lt;30" WIDE</t>
    </r>
  </si>
  <si>
    <t>Price Shaker as BB, Price Combo as Louver</t>
  </si>
  <si>
    <t>CNC</t>
  </si>
  <si>
    <t>Calculated</t>
  </si>
  <si>
    <t>or PAIR</t>
  </si>
  <si>
    <t>TYPE</t>
  </si>
  <si>
    <t>FRACTION</t>
  </si>
  <si>
    <t>CUT-OUT</t>
  </si>
  <si>
    <t>CTR LOCKS</t>
  </si>
  <si>
    <t>L-STRAPS</t>
  </si>
  <si>
    <t>FAUX ARM</t>
  </si>
  <si>
    <t>&gt;1 STILE</t>
  </si>
  <si>
    <t>ARCH/BRK</t>
  </si>
  <si>
    <r>
      <t>IN</t>
    </r>
    <r>
      <rPr>
        <vertAlign val="superscript"/>
        <sz val="11"/>
        <color theme="1"/>
        <rFont val="Calibri"/>
        <family val="2"/>
        <scheme val="minor"/>
      </rPr>
      <t>2</t>
    </r>
  </si>
  <si>
    <t>1/2</t>
  </si>
  <si>
    <t>3/4</t>
  </si>
  <si>
    <t>EXTIRA</t>
  </si>
  <si>
    <t>GLUE</t>
  </si>
  <si>
    <t>BRADS</t>
  </si>
  <si>
    <t>MACH</t>
  </si>
  <si>
    <t>LBR</t>
  </si>
  <si>
    <t>ASSEM</t>
  </si>
  <si>
    <t>BURN</t>
  </si>
  <si>
    <t>OVERSIZE $</t>
  </si>
  <si>
    <t>HARDWARE $</t>
  </si>
  <si>
    <t>CUT-OUT $</t>
  </si>
  <si>
    <t>CTR LKS</t>
  </si>
  <si>
    <t>EXT BAT $</t>
  </si>
  <si>
    <t>ARM $</t>
  </si>
  <si>
    <t>STILE</t>
  </si>
  <si>
    <t>ARCH</t>
  </si>
  <si>
    <t>COMBO</t>
  </si>
  <si>
    <t>BB</t>
  </si>
  <si>
    <t>BB-CFPNT</t>
  </si>
  <si>
    <t>RP</t>
  </si>
  <si>
    <t>SHIP/CRATE</t>
  </si>
  <si>
    <t>LOU</t>
  </si>
  <si>
    <t>SHKR</t>
  </si>
  <si>
    <t>COMB</t>
  </si>
  <si>
    <t>RP/LOU</t>
  </si>
  <si>
    <r>
      <t>OZ/IN</t>
    </r>
    <r>
      <rPr>
        <vertAlign val="superscript"/>
        <sz val="11"/>
        <color theme="1"/>
        <rFont val="Calibri"/>
        <family val="2"/>
        <scheme val="minor"/>
      </rPr>
      <t>2</t>
    </r>
  </si>
  <si>
    <r>
      <t>BRDS/IN</t>
    </r>
    <r>
      <rPr>
        <vertAlign val="superscript"/>
        <sz val="11"/>
        <color theme="1"/>
        <rFont val="Calibri"/>
        <family val="2"/>
        <scheme val="minor"/>
      </rPr>
      <t>2</t>
    </r>
  </si>
  <si>
    <t>1</t>
  </si>
  <si>
    <r>
      <t xml:space="preserve">NOTE: MULLIONS ARE NEEDED OVER 19" IN WIDTH AND QTY IS SHOWN IN THE </t>
    </r>
    <r>
      <rPr>
        <b/>
        <sz val="11"/>
        <color rgb="FFFFFF00"/>
        <rFont val="Calibri"/>
        <family val="2"/>
        <scheme val="minor"/>
      </rPr>
      <t>YELLOW</t>
    </r>
    <r>
      <rPr>
        <sz val="11"/>
        <color rgb="FFFF0000"/>
        <rFont val="Calibri"/>
        <family val="2"/>
        <scheme val="minor"/>
      </rPr>
      <t xml:space="preserve"> COLUMN</t>
    </r>
  </si>
  <si>
    <t>NO MULL</t>
  </si>
  <si>
    <t>/MULL</t>
  </si>
  <si>
    <t>Price</t>
  </si>
  <si>
    <t>Ext. Cost</t>
  </si>
  <si>
    <t>$/FT</t>
  </si>
  <si>
    <t>$/Inch</t>
  </si>
  <si>
    <t>$/Ea</t>
  </si>
  <si>
    <t>COL/BAH</t>
  </si>
  <si>
    <t>BI-FLD</t>
  </si>
  <si>
    <t>KEYS</t>
  </si>
  <si>
    <t>RIVETS</t>
  </si>
  <si>
    <t>Punched Louvered Insert (Left)</t>
  </si>
  <si>
    <t>BAH</t>
  </si>
  <si>
    <t>Punched Louvered Insert (Right)</t>
  </si>
  <si>
    <t>Colonial Impact Blades</t>
  </si>
  <si>
    <t>Unpunched Louver Inserts</t>
  </si>
  <si>
    <t>Side Rail</t>
  </si>
  <si>
    <t>Unpunched MULLION</t>
  </si>
  <si>
    <t>Corner Keys, No Holes</t>
  </si>
  <si>
    <t>Self Aligning Colonial Panel Hinge</t>
  </si>
  <si>
    <t>SEI-CF02</t>
  </si>
  <si>
    <t>Self Aligning Colonial Bifold Hinge</t>
  </si>
  <si>
    <t>SEI-CF03</t>
  </si>
  <si>
    <t>RIVET</t>
  </si>
  <si>
    <t>MALE HINGE TOP RAIL</t>
  </si>
  <si>
    <t>TOTAL COST ---&gt;</t>
  </si>
  <si>
    <t>COL</t>
  </si>
  <si>
    <t>Date</t>
  </si>
  <si>
    <t>Retail $ Per Item</t>
  </si>
  <si>
    <t>Quantity Retail Pricing</t>
  </si>
  <si>
    <t xml:space="preserve">Last </t>
  </si>
  <si>
    <t>Armor Std</t>
  </si>
  <si>
    <t>BUILDER</t>
  </si>
  <si>
    <t>RESID/RETAIL</t>
  </si>
  <si>
    <t>RETAIL PRICING</t>
  </si>
  <si>
    <t>Nickname</t>
  </si>
  <si>
    <t>Actual Name</t>
  </si>
  <si>
    <t>Vendor P/N</t>
  </si>
  <si>
    <t>Vendor</t>
  </si>
  <si>
    <t>On-Hand</t>
  </si>
  <si>
    <t>$</t>
  </si>
  <si>
    <t>Qty/Length</t>
  </si>
  <si>
    <t>SHPG</t>
  </si>
  <si>
    <t>Updated</t>
  </si>
  <si>
    <t>Unit</t>
  </si>
  <si>
    <t>TTL</t>
  </si>
  <si>
    <t>Resid</t>
  </si>
  <si>
    <t>Lag Bolt</t>
  </si>
  <si>
    <t>1/4"X3-1/2HX LAG S/S</t>
  </si>
  <si>
    <t>Fastenal</t>
  </si>
  <si>
    <t>Wing Nut</t>
  </si>
  <si>
    <t>1/4-20HDNIKLPLTDWNGNT</t>
  </si>
  <si>
    <t>All-Points</t>
  </si>
  <si>
    <t>1/4-20 X 2-1/2</t>
  </si>
  <si>
    <t>Stud (plated)</t>
  </si>
  <si>
    <t>TAP 1/4-20 X 2 Z 5</t>
  </si>
  <si>
    <t>Plug 5/8, White</t>
  </si>
  <si>
    <t>WHITE #62MP0625W</t>
  </si>
  <si>
    <t>62HPN/WH</t>
  </si>
  <si>
    <t>Hillman</t>
  </si>
  <si>
    <t>Plug 5/8, Ivory</t>
  </si>
  <si>
    <t>IVORY #9001046502</t>
  </si>
  <si>
    <t>62HPN/IV</t>
  </si>
  <si>
    <t>Plug 5/8, Beige</t>
  </si>
  <si>
    <t>BRONZE CAP</t>
  </si>
  <si>
    <t>1-1/8" CAP BRONZE</t>
  </si>
  <si>
    <t>118CAP/BZ</t>
  </si>
  <si>
    <t>WAX</t>
  </si>
  <si>
    <t>SHUTTER WAX</t>
  </si>
  <si>
    <t>DRIVER</t>
  </si>
  <si>
    <t>1/4" TAPER MAG DRIVER</t>
  </si>
  <si>
    <t>25DHT/QT</t>
  </si>
  <si>
    <t>Track Bolt</t>
  </si>
  <si>
    <t>SSS CP 1/4-20X2 1/2</t>
  </si>
  <si>
    <t>1/4X14X4</t>
  </si>
  <si>
    <t>1/4X14X2</t>
  </si>
  <si>
    <t>SSP</t>
  </si>
  <si>
    <t>EMS</t>
  </si>
  <si>
    <t>Alum Panels</t>
  </si>
  <si>
    <t>Fabric</t>
  </si>
  <si>
    <t>Wayne Dalton</t>
  </si>
  <si>
    <t>Muhler</t>
  </si>
  <si>
    <t>Armor Trak</t>
  </si>
  <si>
    <t>Armor Cover</t>
  </si>
  <si>
    <t>Muler Screw</t>
  </si>
  <si>
    <t>Washer for Muhler Screw</t>
  </si>
  <si>
    <t>F-Track</t>
  </si>
  <si>
    <t>Cap 7/16</t>
  </si>
  <si>
    <t>Pro-Dec</t>
  </si>
  <si>
    <t>Cap, Push 1/4-20</t>
  </si>
  <si>
    <t>SWB 1/2"</t>
  </si>
  <si>
    <t>SWB 3/4"</t>
  </si>
  <si>
    <t>SWB 1"</t>
  </si>
  <si>
    <t>SWB 1-1/4"</t>
  </si>
  <si>
    <t>SWB 1-1/2"</t>
  </si>
  <si>
    <t>SWB 2"</t>
  </si>
  <si>
    <t>SWB 2-1/2"</t>
  </si>
  <si>
    <t>SWB 3"</t>
  </si>
  <si>
    <t>FPM 3-1/4"</t>
  </si>
  <si>
    <t>FEMALE PANELMATE</t>
  </si>
  <si>
    <t>ENW325 ELCO</t>
  </si>
  <si>
    <t>MPM 3-1/4"</t>
  </si>
  <si>
    <t>MALE PANELMATE</t>
  </si>
  <si>
    <t>25N325TPM/118</t>
  </si>
  <si>
    <t>MPM 4-1/2"</t>
  </si>
  <si>
    <t>25N450TMP/118</t>
  </si>
  <si>
    <t>MPM 7-3/8"</t>
  </si>
  <si>
    <t>25N737TMP/118</t>
  </si>
  <si>
    <t>MPM CAP</t>
  </si>
  <si>
    <t>3" FPM TC</t>
  </si>
  <si>
    <t>Female PanelMate</t>
  </si>
  <si>
    <t>TC</t>
  </si>
  <si>
    <t>ARMOR SCREEN</t>
  </si>
  <si>
    <t>Combo Bit</t>
  </si>
  <si>
    <t>PMATECOMBOBIT/ECO</t>
  </si>
  <si>
    <t>Self Tapper</t>
  </si>
  <si>
    <t>1/4 X 2 HWH SELF DRILL ZINC</t>
  </si>
  <si>
    <t>25N200UHWZ</t>
  </si>
  <si>
    <t>Tapcon</t>
  </si>
  <si>
    <t>3/16 X 2 1/4 HWH TAPCON</t>
  </si>
  <si>
    <t>18R225TPH</t>
  </si>
  <si>
    <t>Bullets/Clips</t>
  </si>
  <si>
    <t>Holder &amp; Clips</t>
  </si>
  <si>
    <t>TAMPIN</t>
  </si>
  <si>
    <t>25CAMSZ/AP</t>
  </si>
  <si>
    <t>Screen 2020</t>
  </si>
  <si>
    <t>20/20 SCREEN 96 X 100 CHARC</t>
  </si>
  <si>
    <t>Screen 1720</t>
  </si>
  <si>
    <t>17/20 SCREEN 36 X 100 CHARC</t>
  </si>
  <si>
    <t>Superscreen</t>
  </si>
  <si>
    <t>PET SCREEN</t>
  </si>
  <si>
    <t>36 X 100</t>
  </si>
  <si>
    <t>TUFF SCREEN</t>
  </si>
  <si>
    <t>132 X 100</t>
  </si>
  <si>
    <t>Snap</t>
  </si>
  <si>
    <t>1 X 2 X 25 SELF MATING SNAP</t>
  </si>
  <si>
    <t>Tek Screws 3/4</t>
  </si>
  <si>
    <t>2x2 patio</t>
  </si>
  <si>
    <t>2 X 2 X 24' PATIO .040</t>
  </si>
  <si>
    <t>1x2 patio</t>
  </si>
  <si>
    <t>1 X 2 X 24' PATIO .040</t>
  </si>
  <si>
    <t>2x3 patio</t>
  </si>
  <si>
    <t>2x4 patio</t>
  </si>
  <si>
    <t>2x5 patio</t>
  </si>
  <si>
    <t>1x4 smb</t>
  </si>
  <si>
    <t>Price is for 2</t>
  </si>
  <si>
    <t>1x5 smb</t>
  </si>
  <si>
    <t>1x6 smb</t>
  </si>
  <si>
    <t>1x7 smb</t>
  </si>
  <si>
    <t>1x8 smb</t>
  </si>
  <si>
    <t>1x9 smb</t>
  </si>
  <si>
    <t>1x10 smb</t>
  </si>
  <si>
    <t>capri clips</t>
  </si>
  <si>
    <t>Bugsweep</t>
  </si>
  <si>
    <t>Closure Kit</t>
  </si>
  <si>
    <t>30X68 Door</t>
  </si>
  <si>
    <t>Adj Z</t>
  </si>
  <si>
    <t>ADJ Z  W/ FELT GROOVE 17'</t>
  </si>
  <si>
    <t>Hinge</t>
  </si>
  <si>
    <t>In Swing Latch</t>
  </si>
  <si>
    <t>Paint 16 Oz</t>
  </si>
  <si>
    <t>30X80 Door</t>
  </si>
  <si>
    <t>5068 Slider Samson</t>
  </si>
  <si>
    <t>kd Kit, Assembled, No Scr</t>
  </si>
  <si>
    <t>5080 Slider Samson</t>
  </si>
  <si>
    <t>6068 Slider Samson</t>
  </si>
  <si>
    <t>6080 Slider Samson</t>
  </si>
  <si>
    <t>Caulk</t>
  </si>
  <si>
    <t>SUPERIOR</t>
  </si>
  <si>
    <t>1" Extira</t>
  </si>
  <si>
    <t>148Extira</t>
  </si>
  <si>
    <t>Wurth</t>
  </si>
  <si>
    <t>3/4" Extira</t>
  </si>
  <si>
    <t>3448Extira</t>
  </si>
  <si>
    <t>1/2" Extira</t>
  </si>
  <si>
    <t>1248eXTIRA</t>
  </si>
  <si>
    <t>BULLET CATCH</t>
  </si>
  <si>
    <t>BC-SSC</t>
  </si>
  <si>
    <t>IHINGE</t>
  </si>
  <si>
    <t>BLADE IMPACT 19 FT</t>
  </si>
  <si>
    <t>FORTIFIED</t>
  </si>
  <si>
    <t>TRACK, IMPACT, PUNCHED L&amp;R</t>
  </si>
  <si>
    <t>SETS</t>
  </si>
  <si>
    <t>3006, 4400228</t>
  </si>
  <si>
    <t>MULLION, H, UNPUNCHED</t>
  </si>
  <si>
    <t>USED ON 3003, 3012, 3014, 3051</t>
  </si>
  <si>
    <t>STILE RAIL, IMPACT</t>
  </si>
  <si>
    <t>EMS 52-63-9984</t>
  </si>
  <si>
    <t>3009, 4200228</t>
  </si>
  <si>
    <t>FORTIFIED, AMD</t>
  </si>
  <si>
    <t>UNPUNCHED LOUVER INSERT</t>
  </si>
  <si>
    <t>IMPACT STILE RAIL, FRAME</t>
  </si>
  <si>
    <t>IMPACT H MULLION</t>
  </si>
  <si>
    <t>HORIZONTAL MID (STILE)</t>
  </si>
  <si>
    <t>CF-02 SELF ALIGN 2" HINGE</t>
  </si>
  <si>
    <t>CF-03 BI-FOLD INNER 2" HINGE</t>
  </si>
  <si>
    <t>UNPUNCHED MULLION</t>
  </si>
  <si>
    <t>CORNER KEY</t>
  </si>
  <si>
    <t>BAH/COL JAMB SNAB M/F</t>
  </si>
  <si>
    <t>BAH/COL JAMB M/F</t>
  </si>
  <si>
    <t>COLONIAL BLADE M/F</t>
  </si>
  <si>
    <t>COL MUNTIN M/F</t>
  </si>
  <si>
    <t>EA FEM BAH MULL M/F</t>
  </si>
  <si>
    <t>EA MALE BAH MULL M/F</t>
  </si>
  <si>
    <t>BAH/COL SILL M/F</t>
  </si>
  <si>
    <t>BAH HEADER M/F</t>
  </si>
  <si>
    <t>8" Z BAR M/F</t>
  </si>
  <si>
    <t>#10 X 2 410 GRAY BLADE SCREW</t>
  </si>
  <si>
    <t>COL/BAH #14 X 1 SS SQ-FLAT</t>
  </si>
  <si>
    <t>#14 x 3" SS MULL SCREW</t>
  </si>
  <si>
    <t>#6 X 1/2" 410 ANGLE SCREW</t>
  </si>
  <si>
    <t>BAH ARTICULATION ANGLE</t>
  </si>
  <si>
    <t>LP HORIZONTAL FRAME</t>
  </si>
  <si>
    <t>LP MALE BAH FRAME HINGE</t>
  </si>
  <si>
    <t>LP BAH VERT CENTER MULL</t>
  </si>
  <si>
    <t>2" BAH DECO BLADE (N-IMP)</t>
  </si>
  <si>
    <t>LP SIDE FRAME PUNCHED LEFT</t>
  </si>
  <si>
    <t>LP SIDE FRAME PUNCHED RIGHT</t>
  </si>
  <si>
    <t>LP COLONIAL HORIZ</t>
  </si>
  <si>
    <t>2" X .094"</t>
  </si>
  <si>
    <t>40-MB-4500</t>
  </si>
  <si>
    <t>40-MB-3500</t>
  </si>
  <si>
    <t>40-WH-615 WHITE</t>
  </si>
  <si>
    <t>40-MB-615</t>
  </si>
  <si>
    <t>40-MB-610</t>
  </si>
  <si>
    <t>O'REILLYS, 2" X .050" X 140"</t>
  </si>
  <si>
    <t>76-30-140</t>
  </si>
  <si>
    <t>RECTANGULAR TUBE, 1" X 3"</t>
  </si>
  <si>
    <t>20-63-230</t>
  </si>
  <si>
    <t>2.972" FEMALE BAH HINGE X 2</t>
  </si>
  <si>
    <t>HIGH VELOCITY</t>
  </si>
  <si>
    <t>41-63-836</t>
  </si>
  <si>
    <t>B&amp;B HOLLOW SLAT, 3"</t>
  </si>
  <si>
    <t>40-63-722</t>
  </si>
  <si>
    <t>B&amp;B HOLLOW SLAT, 5"</t>
  </si>
  <si>
    <t>40-63-723</t>
  </si>
  <si>
    <t>B&amp;B HOLLOW SLAT, 4"</t>
  </si>
  <si>
    <t>40-63-724</t>
  </si>
  <si>
    <t>RECTANGULAR TUBE, 2" X 3"</t>
  </si>
  <si>
    <t>20-WH-290</t>
  </si>
  <si>
    <t>1" OD SERRATED TUBE</t>
  </si>
  <si>
    <t>51-63-381</t>
  </si>
  <si>
    <t>7/8" OD SERRATED TUBE</t>
  </si>
  <si>
    <t>52-63-537</t>
  </si>
  <si>
    <t>VINYL INSERT</t>
  </si>
  <si>
    <t>41-WH-INSERT2</t>
  </si>
  <si>
    <t>B&amp;B SNAP CHANNEL END CAP, 3"</t>
  </si>
  <si>
    <t>40-63-726</t>
  </si>
  <si>
    <t>B&amp;B FLAT HINGE 2"</t>
  </si>
  <si>
    <t>41-63-846</t>
  </si>
  <si>
    <t>3" SNAP PLATE</t>
  </si>
  <si>
    <t>12 FT</t>
  </si>
  <si>
    <t>40-63-720</t>
  </si>
  <si>
    <t>Colonial Storm Bar Clip</t>
  </si>
  <si>
    <t>41-63-840</t>
  </si>
  <si>
    <t>3" HORIZONTAL SNAP CHANNEL</t>
  </si>
  <si>
    <t>40-63-721</t>
  </si>
  <si>
    <t>RECTANGULAR TUBE, "1 X 1-1/2"</t>
  </si>
  <si>
    <t>20-63-220</t>
  </si>
  <si>
    <t>B&amp;B 2" HINGE, CONCRETE W/2 HOLES</t>
  </si>
  <si>
    <t>41-63-847</t>
  </si>
  <si>
    <t>B&amp;B 2" HINGE, WOOD W/2 HOLES</t>
  </si>
  <si>
    <t>41-63-848</t>
  </si>
  <si>
    <t>B&amp;B 2" BI-FOLD HINGE</t>
  </si>
  <si>
    <t>41-63-844</t>
  </si>
  <si>
    <t>B&amp;B 1" X 1" ANGLE TOP AN BOT CAP</t>
  </si>
  <si>
    <t>11-63-220</t>
  </si>
  <si>
    <t>1" X 2" OPEN BACK WHITE</t>
  </si>
  <si>
    <t>200-WH-002</t>
  </si>
  <si>
    <t>1" X 2" OPEN BACK BRONZE</t>
  </si>
  <si>
    <t>200-MB-002</t>
  </si>
  <si>
    <t>2" X 2" PATIO WHITE</t>
  </si>
  <si>
    <t>200-WH-004</t>
  </si>
  <si>
    <t>2" x 28 GA Galv Storm Panel</t>
  </si>
  <si>
    <t>84-HE-Length</t>
  </si>
  <si>
    <t>(0.126"-0.250") pkg 100</t>
  </si>
  <si>
    <t>Amazon/Marson</t>
  </si>
  <si>
    <t>1/4" X 3-1/4" WHTMAXITAP</t>
  </si>
  <si>
    <t>ULTRSHIELD TAPCON (100)</t>
  </si>
  <si>
    <t>0217263</t>
  </si>
  <si>
    <t>FASTENAL</t>
  </si>
  <si>
    <t>TITE BOND</t>
  </si>
  <si>
    <t>TITEBOND II (2.1GAL/268.8OZ)</t>
  </si>
  <si>
    <t>WURTH</t>
  </si>
  <si>
    <t>OZ</t>
  </si>
  <si>
    <t>3/4 BRADS</t>
  </si>
  <si>
    <t>5000/PKG</t>
  </si>
  <si>
    <t>PBN18075</t>
  </si>
  <si>
    <t>Amazon/Porter Cable</t>
  </si>
  <si>
    <t>3" BLACK HEAD SHUTTER SCREW</t>
  </si>
  <si>
    <t>12/BAG, 1000/PKG, BUY 2000</t>
  </si>
  <si>
    <t>002-BLACK</t>
  </si>
  <si>
    <t>ARCH DEPOT</t>
  </si>
  <si>
    <t>5" Super Gutter</t>
  </si>
  <si>
    <t>White</t>
  </si>
  <si>
    <t>7" Super Gutter</t>
  </si>
  <si>
    <t>3 x 4 DOWNSPOUT</t>
  </si>
  <si>
    <t>3 X 4 OUTLET</t>
  </si>
  <si>
    <t>MILL</t>
  </si>
  <si>
    <t>3 X 4 ELBOW</t>
  </si>
  <si>
    <t>WHITE</t>
  </si>
  <si>
    <t>Beige Cap 1-1/2" x 8'</t>
  </si>
  <si>
    <t>Box 20</t>
  </si>
  <si>
    <t>BCAP18</t>
  </si>
  <si>
    <t>ScreenTight</t>
  </si>
  <si>
    <t>MeshGuard Base 1-1/2" x 8'</t>
  </si>
  <si>
    <t>BASE18MG</t>
  </si>
  <si>
    <t>MeshGuard Metal Strap 8'</t>
  </si>
  <si>
    <t>MGSTRAP</t>
  </si>
  <si>
    <t>MeshGuard Screen 42" x 25'</t>
  </si>
  <si>
    <t>42" X 25FT</t>
  </si>
  <si>
    <t>MESHGUARD4225</t>
  </si>
  <si>
    <t xml:space="preserve">MeshGuard Flat Spline .310 x 100' </t>
  </si>
  <si>
    <t>100 FT</t>
  </si>
  <si>
    <t>MGSPLINE</t>
  </si>
  <si>
    <t>Self-Drilling Screw 1-1/4"</t>
  </si>
  <si>
    <t>100/pk</t>
  </si>
  <si>
    <t>MGSCREW</t>
  </si>
  <si>
    <t>STANDARD COLORS</t>
  </si>
  <si>
    <t>ESTIMATED COSTS</t>
  </si>
  <si>
    <t>TRICORN BLACK</t>
  </si>
  <si>
    <t>SW2809</t>
  </si>
  <si>
    <t>ROCKWOOD SHUTTER GREEN</t>
  </si>
  <si>
    <t>COLOR</t>
  </si>
  <si>
    <t>PAINT $</t>
  </si>
  <si>
    <t>MFG LBR</t>
  </si>
  <si>
    <t>PAINT LBR</t>
  </si>
  <si>
    <t>INSTALL LBR</t>
  </si>
  <si>
    <t>SW2846</t>
  </si>
  <si>
    <t>ROYCRAFT BRONZE GREEN</t>
  </si>
  <si>
    <t>E2A933</t>
  </si>
  <si>
    <t>SW6215</t>
  </si>
  <si>
    <t>ROCKY RIVER</t>
  </si>
  <si>
    <t>SW6186</t>
  </si>
  <si>
    <t>DRIED THYME</t>
  </si>
  <si>
    <t>DCR099</t>
  </si>
  <si>
    <t>CHARLESTON GREEN</t>
  </si>
  <si>
    <t>SW6244</t>
  </si>
  <si>
    <t>NAVEL</t>
  </si>
  <si>
    <t>SW7615</t>
  </si>
  <si>
    <t>SEA SERPANT</t>
  </si>
  <si>
    <t>SW9185</t>
  </si>
  <si>
    <t>MAREA BAJA</t>
  </si>
  <si>
    <t>SW7614</t>
  </si>
  <si>
    <t>ST BART'S</t>
  </si>
  <si>
    <t>SW2801</t>
  </si>
  <si>
    <t>ROOKWOOD DARK RED</t>
  </si>
  <si>
    <t>ROCKWOOD RED</t>
  </si>
  <si>
    <t>SW7593</t>
  </si>
  <si>
    <t>RUSTIC RED</t>
  </si>
  <si>
    <t>SW6335</t>
  </si>
  <si>
    <t>FRIED BRICK</t>
  </si>
  <si>
    <t>SW6006</t>
  </si>
  <si>
    <t>BLACK BEAN</t>
  </si>
  <si>
    <t>SW7041</t>
  </si>
  <si>
    <t>VAN DYKE BROWN</t>
  </si>
  <si>
    <t>SW7675</t>
  </si>
  <si>
    <t>SEALSKIN</t>
  </si>
  <si>
    <t>SW7048</t>
  </si>
  <si>
    <t>URBANE BRONZE</t>
  </si>
  <si>
    <t>SW7076</t>
  </si>
  <si>
    <t>CYBERSPACE</t>
  </si>
  <si>
    <t>SW7674</t>
  </si>
  <si>
    <t>PEPPERCORN</t>
  </si>
  <si>
    <t>AVERAGE</t>
  </si>
  <si>
    <t>SW7006</t>
  </si>
  <si>
    <t>EXTRA WHITE</t>
  </si>
  <si>
    <t>AVER</t>
  </si>
  <si>
    <t>S/W</t>
  </si>
  <si>
    <t>JOB</t>
  </si>
  <si>
    <t>PNT RET'L</t>
  </si>
  <si>
    <r>
      <t>LABOR (IN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</si>
  <si>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$/OZ</t>
  </si>
  <si>
    <t>ARMOR</t>
  </si>
  <si>
    <t>ALUMINUM</t>
  </si>
  <si>
    <t>PRIME GRAY</t>
  </si>
  <si>
    <t>E2W932</t>
  </si>
  <si>
    <t>PRIME WHITE</t>
  </si>
  <si>
    <t>E2B931</t>
  </si>
  <si>
    <t>PRIME BLACK</t>
  </si>
  <si>
    <t>URBAN BRONZE</t>
  </si>
  <si>
    <t>SW6204</t>
  </si>
  <si>
    <t>SEA SALT</t>
  </si>
  <si>
    <t>SW0077</t>
  </si>
  <si>
    <t>CLASSIC FRENCH</t>
  </si>
  <si>
    <t>SW7005</t>
  </si>
  <si>
    <t>PURE  WHITE</t>
  </si>
  <si>
    <t>SW6995</t>
  </si>
  <si>
    <t>SUPER WHITE</t>
  </si>
  <si>
    <t>SW9144</t>
  </si>
  <si>
    <t>MOON MIST</t>
  </si>
  <si>
    <t>SW0000</t>
  </si>
  <si>
    <t>MILL FINISH</t>
  </si>
  <si>
    <t>SW6994</t>
  </si>
  <si>
    <t>GREENBLACK</t>
  </si>
  <si>
    <t>NoPriPnt</t>
  </si>
  <si>
    <t>BARE SHUTTER, No Prime/Paint</t>
  </si>
  <si>
    <t>BB-112-3265</t>
  </si>
  <si>
    <t>SLICKSAND (PRIME ONLY)</t>
  </si>
  <si>
    <t>9,16X70</t>
  </si>
  <si>
    <t>TRDPLX-COMP (PRIME +PAINT)</t>
  </si>
  <si>
    <t>12, 16X70</t>
  </si>
  <si>
    <t>LOU-112-3265</t>
  </si>
  <si>
    <t>COMPOSITES</t>
  </si>
  <si>
    <t>LOU-CFPNT</t>
  </si>
  <si>
    <t>SQIN</t>
  </si>
  <si>
    <t>RP-112-3265</t>
  </si>
  <si>
    <t>RP-CFPNT</t>
  </si>
  <si>
    <t>6-3/4</t>
  </si>
  <si>
    <t>11-1</t>
  </si>
  <si>
    <t>Bronze</t>
  </si>
  <si>
    <t>McCoy</t>
  </si>
  <si>
    <t>Richardson</t>
  </si>
  <si>
    <t>Tylus</t>
  </si>
  <si>
    <t>McMurray</t>
  </si>
  <si>
    <t>RCH</t>
  </si>
  <si>
    <t>RCH Bldrs</t>
  </si>
  <si>
    <t>TD Commer</t>
  </si>
  <si>
    <t>TD Commer 2</t>
  </si>
  <si>
    <t>TD Commer 3</t>
  </si>
  <si>
    <t>EC</t>
  </si>
  <si>
    <t>LFC</t>
  </si>
  <si>
    <t>ORIGINAL ORDER</t>
  </si>
  <si>
    <t>On Hand</t>
  </si>
  <si>
    <t>Est Pcs</t>
  </si>
  <si>
    <t>Est Mtl Cost</t>
  </si>
  <si>
    <t>Self-Drilling Screw 1-1/4" (100 per pack)</t>
  </si>
  <si>
    <t>tax</t>
  </si>
  <si>
    <t>tax (.08)</t>
  </si>
  <si>
    <t>freight</t>
  </si>
  <si>
    <t>ttl</t>
  </si>
  <si>
    <t>total</t>
  </si>
  <si>
    <t>Ends</t>
  </si>
  <si>
    <t>EndC</t>
  </si>
  <si>
    <t>LFR</t>
  </si>
  <si>
    <t>EndR</t>
  </si>
  <si>
    <t>SOLD TO WHO?</t>
  </si>
  <si>
    <t>TOTAL ESTIMATED PRICE</t>
  </si>
  <si>
    <t>INDIVIDUAL</t>
  </si>
  <si>
    <t>COMB SHUTTER</t>
  </si>
  <si>
    <t>TYPE 1, TOP</t>
  </si>
  <si>
    <t>TYPE 2, BOT</t>
  </si>
  <si>
    <t>PRICING DOES NOT INCLUDE PAINT, INSTALLATION, PACKAGING, CRATING or FASTENERS FOR MOUNTING</t>
  </si>
  <si>
    <t>#10</t>
  </si>
  <si>
    <t>#14</t>
  </si>
  <si>
    <t>HEIGHT  - .18</t>
  </si>
  <si>
    <t>HEIGHT   - .18</t>
  </si>
  <si>
    <t>WIDTH - 1.796 X 2</t>
  </si>
  <si>
    <t>COUNT = HEIGHT - 1.771 / 2</t>
  </si>
  <si>
    <t>WIDTH - .18</t>
  </si>
  <si>
    <t>&gt;34</t>
  </si>
  <si>
    <t>HEIGHT -1.771 X 2</t>
  </si>
  <si>
    <t>BAH HEADER W/HINGE M/F</t>
  </si>
  <si>
    <t xml:space="preserve">  </t>
  </si>
  <si>
    <t>Inv Date</t>
  </si>
  <si>
    <t>Description</t>
  </si>
  <si>
    <t>No</t>
  </si>
  <si>
    <t>L</t>
  </si>
  <si>
    <t>R</t>
  </si>
  <si>
    <t>M</t>
  </si>
  <si>
    <t>T, B</t>
  </si>
  <si>
    <t>L, R, B</t>
  </si>
  <si>
    <t>Impact Center Mullion</t>
  </si>
  <si>
    <t>3276 (52-61-5131)</t>
  </si>
  <si>
    <t>C</t>
  </si>
  <si>
    <t>Unpunched Mid-Rail, Stile</t>
  </si>
  <si>
    <t>Aluminum Impact Corners</t>
  </si>
  <si>
    <t>width</t>
  </si>
  <si>
    <t>height</t>
  </si>
  <si>
    <t>mullions</t>
  </si>
  <si>
    <t>stile</t>
  </si>
  <si>
    <t>stile (Y or N)</t>
  </si>
  <si>
    <t>Fortified Building Products Rated Bahama_Colonial 96 by 96 max</t>
  </si>
  <si>
    <t>Top, Bottom, Left and Right Side rails cut at 45 degrees.</t>
  </si>
  <si>
    <t>Shutter Width</t>
  </si>
  <si>
    <t>(Max 88")</t>
  </si>
  <si>
    <t>0 to 19.25</t>
  </si>
  <si>
    <t>19.5 to 38.5</t>
  </si>
  <si>
    <t>38.75 to 57</t>
  </si>
  <si>
    <t>57.25 to 76</t>
  </si>
  <si>
    <t>76.25 to 96</t>
  </si>
  <si>
    <t>Blade</t>
  </si>
  <si>
    <t>Cut at 45 Dehrees</t>
  </si>
  <si>
    <t>Left &amp; Right</t>
  </si>
  <si>
    <t>Finished Shutter</t>
  </si>
  <si>
    <t>Cut at 45 degrees</t>
  </si>
  <si>
    <t>No Mullion</t>
  </si>
  <si>
    <t>1 mullion</t>
  </si>
  <si>
    <t>2 mullion</t>
  </si>
  <si>
    <t>3 mullion</t>
  </si>
  <si>
    <t>4 mullion</t>
  </si>
  <si>
    <t>SHUTTER WIDTH</t>
  </si>
  <si>
    <t>Mullion Blades</t>
  </si>
  <si>
    <t>Top &amp; Bot Rails</t>
  </si>
  <si>
    <t>Top &amp; Bot Inserts</t>
  </si>
  <si>
    <t># of Blades/column</t>
  </si>
  <si>
    <t>Insert Height</t>
  </si>
  <si>
    <t>Left &amp; Right Rails</t>
  </si>
  <si>
    <t>No of Blades</t>
  </si>
  <si>
    <t>fss</t>
  </si>
  <si>
    <t>1 mullion(2 EA)</t>
  </si>
  <si>
    <t>Yes</t>
  </si>
  <si>
    <t>2 mullions (3 ea)</t>
  </si>
  <si>
    <t>3 mullions</t>
  </si>
  <si>
    <t>4 mullions</t>
  </si>
  <si>
    <t>4" DECO LOUVER MATRIX, MILL FINISH</t>
  </si>
  <si>
    <t>STD CST</t>
  </si>
  <si>
    <t>52-63-1913</t>
  </si>
  <si>
    <t>LOUVER</t>
  </si>
  <si>
    <t>13-63-273</t>
  </si>
  <si>
    <t>CHANNEL</t>
  </si>
  <si>
    <t>Per/SqFt</t>
  </si>
  <si>
    <t>Multiplier</t>
  </si>
  <si>
    <t>Packaging</t>
  </si>
  <si>
    <t>Profit</t>
  </si>
  <si>
    <t>Overhd</t>
  </si>
  <si>
    <t>COST OF PAINT AND PAINTING LABOR IS IN ADDITION TO THE PRICES ABOVE</t>
  </si>
  <si>
    <t>%</t>
  </si>
  <si>
    <t>Item Code</t>
  </si>
  <si>
    <t>Material</t>
  </si>
  <si>
    <t>Retail</t>
  </si>
  <si>
    <t>60% Discount</t>
  </si>
  <si>
    <t>Retail2</t>
  </si>
  <si>
    <t>Builder</t>
  </si>
  <si>
    <t>Wholesale</t>
  </si>
  <si>
    <t>Shipping</t>
  </si>
  <si>
    <t xml:space="preserve">Heart Thumb Latch with Privacy Option </t>
  </si>
  <si>
    <t>SET</t>
  </si>
  <si>
    <t>Cast Iron</t>
  </si>
  <si>
    <t>AL208F</t>
  </si>
  <si>
    <t>Suffolk Style Hinge Front 8"</t>
  </si>
  <si>
    <t>PAIR</t>
  </si>
  <si>
    <t>Cast Aluminum</t>
  </si>
  <si>
    <t>AL2099</t>
  </si>
  <si>
    <t>Fleur De Lys Handle</t>
  </si>
  <si>
    <t>RET</t>
  </si>
  <si>
    <t>AL312F</t>
  </si>
  <si>
    <t>Suffolk Style Hinge Front 12"</t>
  </si>
  <si>
    <t>&lt;49</t>
  </si>
  <si>
    <t>AL37120</t>
  </si>
  <si>
    <t xml:space="preserve">Lion Head Door Knocker </t>
  </si>
  <si>
    <t>49-96</t>
  </si>
  <si>
    <t>AL37220</t>
  </si>
  <si>
    <t>Ring Door Knocker</t>
  </si>
  <si>
    <t>&gt;96</t>
  </si>
  <si>
    <t>AL37320</t>
  </si>
  <si>
    <t>Swing Door Knocker</t>
  </si>
  <si>
    <t>CH</t>
  </si>
  <si>
    <t>AL37372</t>
  </si>
  <si>
    <t>Decorative Scroll Bolt - 9"</t>
  </si>
  <si>
    <t>BI</t>
  </si>
  <si>
    <t>AL37420</t>
  </si>
  <si>
    <t>Artisian Door Knocker</t>
  </si>
  <si>
    <t>CS</t>
  </si>
  <si>
    <t>AL37494</t>
  </si>
  <si>
    <t>Antique Ring Pull</t>
  </si>
  <si>
    <t>AL379991</t>
  </si>
  <si>
    <t xml:space="preserve">Decorative Clavos 1'' </t>
  </si>
  <si>
    <t>AL379995</t>
  </si>
  <si>
    <t xml:space="preserve">Decorative Clavos 1/2'' </t>
  </si>
  <si>
    <t>AL3799975</t>
  </si>
  <si>
    <t xml:space="preserve">Decorative Clavos 3/4'' </t>
  </si>
  <si>
    <t>AL418F</t>
  </si>
  <si>
    <t xml:space="preserve">Suffolk Style Hinge Front 19'' </t>
  </si>
  <si>
    <t>ALCLV01</t>
  </si>
  <si>
    <t>Umbrella Clavos - Smooth</t>
  </si>
  <si>
    <t>ALCLV01T</t>
  </si>
  <si>
    <t>Umbrella Clavos - Textured</t>
  </si>
  <si>
    <t>ALFDL1</t>
  </si>
  <si>
    <t>English Tudor Pull Handle</t>
  </si>
  <si>
    <t>ALFHH</t>
  </si>
  <si>
    <t>"H" Hinge - Fixed Pin</t>
  </si>
  <si>
    <t>ALFHL</t>
  </si>
  <si>
    <t>"L" Hinge - Fixed Pin</t>
  </si>
  <si>
    <t>ALGH223</t>
  </si>
  <si>
    <t>French Pull Handle</t>
  </si>
  <si>
    <t>ALGL155HLF</t>
  </si>
  <si>
    <t>Traditional Faux Gate Latch</t>
  </si>
  <si>
    <t>ALGL266HLF</t>
  </si>
  <si>
    <t>Floral Faux Gate Latch</t>
  </si>
  <si>
    <t>ALGRILL</t>
  </si>
  <si>
    <t xml:space="preserve">Raised Door Grill </t>
  </si>
  <si>
    <t>ALHF001</t>
  </si>
  <si>
    <t xml:space="preserve">Colonial Hinge Front 19'' </t>
  </si>
  <si>
    <t>ALHF005</t>
  </si>
  <si>
    <t xml:space="preserve">Saxon Hinge Front 21'' </t>
  </si>
  <si>
    <t>ALHF19912</t>
  </si>
  <si>
    <t>"L'' Hinge Front</t>
  </si>
  <si>
    <t>ALHF1994</t>
  </si>
  <si>
    <t>Small "L'' Hinge Front</t>
  </si>
  <si>
    <t>ALHF37005</t>
  </si>
  <si>
    <t xml:space="preserve">Aspen Style Hinge Front 11'' </t>
  </si>
  <si>
    <t>ALHF37007</t>
  </si>
  <si>
    <t xml:space="preserve">Aspen Style Hinge Front 14'' </t>
  </si>
  <si>
    <t>ALHF37009</t>
  </si>
  <si>
    <t xml:space="preserve">Aspen Style Hinge Front 19'' </t>
  </si>
  <si>
    <t>ALHF37010</t>
  </si>
  <si>
    <t xml:space="preserve">Aspen Style Hinge Front 23'' </t>
  </si>
  <si>
    <t>ALHF37011</t>
  </si>
  <si>
    <t xml:space="preserve">Aspen Style Hinge Front 25'' </t>
  </si>
  <si>
    <t>ALHF37013</t>
  </si>
  <si>
    <t xml:space="preserve">Aspen Style Hinge Front 33'' </t>
  </si>
  <si>
    <t>ALHF37015</t>
  </si>
  <si>
    <t xml:space="preserve">Aspen Style Hinge Front 37'' </t>
  </si>
  <si>
    <t>ALHF5000</t>
  </si>
  <si>
    <t xml:space="preserve">Old English Hinge Front 26'' </t>
  </si>
  <si>
    <t>ALHFFL18</t>
  </si>
  <si>
    <t xml:space="preserve">Fleur De Lys Hinge Front 18'' </t>
  </si>
  <si>
    <t>ALHFFL24</t>
  </si>
  <si>
    <t xml:space="preserve">Fleur De Lys Hinge Front 25'' </t>
  </si>
  <si>
    <t>ALLAGESC</t>
  </si>
  <si>
    <t>Decorative Lag Escutcheon</t>
  </si>
  <si>
    <t>ALOVL1</t>
  </si>
  <si>
    <t>Oval Pull Handle</t>
  </si>
  <si>
    <t>ALRH155</t>
  </si>
  <si>
    <t>Traditional Ring Handle</t>
  </si>
  <si>
    <t>ALRH266</t>
  </si>
  <si>
    <t xml:space="preserve">Floral Ring Handle 4'' </t>
  </si>
  <si>
    <t>ALRH266S</t>
  </si>
  <si>
    <t xml:space="preserve">Small Floral Ring Pull 3'' </t>
  </si>
  <si>
    <t>ALSP1</t>
  </si>
  <si>
    <t>Suffolk Style Pull Handle</t>
  </si>
  <si>
    <t>ALSQH1</t>
  </si>
  <si>
    <t>Square Pull Handle</t>
  </si>
  <si>
    <t>ALTP1</t>
  </si>
  <si>
    <t>Twisted Pull Handle</t>
  </si>
  <si>
    <t>BAHMS1</t>
  </si>
  <si>
    <t>Fixed Bahama Stay 24''</t>
  </si>
  <si>
    <t>BAHMS2</t>
  </si>
  <si>
    <t>Fixed Bahama Stay 36''</t>
  </si>
  <si>
    <t>BAHMS3</t>
  </si>
  <si>
    <t>Adjustable Bahama Stay</t>
  </si>
  <si>
    <t>BB04SS</t>
  </si>
  <si>
    <t>Barrel Bolt 4"</t>
  </si>
  <si>
    <t>Stainless Steel</t>
  </si>
  <si>
    <t>EHBCS</t>
  </si>
  <si>
    <t>Heavy Duty Slide Bolt - 12"</t>
  </si>
  <si>
    <t>Galvanized Steel</t>
  </si>
  <si>
    <t>EHBSS</t>
  </si>
  <si>
    <t>Stainless Steel Slide Bolt - 12"</t>
  </si>
  <si>
    <t>EHCB01</t>
  </si>
  <si>
    <t>Cane Bolt</t>
  </si>
  <si>
    <t>EHGS01</t>
  </si>
  <si>
    <t>"L" Gate Stop</t>
  </si>
  <si>
    <t>EHGS02</t>
  </si>
  <si>
    <t>"T" Gate Stop</t>
  </si>
  <si>
    <t>EHHSS000</t>
  </si>
  <si>
    <t>Suffolk Style Center Hinge - 0" Offset</t>
  </si>
  <si>
    <t>EHHSS050</t>
  </si>
  <si>
    <t>Suffolk Style Center Hinge - 1/2" Offset</t>
  </si>
  <si>
    <t>EHHSS175</t>
  </si>
  <si>
    <t>Suffolk Style Center Hinge - 1 3/4" Offset</t>
  </si>
  <si>
    <t>EHHSS225</t>
  </si>
  <si>
    <t>Suffolk Style Center Hinge - 2 1/4" Offset</t>
  </si>
  <si>
    <t>EHLA050</t>
  </si>
  <si>
    <t>Suffolk Style L Hinge - 1/2" Offset</t>
  </si>
  <si>
    <t>EHLA100</t>
  </si>
  <si>
    <t>Suffolk Style L Hinge - 1" Offset</t>
  </si>
  <si>
    <t>EHLR000</t>
  </si>
  <si>
    <t>Suffolk Style L Hinge - 0'' Offset</t>
  </si>
  <si>
    <t>EHLR050</t>
  </si>
  <si>
    <t>Suffolk Style L Hinge - 1/2'' Offset</t>
  </si>
  <si>
    <t>EHLR075</t>
  </si>
  <si>
    <t>Suffolk Style L Hinge - 3/4'' Offset</t>
  </si>
  <si>
    <t>EHLR175</t>
  </si>
  <si>
    <t>Suffolk Style L Hinge - 1 3/4'' Offset</t>
  </si>
  <si>
    <t>EHLR225</t>
  </si>
  <si>
    <t>Suffolk Style L Hinge - 2 1/4'' Offset</t>
  </si>
  <si>
    <t>EHLRFH</t>
  </si>
  <si>
    <t>Suffolk Style Faux Hinge</t>
  </si>
  <si>
    <t>EHLSS000</t>
  </si>
  <si>
    <t>Suffolk Style L Hinge - 0" Offset</t>
  </si>
  <si>
    <t>EHLSS050</t>
  </si>
  <si>
    <t>EHLSS075</t>
  </si>
  <si>
    <t>EHLSS175</t>
  </si>
  <si>
    <t>EHLSS225</t>
  </si>
  <si>
    <t>EHNG01</t>
  </si>
  <si>
    <t>Sliding Bahama Hinge - 48" Length</t>
  </si>
  <si>
    <t>Extruded Aluminum</t>
  </si>
  <si>
    <t>EHNG02</t>
  </si>
  <si>
    <t>Pintle Bahama Hinge Set</t>
  </si>
  <si>
    <t>EHNPSS075</t>
  </si>
  <si>
    <t>Narrow Plate Pintle - 3/4'' Offset</t>
  </si>
  <si>
    <t>EHNPSS175</t>
  </si>
  <si>
    <t>Narrow Plate Pintle - 1 3/4'' Offset</t>
  </si>
  <si>
    <t>EHNPSS225</t>
  </si>
  <si>
    <t>Narrow Plate Pintle - 2 1/4'' Offset</t>
  </si>
  <si>
    <t>EHNPSS325</t>
  </si>
  <si>
    <t>Narrow Plate Pintle - 3 1/4'' Offset</t>
  </si>
  <si>
    <t>EHNYBCS</t>
  </si>
  <si>
    <t>NY Style Slide Bolt - 8"</t>
  </si>
  <si>
    <t>EHNYBM125</t>
  </si>
  <si>
    <t>NY Style Brick Mount Pintle - 1 1/4" Offset</t>
  </si>
  <si>
    <t>EHNYC000</t>
  </si>
  <si>
    <t>NY Style Center Hinge - 0" Offset</t>
  </si>
  <si>
    <t>EHNYC125</t>
  </si>
  <si>
    <t>NY Style Center Hinge - 1 1/4" Offset</t>
  </si>
  <si>
    <t>EHNYFH</t>
  </si>
  <si>
    <t>NY Faux Hinge</t>
  </si>
  <si>
    <t>EHNYL000</t>
  </si>
  <si>
    <t>NY Style L Hinge - 0" Offset</t>
  </si>
  <si>
    <t>EHNYL125</t>
  </si>
  <si>
    <t>NY Style L Hinge - 1 1/4" Offset</t>
  </si>
  <si>
    <t>EHNYL225</t>
  </si>
  <si>
    <t>NY Style L Hinge - 2 1/4" Offset</t>
  </si>
  <si>
    <t>EHNYP125</t>
  </si>
  <si>
    <t>NY Style Pintle - 1 1/4" Offset</t>
  </si>
  <si>
    <t>EHNYP225</t>
  </si>
  <si>
    <t>NY Style Pintle - 2 1/4" Offset</t>
  </si>
  <si>
    <t>EHNYP525</t>
  </si>
  <si>
    <t>NY Style Pintle - 5 1/4" Offset</t>
  </si>
  <si>
    <t>EHNYSHIM</t>
  </si>
  <si>
    <t>Shim for NY Style Pintles</t>
  </si>
  <si>
    <t>Plastic</t>
  </si>
  <si>
    <t>EHPA100</t>
  </si>
  <si>
    <t>Rounded Pintle - 1'' Offset</t>
  </si>
  <si>
    <t>EHPR075</t>
  </si>
  <si>
    <t>Rounded Pintle - 3/4'' Offset</t>
  </si>
  <si>
    <t>EHPR175</t>
  </si>
  <si>
    <t>Rounded Pintle - 1 3/4'' Offset</t>
  </si>
  <si>
    <t>EHPR225</t>
  </si>
  <si>
    <t>Rounded Pintle - 2 1/4'' Offset</t>
  </si>
  <si>
    <t>EHPSHIM</t>
  </si>
  <si>
    <t>Shim for Rounded Pintles</t>
  </si>
  <si>
    <t>EHPSS075</t>
  </si>
  <si>
    <t>EHPSS175</t>
  </si>
  <si>
    <t>EHPSS225</t>
  </si>
  <si>
    <t>EHPSS325</t>
  </si>
  <si>
    <t>Rounded Pintle - 3 1/4'' Offset</t>
  </si>
  <si>
    <t>EHS312</t>
  </si>
  <si>
    <t>Bean Strap Hinge 12''</t>
  </si>
  <si>
    <t>EHS418</t>
  </si>
  <si>
    <t>Bean Strap Hinge 18''</t>
  </si>
  <si>
    <t>EHSKSS000</t>
  </si>
  <si>
    <t>Suffolk Style Strap Hinge - 0'' Offset</t>
  </si>
  <si>
    <t>EHSKSS050</t>
  </si>
  <si>
    <t>Suffolk Style Strap Hinge - 1/2'' Offset</t>
  </si>
  <si>
    <t>EHSKSS175</t>
  </si>
  <si>
    <t>Suffolk Style Strap Hinge - 1 3/4'' Offset</t>
  </si>
  <si>
    <t>EHSKSS225</t>
  </si>
  <si>
    <t>Suffolk Style Strap Hinge - 2 1/4'' Offset</t>
  </si>
  <si>
    <t>EHTBSS</t>
  </si>
  <si>
    <t>Traditional Style Slide Bolt - 10"</t>
  </si>
  <si>
    <t>EHTSS075</t>
  </si>
  <si>
    <t>Traditional Pintle - 3/4'' Offset</t>
  </si>
  <si>
    <t>EHTSS175</t>
  </si>
  <si>
    <t>Traditional Pintle - 1 3/4'' Offset</t>
  </si>
  <si>
    <t>EHTSS225</t>
  </si>
  <si>
    <t>Traditional Pintle - 2 1/4'' Offset</t>
  </si>
  <si>
    <t>EHTSS325</t>
  </si>
  <si>
    <t>Traditional Pintle - 3 1/4'' Offset</t>
  </si>
  <si>
    <t>EPSCCS4</t>
  </si>
  <si>
    <t>Adjustable Lag Pintle 4''</t>
  </si>
  <si>
    <t>EPSCCS6</t>
  </si>
  <si>
    <t>Adjustable Lag Pintle 6''</t>
  </si>
  <si>
    <t>EPSCSS4</t>
  </si>
  <si>
    <t>EPSCSS6</t>
  </si>
  <si>
    <t>ESS58</t>
  </si>
  <si>
    <t>Hidden Stay</t>
  </si>
  <si>
    <t>FL20FTB</t>
  </si>
  <si>
    <t>Fleur De Lys Hinge Front 20''</t>
  </si>
  <si>
    <t>GH312</t>
  </si>
  <si>
    <t>Suffolk Style Strap Hinge Set - 12" Plate Mount</t>
  </si>
  <si>
    <t>GH312LAG</t>
  </si>
  <si>
    <t>Suffolk Style Strap Hinge Set - 12" Lag Mount</t>
  </si>
  <si>
    <t>GH418</t>
  </si>
  <si>
    <t>Suffolk Style Strap Hinge Set - 18" Plate Mount</t>
  </si>
  <si>
    <t>GH418LAG</t>
  </si>
  <si>
    <t>Suffolk Style Strap Hinge Set - 18" Lag Mount</t>
  </si>
  <si>
    <t>GH512LAG</t>
  </si>
  <si>
    <t>GSET100</t>
  </si>
  <si>
    <t>Suffolk Garage Door Set</t>
  </si>
  <si>
    <t>GSET200</t>
  </si>
  <si>
    <t>Traditional Garage Door Set</t>
  </si>
  <si>
    <t>GSET300</t>
  </si>
  <si>
    <t>Colonial Garage Door Set</t>
  </si>
  <si>
    <t>GSET400</t>
  </si>
  <si>
    <t>French Garage Door Set</t>
  </si>
  <si>
    <t>GSET500</t>
  </si>
  <si>
    <t>Saxon Garage Door Set</t>
  </si>
  <si>
    <t>GSET600</t>
  </si>
  <si>
    <t>Old English Garage Door Set</t>
  </si>
  <si>
    <t>GSET700</t>
  </si>
  <si>
    <t>Fleur De Lys Garage Door Set</t>
  </si>
  <si>
    <t>KSBH01</t>
  </si>
  <si>
    <t>4" Hook with Horseshoe Nail</t>
  </si>
  <si>
    <t>KSBH02</t>
  </si>
  <si>
    <t>15" Hook with Eye Screw</t>
  </si>
  <si>
    <t>KSBH04</t>
  </si>
  <si>
    <t>4" Hook - Plate Mount</t>
  </si>
  <si>
    <t>KSBH22</t>
  </si>
  <si>
    <t>22" Hook - Plate Mount</t>
  </si>
  <si>
    <t>KSR</t>
  </si>
  <si>
    <t>Plate Receiver for Hooks</t>
  </si>
  <si>
    <t>LB1</t>
  </si>
  <si>
    <t>Leaf Pintle - 1 1/4'' Offset</t>
  </si>
  <si>
    <t>LB1SS</t>
  </si>
  <si>
    <t>LB2</t>
  </si>
  <si>
    <t>Leaf Pintle - 2 1/4'' Offset</t>
  </si>
  <si>
    <t>LB2SS</t>
  </si>
  <si>
    <t>NV1</t>
  </si>
  <si>
    <t>Anti-Vibration Bracket</t>
  </si>
  <si>
    <t>PS1</t>
  </si>
  <si>
    <t>Propeller Stay</t>
  </si>
  <si>
    <t>PSC9MM</t>
  </si>
  <si>
    <t>NY Style Adjustable Lag Pintle</t>
  </si>
  <si>
    <t>R100SS</t>
  </si>
  <si>
    <t>Plate Mount Ring Pull</t>
  </si>
  <si>
    <t>R200SS</t>
  </si>
  <si>
    <t>Lag Mount Ring Pull</t>
  </si>
  <si>
    <t>RT1F</t>
  </si>
  <si>
    <t>Flat Rat Tail Stay</t>
  </si>
  <si>
    <t>RT1P</t>
  </si>
  <si>
    <t>Protruding Rat Tail Stay</t>
  </si>
  <si>
    <t>RT2PSS</t>
  </si>
  <si>
    <t>Traditional Rat Tail Stay</t>
  </si>
  <si>
    <t>RT3F</t>
  </si>
  <si>
    <t>Flat Rat Tail Stay - Plate Mount</t>
  </si>
  <si>
    <t>RT3P</t>
  </si>
  <si>
    <t>Protruding Rat Tail Stay - Plate Mount</t>
  </si>
  <si>
    <t>SD1</t>
  </si>
  <si>
    <t>Classic S Stay - 6''</t>
  </si>
  <si>
    <t>SD2</t>
  </si>
  <si>
    <t>Classic S Stay - 7''</t>
  </si>
  <si>
    <t>SD3CS</t>
  </si>
  <si>
    <t>Heavy Duty S Stay</t>
  </si>
  <si>
    <t>SD3SS</t>
  </si>
  <si>
    <t>Stainless S Stay</t>
  </si>
  <si>
    <t>SD4</t>
  </si>
  <si>
    <t>Plate Mount S Stay</t>
  </si>
  <si>
    <t>SD5</t>
  </si>
  <si>
    <t>Dolphin Stay</t>
  </si>
  <si>
    <t>SDLAG8</t>
  </si>
  <si>
    <t>8" Lag Accessory</t>
  </si>
  <si>
    <t>SH05LLAG</t>
  </si>
  <si>
    <t>Suffolk Style L Hinge Set - Lag Mount</t>
  </si>
  <si>
    <t>SH05LLAGSS</t>
  </si>
  <si>
    <t>SH05SLAGSS</t>
  </si>
  <si>
    <t>Suffolk Style Strap Hinge Set - Lag Mount</t>
  </si>
  <si>
    <t>SH075L</t>
  </si>
  <si>
    <t>Suffolk Style L Hinge Set - Flat Mount</t>
  </si>
  <si>
    <t>SH075LSS</t>
  </si>
  <si>
    <t>SH125</t>
  </si>
  <si>
    <t>NY Style Hinge Set - 1 1/4'' Offset</t>
  </si>
  <si>
    <t>SH175L</t>
  </si>
  <si>
    <t>Suffolk Style L Hinge Set - Surface Mount</t>
  </si>
  <si>
    <t>SH175LSS</t>
  </si>
  <si>
    <t>SH175SSS</t>
  </si>
  <si>
    <t>Suffolk Style Strap Hinge Set - Surface Mount</t>
  </si>
  <si>
    <t>SH225</t>
  </si>
  <si>
    <t>NY Style Hinge Set - 2 1/4'' Offset</t>
  </si>
  <si>
    <t>SH312</t>
  </si>
  <si>
    <t>SH312LAG</t>
  </si>
  <si>
    <t>SH418</t>
  </si>
  <si>
    <t>SH418LAG</t>
  </si>
  <si>
    <t>SQP</t>
  </si>
  <si>
    <t>Square Pintle - 1" Offset</t>
  </si>
  <si>
    <t>002 BLACK</t>
  </si>
  <si>
    <t>PKG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</si>
</sst>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7" formatCode="&quot;$&quot;#,##0.00_);\(&quot;$&quot;#,##0.00\)"/>
    <numFmt numFmtId="44" formatCode="_(&quot;$&quot;* #,##0.00_);_(&quot;$&quot;* \(#,##0.00\);_(&quot;$&quot;* &quot;-&quot;??_);_(@_)"/>
    <numFmt numFmtId="164" formatCode="0.00000"/>
    <numFmt numFmtId="165" formatCode="_(&quot;$&quot;* #,##0.00000_);_(&quot;$&quot;* \(#,##0.00000\);_(&quot;$&quot;* &quot;-&quot;?????_);_(@_)"/>
    <numFmt numFmtId="166" formatCode="#,##0.0_);\(#,##0.0\)"/>
    <numFmt numFmtId="167" formatCode="[$-F800]dddd\,\ mmmm\ dd\,\ yyyy"/>
    <numFmt numFmtId="168" formatCode="[$-F400]h:mm:ss\ AM/PM"/>
    <numFmt numFmtId="169" formatCode="_(&quot;$&quot;* #,##0.0000_);_(&quot;$&quot;* \(#,##0.0000\);_(&quot;$&quot;* &quot;-&quot;????_);_(@_)"/>
    <numFmt numFmtId="170" formatCode="0.000"/>
    <numFmt numFmtId="171" formatCode="0.0000"/>
    <numFmt numFmtId="172" formatCode="&quot;$&quot;#,##0.00"/>
    <numFmt numFmtId="173" formatCode="#\ ??/16"/>
    <numFmt numFmtId="174" formatCode="0.000000"/>
    <numFmt numFmtId="175" formatCode="&quot;$&quot;#,##0.0000_);\(&quot;$&quot;#,##0.0000\)"/>
    <numFmt numFmtId="176" formatCode="#,##0.0000_);\(#,##0.0000\)"/>
    <numFmt numFmtId="177" formatCode="0.0"/>
    <numFmt numFmtId="178" formatCode="#,##0.00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1"/>
      <color rgb="FF000000"/>
      <name val="Calibri"/>
      <family val="2"/>
    </font>
    <font>
      <sz val="10"/>
      <color rgb="FF000000"/>
      <name val="Ms sans serif"/>
    </font>
    <font>
      <b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E3C1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6337778862885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3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44" fontId="0" fillId="0" borderId="0" xfId="0" applyNumberFormat="1"/>
    <xf numFmtId="44" fontId="0" fillId="0" borderId="0" xfId="1" applyFont="1" applyAlignment="1">
      <alignment horizontal="center"/>
    </xf>
    <xf numFmtId="165" fontId="0" fillId="0" borderId="0" xfId="1" applyNumberFormat="1" applyFont="1"/>
    <xf numFmtId="0" fontId="0" fillId="0" borderId="0" xfId="0" applyAlignment="1">
      <alignment horizontal="right"/>
    </xf>
    <xf numFmtId="165" fontId="0" fillId="0" borderId="0" xfId="1" applyNumberFormat="1" applyFont="1" applyAlignment="1">
      <alignment horizontal="center"/>
    </xf>
    <xf numFmtId="9" fontId="0" fillId="0" borderId="0" xfId="2" applyFont="1" applyAlignment="1">
      <alignment horizontal="center"/>
    </xf>
    <xf numFmtId="44" fontId="0" fillId="4" borderId="0" xfId="0" applyNumberFormat="1" applyFill="1"/>
    <xf numFmtId="44" fontId="0" fillId="4" borderId="0" xfId="1" applyFont="1" applyFill="1"/>
    <xf numFmtId="0" fontId="0" fillId="4" borderId="0" xfId="0" applyFill="1" applyAlignment="1">
      <alignment horizontal="center"/>
    </xf>
    <xf numFmtId="44" fontId="0" fillId="5" borderId="0" xfId="0" applyNumberFormat="1" applyFill="1"/>
    <xf numFmtId="0" fontId="0" fillId="3" borderId="1" xfId="0" applyFill="1" applyBorder="1" applyAlignment="1" applyProtection="1">
      <alignment horizontal="center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44" fontId="0" fillId="2" borderId="1" xfId="1" applyFont="1" applyFill="1" applyBorder="1" applyProtection="1">
      <protection locked="0"/>
    </xf>
    <xf numFmtId="44" fontId="0" fillId="2" borderId="1" xfId="0" applyNumberFormat="1" applyFill="1" applyBorder="1" applyProtection="1">
      <protection locked="0"/>
    </xf>
    <xf numFmtId="166" fontId="0" fillId="0" borderId="0" xfId="0" applyNumberFormat="1" applyAlignment="1">
      <alignment horizontal="center"/>
    </xf>
    <xf numFmtId="166" fontId="0" fillId="7" borderId="0" xfId="1" applyNumberFormat="1" applyFont="1" applyFill="1" applyAlignment="1" applyProtection="1">
      <alignment horizontal="center"/>
    </xf>
    <xf numFmtId="165" fontId="0" fillId="0" borderId="0" xfId="1" applyNumberFormat="1" applyFont="1" applyFill="1" applyAlignment="1">
      <alignment horizontal="center"/>
    </xf>
    <xf numFmtId="44" fontId="0" fillId="0" borderId="0" xfId="0" applyNumberFormat="1" applyAlignment="1">
      <alignment horizontal="center"/>
    </xf>
    <xf numFmtId="44" fontId="0" fillId="6" borderId="1" xfId="0" applyNumberFormat="1" applyFill="1" applyBorder="1" applyProtection="1">
      <protection locked="0"/>
    </xf>
    <xf numFmtId="39" fontId="0" fillId="2" borderId="1" xfId="1" applyNumberFormat="1" applyFont="1" applyFill="1" applyBorder="1"/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37" fontId="0" fillId="0" borderId="0" xfId="0" applyNumberFormat="1" applyAlignment="1">
      <alignment horizontal="center"/>
    </xf>
    <xf numFmtId="44" fontId="5" fillId="0" borderId="0" xfId="1" applyFont="1" applyAlignment="1" applyProtection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center"/>
    </xf>
    <xf numFmtId="170" fontId="0" fillId="0" borderId="0" xfId="0" applyNumberFormat="1" applyAlignment="1">
      <alignment horizontal="center"/>
    </xf>
    <xf numFmtId="170" fontId="0" fillId="0" borderId="0" xfId="0" applyNumberFormat="1"/>
    <xf numFmtId="170" fontId="2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7" borderId="0" xfId="0" applyFont="1" applyFill="1"/>
    <xf numFmtId="0" fontId="2" fillId="7" borderId="0" xfId="0" applyFont="1" applyFill="1" applyAlignment="1">
      <alignment horizontal="center"/>
    </xf>
    <xf numFmtId="0" fontId="2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171" fontId="2" fillId="0" borderId="0" xfId="0" applyNumberFormat="1" applyFont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0" fontId="0" fillId="8" borderId="0" xfId="0" applyFill="1"/>
    <xf numFmtId="0" fontId="10" fillId="13" borderId="0" xfId="0" applyFont="1" applyFill="1" applyAlignment="1">
      <alignment horizontal="center" wrapText="1"/>
    </xf>
    <xf numFmtId="0" fontId="10" fillId="13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8" fillId="14" borderId="0" xfId="0" applyFont="1" applyFill="1" applyAlignment="1">
      <alignment horizontal="left" wrapText="1"/>
    </xf>
    <xf numFmtId="0" fontId="11" fillId="14" borderId="1" xfId="0" applyFont="1" applyFill="1" applyBorder="1"/>
    <xf numFmtId="44" fontId="11" fillId="14" borderId="1" xfId="1" applyFont="1" applyFill="1" applyBorder="1" applyAlignment="1"/>
    <xf numFmtId="44" fontId="11" fillId="14" borderId="10" xfId="1" applyFont="1" applyFill="1" applyBorder="1" applyAlignment="1"/>
    <xf numFmtId="44" fontId="11" fillId="0" borderId="10" xfId="1" applyFont="1" applyBorder="1" applyAlignment="1"/>
    <xf numFmtId="0" fontId="8" fillId="0" borderId="0" xfId="0" applyFont="1" applyAlignment="1">
      <alignment wrapText="1"/>
    </xf>
    <xf numFmtId="0" fontId="11" fillId="0" borderId="1" xfId="0" applyFont="1" applyBorder="1"/>
    <xf numFmtId="44" fontId="11" fillId="0" borderId="1" xfId="1" applyFont="1" applyBorder="1" applyAlignment="1"/>
    <xf numFmtId="0" fontId="8" fillId="14" borderId="0" xfId="0" applyFont="1" applyFill="1" applyAlignment="1">
      <alignment wrapText="1"/>
    </xf>
    <xf numFmtId="0" fontId="8" fillId="14" borderId="1" xfId="0" applyFont="1" applyFill="1" applyBorder="1" applyAlignment="1">
      <alignment wrapText="1"/>
    </xf>
    <xf numFmtId="0" fontId="12" fillId="0" borderId="1" xfId="0" applyFont="1" applyBorder="1"/>
    <xf numFmtId="44" fontId="12" fillId="0" borderId="1" xfId="1" applyFont="1" applyBorder="1" applyAlignment="1"/>
    <xf numFmtId="44" fontId="11" fillId="0" borderId="6" xfId="1" applyFont="1" applyBorder="1" applyAlignment="1"/>
    <xf numFmtId="0" fontId="11" fillId="0" borderId="0" xfId="0" applyFont="1"/>
    <xf numFmtId="44" fontId="11" fillId="0" borderId="0" xfId="1" applyFont="1" applyAlignment="1"/>
    <xf numFmtId="44" fontId="0" fillId="0" borderId="0" xfId="1" applyFont="1" applyAlignment="1">
      <alignment wrapText="1"/>
    </xf>
    <xf numFmtId="14" fontId="0" fillId="0" borderId="0" xfId="0" applyNumberFormat="1"/>
    <xf numFmtId="44" fontId="0" fillId="0" borderId="0" xfId="1" applyFo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70" fontId="0" fillId="0" borderId="1" xfId="0" applyNumberForma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170" fontId="2" fillId="0" borderId="1" xfId="0" applyNumberFormat="1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170" fontId="0" fillId="8" borderId="1" xfId="0" applyNumberFormat="1" applyFill="1" applyBorder="1" applyAlignment="1">
      <alignment horizontal="center"/>
    </xf>
    <xf numFmtId="0" fontId="0" fillId="0" borderId="11" xfId="0" applyBorder="1"/>
    <xf numFmtId="0" fontId="0" fillId="0" borderId="7" xfId="0" applyBorder="1" applyAlignment="1">
      <alignment horizontal="center"/>
    </xf>
    <xf numFmtId="0" fontId="0" fillId="0" borderId="9" xfId="0" applyBorder="1"/>
    <xf numFmtId="0" fontId="0" fillId="0" borderId="0" xfId="0" quotePrefix="1"/>
    <xf numFmtId="39" fontId="0" fillId="0" borderId="0" xfId="0" applyNumberFormat="1" applyAlignment="1">
      <alignment horizontal="center"/>
    </xf>
    <xf numFmtId="0" fontId="0" fillId="0" borderId="7" xfId="0" applyBorder="1"/>
    <xf numFmtId="1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171" fontId="0" fillId="0" borderId="0" xfId="0" applyNumberFormat="1"/>
    <xf numFmtId="173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2" borderId="1" xfId="0" applyFill="1" applyBorder="1"/>
    <xf numFmtId="172" fontId="0" fillId="0" borderId="0" xfId="0" applyNumberFormat="1"/>
    <xf numFmtId="10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0" fontId="8" fillId="2" borderId="0" xfId="0" applyFont="1" applyFill="1" applyAlignment="1">
      <alignment wrapText="1"/>
    </xf>
    <xf numFmtId="0" fontId="0" fillId="9" borderId="13" xfId="0" applyFill="1" applyBorder="1" applyAlignment="1" applyProtection="1">
      <alignment horizontal="center"/>
      <protection locked="0"/>
    </xf>
    <xf numFmtId="0" fontId="15" fillId="0" borderId="0" xfId="0" applyFont="1"/>
    <xf numFmtId="44" fontId="0" fillId="0" borderId="0" xfId="1" applyFont="1" applyProtection="1"/>
    <xf numFmtId="10" fontId="0" fillId="0" borderId="0" xfId="0" applyNumberFormat="1"/>
    <xf numFmtId="2" fontId="0" fillId="0" borderId="1" xfId="0" applyNumberFormat="1" applyBorder="1"/>
    <xf numFmtId="49" fontId="0" fillId="0" borderId="0" xfId="0" applyNumberFormat="1" applyAlignment="1">
      <alignment horizontal="center"/>
    </xf>
    <xf numFmtId="49" fontId="0" fillId="19" borderId="0" xfId="0" applyNumberFormat="1" applyFill="1" applyAlignment="1">
      <alignment horizontal="center"/>
    </xf>
    <xf numFmtId="49" fontId="0" fillId="0" borderId="0" xfId="0" quotePrefix="1" applyNumberFormat="1" applyAlignment="1">
      <alignment horizontal="center"/>
    </xf>
    <xf numFmtId="49" fontId="8" fillId="9" borderId="0" xfId="0" applyNumberFormat="1" applyFont="1" applyFill="1" applyAlignment="1">
      <alignment horizontal="center" vertical="top"/>
    </xf>
    <xf numFmtId="0" fontId="0" fillId="15" borderId="0" xfId="0" applyFill="1"/>
    <xf numFmtId="16" fontId="0" fillId="0" borderId="0" xfId="0" quotePrefix="1" applyNumberFormat="1"/>
    <xf numFmtId="16" fontId="0" fillId="0" borderId="0" xfId="0" quotePrefix="1" applyNumberFormat="1" applyAlignment="1">
      <alignment horizontal="center"/>
    </xf>
    <xf numFmtId="1" fontId="0" fillId="0" borderId="0" xfId="0" applyNumberFormat="1"/>
    <xf numFmtId="171" fontId="0" fillId="0" borderId="0" xfId="0" quotePrefix="1" applyNumberFormat="1" applyAlignment="1">
      <alignment horizontal="center"/>
    </xf>
    <xf numFmtId="174" fontId="0" fillId="0" borderId="0" xfId="0" applyNumberFormat="1"/>
    <xf numFmtId="0" fontId="0" fillId="0" borderId="0" xfId="0" applyAlignment="1">
      <alignment horizontal="center" wrapText="1"/>
    </xf>
    <xf numFmtId="44" fontId="0" fillId="0" borderId="0" xfId="0" applyNumberFormat="1" applyAlignment="1">
      <alignment wrapText="1"/>
    </xf>
    <xf numFmtId="0" fontId="8" fillId="9" borderId="0" xfId="0" applyFont="1" applyFill="1" applyAlignment="1">
      <alignment wrapText="1"/>
    </xf>
    <xf numFmtId="0" fontId="0" fillId="0" borderId="5" xfId="0" applyBorder="1"/>
    <xf numFmtId="0" fontId="0" fillId="15" borderId="5" xfId="0" applyFill="1" applyBorder="1"/>
    <xf numFmtId="1" fontId="0" fillId="0" borderId="7" xfId="0" applyNumberFormat="1" applyBorder="1" applyAlignment="1">
      <alignment horizontal="center"/>
    </xf>
    <xf numFmtId="0" fontId="0" fillId="15" borderId="7" xfId="0" applyFill="1" applyBorder="1"/>
    <xf numFmtId="44" fontId="2" fillId="0" borderId="0" xfId="1" applyFont="1" applyBorder="1" applyAlignment="1">
      <alignment horizontal="center"/>
    </xf>
    <xf numFmtId="170" fontId="0" fillId="0" borderId="5" xfId="0" applyNumberFormat="1" applyBorder="1"/>
    <xf numFmtId="170" fontId="0" fillId="0" borderId="7" xfId="0" applyNumberFormat="1" applyBorder="1"/>
    <xf numFmtId="170" fontId="0" fillId="0" borderId="0" xfId="0" quotePrefix="1" applyNumberFormat="1" applyAlignment="1">
      <alignment horizontal="center"/>
    </xf>
    <xf numFmtId="175" fontId="0" fillId="0" borderId="0" xfId="1" applyNumberFormat="1" applyFont="1"/>
    <xf numFmtId="0" fontId="0" fillId="11" borderId="0" xfId="0" applyFill="1" applyAlignment="1">
      <alignment horizontal="center"/>
    </xf>
    <xf numFmtId="171" fontId="0" fillId="0" borderId="0" xfId="1" applyNumberFormat="1" applyFont="1"/>
    <xf numFmtId="44" fontId="0" fillId="0" borderId="0" xfId="1" applyFont="1" applyFill="1"/>
    <xf numFmtId="44" fontId="0" fillId="0" borderId="0" xfId="1" applyFont="1" applyFill="1" applyAlignment="1">
      <alignment horizontal="center"/>
    </xf>
    <xf numFmtId="170" fontId="9" fillId="0" borderId="0" xfId="0" applyNumberFormat="1" applyFont="1" applyAlignment="1">
      <alignment horizontal="center"/>
    </xf>
    <xf numFmtId="0" fontId="11" fillId="0" borderId="6" xfId="0" applyFont="1" applyBorder="1"/>
    <xf numFmtId="44" fontId="11" fillId="0" borderId="6" xfId="0" applyNumberFormat="1" applyFont="1" applyBorder="1"/>
    <xf numFmtId="0" fontId="11" fillId="0" borderId="6" xfId="0" quotePrefix="1" applyFont="1" applyBorder="1"/>
    <xf numFmtId="2" fontId="11" fillId="0" borderId="6" xfId="0" applyNumberFormat="1" applyFont="1" applyBorder="1"/>
    <xf numFmtId="0" fontId="11" fillId="0" borderId="6" xfId="0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/>
    <xf numFmtId="1" fontId="17" fillId="0" borderId="0" xfId="0" applyNumberFormat="1" applyFont="1" applyAlignment="1">
      <alignment horizontal="center"/>
    </xf>
    <xf numFmtId="171" fontId="17" fillId="0" borderId="0" xfId="0" quotePrefix="1" applyNumberFormat="1" applyFont="1" applyAlignment="1">
      <alignment horizontal="center"/>
    </xf>
    <xf numFmtId="171" fontId="17" fillId="0" borderId="0" xfId="0" applyNumberFormat="1" applyFont="1" applyAlignment="1">
      <alignment horizontal="center"/>
    </xf>
    <xf numFmtId="0" fontId="17" fillId="0" borderId="0" xfId="0" quotePrefix="1" applyFont="1" applyAlignment="1">
      <alignment horizontal="center"/>
    </xf>
    <xf numFmtId="0" fontId="5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0" fillId="0" borderId="29" xfId="0" applyBorder="1"/>
    <xf numFmtId="14" fontId="0" fillId="0" borderId="0" xfId="0" quotePrefix="1" applyNumberFormat="1"/>
    <xf numFmtId="10" fontId="0" fillId="0" borderId="0" xfId="0" applyNumberFormat="1" applyAlignment="1">
      <alignment horizontal="center"/>
    </xf>
    <xf numFmtId="44" fontId="0" fillId="20" borderId="1" xfId="1" applyFont="1" applyFill="1" applyBorder="1" applyProtection="1"/>
    <xf numFmtId="0" fontId="0" fillId="9" borderId="14" xfId="0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39" fontId="0" fillId="0" borderId="0" xfId="1" applyNumberFormat="1" applyFont="1"/>
    <xf numFmtId="44" fontId="2" fillId="0" borderId="0" xfId="0" applyNumberFormat="1" applyFont="1"/>
    <xf numFmtId="44" fontId="1" fillId="0" borderId="0" xfId="1" applyFont="1"/>
    <xf numFmtId="44" fontId="2" fillId="9" borderId="0" xfId="0" applyNumberFormat="1" applyFont="1" applyFill="1"/>
    <xf numFmtId="0" fontId="2" fillId="9" borderId="1" xfId="0" applyFont="1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0" fontId="18" fillId="0" borderId="36" xfId="0" applyFont="1" applyBorder="1" applyAlignment="1">
      <alignment horizontal="left" vertical="top"/>
    </xf>
    <xf numFmtId="0" fontId="18" fillId="0" borderId="37" xfId="0" applyFont="1" applyBorder="1" applyAlignment="1">
      <alignment horizontal="left" vertical="top"/>
    </xf>
    <xf numFmtId="44" fontId="18" fillId="0" borderId="38" xfId="1" applyFont="1" applyBorder="1" applyAlignment="1">
      <alignment horizontal="right"/>
    </xf>
    <xf numFmtId="0" fontId="18" fillId="0" borderId="39" xfId="0" applyFont="1" applyBorder="1" applyAlignment="1">
      <alignment horizontal="left" vertical="top"/>
    </xf>
    <xf numFmtId="0" fontId="18" fillId="0" borderId="38" xfId="0" applyFont="1" applyBorder="1" applyAlignment="1">
      <alignment horizontal="left" vertical="top"/>
    </xf>
    <xf numFmtId="44" fontId="18" fillId="0" borderId="38" xfId="1" applyFont="1" applyBorder="1" applyAlignment="1">
      <alignment horizontal="right" vertical="top"/>
    </xf>
    <xf numFmtId="172" fontId="18" fillId="0" borderId="38" xfId="0" applyNumberFormat="1" applyFont="1" applyBorder="1" applyAlignment="1">
      <alignment horizontal="right"/>
    </xf>
    <xf numFmtId="3" fontId="0" fillId="0" borderId="0" xfId="0" applyNumberFormat="1"/>
    <xf numFmtId="0" fontId="18" fillId="0" borderId="39" xfId="0" applyFont="1" applyBorder="1" applyAlignment="1">
      <alignment horizontal="center"/>
    </xf>
    <xf numFmtId="0" fontId="18" fillId="0" borderId="38" xfId="0" applyFont="1" applyBorder="1" applyAlignment="1">
      <alignment horizontal="center"/>
    </xf>
    <xf numFmtId="172" fontId="18" fillId="0" borderId="40" xfId="0" applyNumberFormat="1" applyFont="1" applyBorder="1" applyAlignment="1">
      <alignment horizontal="right"/>
    </xf>
    <xf numFmtId="172" fontId="18" fillId="0" borderId="41" xfId="0" applyNumberFormat="1" applyFont="1" applyBorder="1" applyAlignment="1">
      <alignment horizontal="right"/>
    </xf>
    <xf numFmtId="2" fontId="18" fillId="0" borderId="1" xfId="2" applyNumberFormat="1" applyFont="1" applyBorder="1" applyAlignment="1">
      <alignment horizontal="right"/>
    </xf>
    <xf numFmtId="172" fontId="18" fillId="0" borderId="1" xfId="2" applyNumberFormat="1" applyFont="1" applyBorder="1" applyAlignment="1">
      <alignment horizontal="right"/>
    </xf>
    <xf numFmtId="4" fontId="0" fillId="0" borderId="0" xfId="0" applyNumberFormat="1"/>
    <xf numFmtId="172" fontId="2" fillId="0" borderId="0" xfId="0" applyNumberFormat="1" applyFont="1"/>
    <xf numFmtId="0" fontId="18" fillId="0" borderId="0" xfId="0" applyFont="1" applyAlignment="1">
      <alignment horizontal="left" vertical="top"/>
    </xf>
    <xf numFmtId="0" fontId="15" fillId="0" borderId="0" xfId="0" applyFont="1" applyAlignment="1">
      <alignment horizontal="left"/>
    </xf>
    <xf numFmtId="176" fontId="0" fillId="0" borderId="0" xfId="1" applyNumberFormat="1" applyFont="1" applyAlignment="1" applyProtection="1">
      <alignment horizontal="center"/>
    </xf>
    <xf numFmtId="176" fontId="0" fillId="0" borderId="0" xfId="1" applyNumberFormat="1" applyFont="1" applyProtection="1"/>
    <xf numFmtId="44" fontId="0" fillId="0" borderId="0" xfId="1" applyFont="1" applyAlignment="1" applyProtection="1">
      <alignment horizontal="center"/>
    </xf>
    <xf numFmtId="2" fontId="0" fillId="18" borderId="0" xfId="0" applyNumberFormat="1" applyFill="1" applyAlignment="1">
      <alignment horizontal="center"/>
    </xf>
    <xf numFmtId="173" fontId="0" fillId="8" borderId="1" xfId="0" applyNumberFormat="1" applyFill="1" applyBorder="1" applyAlignment="1">
      <alignment horizontal="center"/>
    </xf>
    <xf numFmtId="0" fontId="14" fillId="20" borderId="0" xfId="0" applyFont="1" applyFill="1"/>
    <xf numFmtId="0" fontId="14" fillId="20" borderId="0" xfId="0" applyFont="1" applyFill="1" applyAlignment="1">
      <alignment horizontal="left"/>
    </xf>
    <xf numFmtId="0" fontId="0" fillId="20" borderId="0" xfId="0" applyFill="1" applyAlignment="1">
      <alignment horizontal="center"/>
    </xf>
    <xf numFmtId="0" fontId="5" fillId="9" borderId="1" xfId="0" applyFont="1" applyFill="1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44" fontId="0" fillId="0" borderId="1" xfId="1" applyFont="1" applyBorder="1" applyProtection="1"/>
    <xf numFmtId="9" fontId="22" fillId="0" borderId="29" xfId="0" applyNumberFormat="1" applyFont="1" applyBorder="1" applyAlignment="1">
      <alignment horizontal="center"/>
    </xf>
    <xf numFmtId="44" fontId="23" fillId="0" borderId="1" xfId="1" applyFont="1" applyBorder="1"/>
    <xf numFmtId="2" fontId="0" fillId="0" borderId="3" xfId="0" applyNumberFormat="1" applyBorder="1" applyAlignment="1">
      <alignment horizontal="center"/>
    </xf>
    <xf numFmtId="0" fontId="0" fillId="9" borderId="43" xfId="0" applyFill="1" applyBorder="1" applyAlignment="1" applyProtection="1">
      <alignment horizontal="center"/>
      <protection locked="0"/>
    </xf>
    <xf numFmtId="44" fontId="2" fillId="0" borderId="0" xfId="1" applyFont="1" applyFill="1" applyBorder="1" applyAlignment="1" applyProtection="1">
      <alignment horizontal="center"/>
    </xf>
    <xf numFmtId="0" fontId="6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166" fontId="0" fillId="0" borderId="0" xfId="1" applyNumberFormat="1" applyFont="1" applyFill="1" applyBorder="1" applyAlignment="1" applyProtection="1">
      <alignment horizontal="center"/>
    </xf>
    <xf numFmtId="1" fontId="0" fillId="9" borderId="1" xfId="0" applyNumberFormat="1" applyFill="1" applyBorder="1" applyAlignment="1" applyProtection="1">
      <alignment horizontal="center"/>
      <protection locked="0"/>
    </xf>
    <xf numFmtId="171" fontId="0" fillId="9" borderId="1" xfId="0" applyNumberFormat="1" applyFill="1" applyBorder="1" applyAlignment="1" applyProtection="1">
      <alignment horizontal="center"/>
      <protection locked="0"/>
    </xf>
    <xf numFmtId="0" fontId="2" fillId="10" borderId="1" xfId="0" applyFont="1" applyFill="1" applyBorder="1" applyAlignment="1" applyProtection="1">
      <alignment horizontal="center"/>
      <protection locked="0"/>
    </xf>
    <xf numFmtId="9" fontId="0" fillId="0" borderId="0" xfId="2" applyFont="1" applyFill="1" applyAlignment="1" applyProtection="1">
      <alignment horizontal="center"/>
    </xf>
    <xf numFmtId="44" fontId="0" fillId="0" borderId="0" xfId="1" applyFont="1" applyFill="1" applyBorder="1" applyProtection="1"/>
    <xf numFmtId="39" fontId="0" fillId="0" borderId="0" xfId="1" applyNumberFormat="1" applyFont="1" applyFill="1" applyBorder="1" applyProtection="1"/>
    <xf numFmtId="165" fontId="0" fillId="0" borderId="0" xfId="1" applyNumberFormat="1" applyFont="1" applyAlignment="1" applyProtection="1">
      <alignment horizontal="center"/>
    </xf>
    <xf numFmtId="165" fontId="0" fillId="0" borderId="0" xfId="1" applyNumberFormat="1" applyFont="1" applyProtection="1"/>
    <xf numFmtId="0" fontId="2" fillId="3" borderId="48" xfId="0" applyFont="1" applyFill="1" applyBorder="1" applyAlignment="1" applyProtection="1">
      <alignment horizontal="center"/>
      <protection locked="0"/>
    </xf>
    <xf numFmtId="0" fontId="0" fillId="22" borderId="47" xfId="0" applyFill="1" applyBorder="1" applyAlignment="1" applyProtection="1">
      <alignment horizontal="center"/>
      <protection locked="0"/>
    </xf>
    <xf numFmtId="44" fontId="2" fillId="20" borderId="1" xfId="1" applyFont="1" applyFill="1" applyBorder="1" applyProtection="1"/>
    <xf numFmtId="44" fontId="2" fillId="15" borderId="6" xfId="1" applyFont="1" applyFill="1" applyBorder="1" applyProtection="1"/>
    <xf numFmtId="167" fontId="5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/>
    <xf numFmtId="0" fontId="13" fillId="0" borderId="0" xfId="0" applyFont="1" applyAlignment="1">
      <alignment horizontal="left"/>
    </xf>
    <xf numFmtId="10" fontId="2" fillId="0" borderId="0" xfId="0" applyNumberFormat="1" applyFont="1"/>
    <xf numFmtId="44" fontId="2" fillId="0" borderId="0" xfId="1" applyFont="1" applyAlignment="1" applyProtection="1"/>
    <xf numFmtId="10" fontId="2" fillId="0" borderId="0" xfId="0" applyNumberFormat="1" applyFont="1" applyAlignment="1">
      <alignment horizontal="center"/>
    </xf>
    <xf numFmtId="44" fontId="2" fillId="0" borderId="0" xfId="1" applyFont="1" applyProtection="1"/>
    <xf numFmtId="0" fontId="2" fillId="8" borderId="30" xfId="0" applyFont="1" applyFill="1" applyBorder="1"/>
    <xf numFmtId="0" fontId="2" fillId="8" borderId="0" xfId="0" applyFont="1" applyFill="1"/>
    <xf numFmtId="1" fontId="0" fillId="16" borderId="35" xfId="0" applyNumberFormat="1" applyFill="1" applyBorder="1" applyAlignment="1">
      <alignment horizontal="center"/>
    </xf>
    <xf numFmtId="44" fontId="2" fillId="8" borderId="0" xfId="1" applyFont="1" applyFill="1" applyAlignment="1" applyProtection="1"/>
    <xf numFmtId="0" fontId="0" fillId="8" borderId="0" xfId="0" applyFill="1" applyAlignment="1">
      <alignment horizontal="left"/>
    </xf>
    <xf numFmtId="0" fontId="0" fillId="15" borderId="0" xfId="0" applyFill="1" applyAlignment="1">
      <alignment horizontal="left"/>
    </xf>
    <xf numFmtId="44" fontId="2" fillId="20" borderId="1" xfId="0" applyNumberFormat="1" applyFont="1" applyFill="1" applyBorder="1"/>
    <xf numFmtId="0" fontId="0" fillId="15" borderId="0" xfId="0" applyFill="1" applyAlignment="1">
      <alignment horizontal="center"/>
    </xf>
    <xf numFmtId="2" fontId="2" fillId="0" borderId="0" xfId="0" applyNumberFormat="1" applyFont="1"/>
    <xf numFmtId="0" fontId="0" fillId="0" borderId="8" xfId="0" applyBorder="1" applyAlignment="1">
      <alignment horizontal="center"/>
    </xf>
    <xf numFmtId="0" fontId="0" fillId="7" borderId="0" xfId="0" applyFill="1" applyAlignment="1">
      <alignment horizontal="left"/>
    </xf>
    <xf numFmtId="0" fontId="0" fillId="7" borderId="0" xfId="0" applyFill="1"/>
    <xf numFmtId="0" fontId="0" fillId="10" borderId="0" xfId="0" applyFill="1" applyAlignment="1">
      <alignment horizontal="left"/>
    </xf>
    <xf numFmtId="0" fontId="0" fillId="10" borderId="0" xfId="0" applyFill="1"/>
    <xf numFmtId="2" fontId="0" fillId="4" borderId="0" xfId="0" applyNumberFormat="1" applyFill="1" applyAlignment="1">
      <alignment horizontal="center"/>
    </xf>
    <xf numFmtId="44" fontId="2" fillId="0" borderId="0" xfId="2" applyNumberFormat="1" applyFont="1" applyFill="1" applyAlignment="1" applyProtection="1">
      <alignment horizontal="center"/>
    </xf>
    <xf numFmtId="44" fontId="0" fillId="0" borderId="0" xfId="1" applyFont="1" applyFill="1" applyProtection="1"/>
    <xf numFmtId="44" fontId="0" fillId="0" borderId="0" xfId="2" applyNumberFormat="1" applyFont="1" applyAlignment="1" applyProtection="1">
      <alignment horizontal="center"/>
    </xf>
    <xf numFmtId="0" fontId="2" fillId="0" borderId="9" xfId="0" applyFont="1" applyBorder="1"/>
    <xf numFmtId="165" fontId="0" fillId="0" borderId="0" xfId="1" applyNumberFormat="1" applyFont="1" applyFill="1" applyAlignment="1" applyProtection="1">
      <alignment horizontal="center"/>
    </xf>
    <xf numFmtId="0" fontId="2" fillId="0" borderId="7" xfId="0" applyFont="1" applyBorder="1" applyAlignment="1">
      <alignment horizontal="center"/>
    </xf>
    <xf numFmtId="44" fontId="0" fillId="0" borderId="7" xfId="1" applyFont="1" applyFill="1" applyBorder="1" applyAlignment="1" applyProtection="1"/>
    <xf numFmtId="37" fontId="0" fillId="0" borderId="0" xfId="1" applyNumberFormat="1" applyFont="1" applyFill="1" applyAlignment="1" applyProtection="1">
      <alignment horizontal="center"/>
    </xf>
    <xf numFmtId="44" fontId="0" fillId="0" borderId="8" xfId="0" applyNumberFormat="1" applyBorder="1"/>
    <xf numFmtId="0" fontId="0" fillId="23" borderId="0" xfId="0" applyFill="1" applyAlignment="1">
      <alignment horizontal="center"/>
    </xf>
    <xf numFmtId="0" fontId="0" fillId="3" borderId="10" xfId="0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2" fillId="0" borderId="31" xfId="0" applyFont="1" applyBorder="1" applyAlignment="1">
      <alignment horizontal="center"/>
    </xf>
    <xf numFmtId="9" fontId="0" fillId="23" borderId="0" xfId="0" applyNumberFormat="1" applyFill="1" applyAlignment="1">
      <alignment horizontal="center"/>
    </xf>
    <xf numFmtId="44" fontId="0" fillId="23" borderId="1" xfId="0" applyNumberFormat="1" applyFill="1" applyBorder="1"/>
    <xf numFmtId="44" fontId="0" fillId="0" borderId="1" xfId="0" applyNumberFormat="1" applyBorder="1"/>
    <xf numFmtId="44" fontId="2" fillId="0" borderId="0" xfId="2" applyNumberFormat="1" applyFont="1" applyAlignment="1" applyProtection="1">
      <alignment horizontal="center"/>
    </xf>
    <xf numFmtId="177" fontId="0" fillId="0" borderId="0" xfId="0" applyNumberFormat="1"/>
    <xf numFmtId="0" fontId="2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9" fontId="0" fillId="21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44" fontId="0" fillId="21" borderId="1" xfId="0" applyNumberFormat="1" applyFill="1" applyBorder="1"/>
    <xf numFmtId="165" fontId="0" fillId="0" borderId="1" xfId="0" applyNumberFormat="1" applyBorder="1"/>
    <xf numFmtId="44" fontId="2" fillId="0" borderId="0" xfId="0" applyNumberFormat="1" applyFont="1" applyAlignment="1">
      <alignment horizontal="center"/>
    </xf>
    <xf numFmtId="9" fontId="0" fillId="0" borderId="0" xfId="2" applyFont="1" applyFill="1" applyBorder="1" applyAlignment="1" applyProtection="1">
      <alignment horizontal="center"/>
    </xf>
    <xf numFmtId="0" fontId="2" fillId="0" borderId="0" xfId="0" applyFont="1" applyAlignment="1">
      <alignment horizontal="center" vertical="center" wrapText="1"/>
    </xf>
    <xf numFmtId="14" fontId="2" fillId="0" borderId="0" xfId="0" quotePrefix="1" applyNumberFormat="1" applyFont="1" applyAlignment="1">
      <alignment horizontal="center"/>
    </xf>
    <xf numFmtId="44" fontId="0" fillId="0" borderId="3" xfId="0" applyNumberFormat="1" applyBorder="1"/>
    <xf numFmtId="0" fontId="0" fillId="0" borderId="32" xfId="0" applyBorder="1" applyAlignment="1">
      <alignment horizontal="center"/>
    </xf>
    <xf numFmtId="0" fontId="2" fillId="0" borderId="3" xfId="0" applyFont="1" applyBorder="1" applyAlignment="1">
      <alignment horizontal="center"/>
    </xf>
    <xf numFmtId="44" fontId="0" fillId="0" borderId="0" xfId="1" applyFont="1" applyFill="1" applyBorder="1" applyAlignment="1" applyProtection="1">
      <alignment horizontal="center"/>
    </xf>
    <xf numFmtId="44" fontId="0" fillId="0" borderId="5" xfId="0" applyNumberFormat="1" applyBorder="1"/>
    <xf numFmtId="9" fontId="2" fillId="23" borderId="1" xfId="0" applyNumberFormat="1" applyFont="1" applyFill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169" fontId="0" fillId="0" borderId="0" xfId="1" applyNumberFormat="1" applyFont="1" applyProtection="1"/>
    <xf numFmtId="44" fontId="2" fillId="0" borderId="29" xfId="0" applyNumberFormat="1" applyFont="1" applyBorder="1"/>
    <xf numFmtId="44" fontId="23" fillId="0" borderId="1" xfId="1" applyFont="1" applyBorder="1" applyProtection="1"/>
    <xf numFmtId="44" fontId="0" fillId="0" borderId="3" xfId="1" applyFont="1" applyBorder="1" applyAlignment="1" applyProtection="1">
      <alignment horizontal="center"/>
    </xf>
    <xf numFmtId="2" fontId="0" fillId="18" borderId="0" xfId="0" applyNumberFormat="1" applyFill="1"/>
    <xf numFmtId="44" fontId="2" fillId="0" borderId="0" xfId="1" applyFont="1" applyBorder="1" applyAlignment="1" applyProtection="1">
      <alignment horizontal="center"/>
    </xf>
    <xf numFmtId="39" fontId="0" fillId="0" borderId="0" xfId="1" applyNumberFormat="1" applyFont="1" applyAlignment="1" applyProtection="1">
      <alignment horizontal="center"/>
    </xf>
    <xf numFmtId="44" fontId="0" fillId="0" borderId="8" xfId="0" applyNumberFormat="1" applyBorder="1" applyAlignment="1">
      <alignment horizontal="center"/>
    </xf>
    <xf numFmtId="0" fontId="16" fillId="0" borderId="0" xfId="0" applyFont="1" applyAlignment="1">
      <alignment horizontal="center"/>
    </xf>
    <xf numFmtId="44" fontId="0" fillId="0" borderId="0" xfId="1" applyFont="1" applyFill="1" applyAlignment="1" applyProtection="1">
      <alignment horizontal="center"/>
    </xf>
    <xf numFmtId="2" fontId="0" fillId="0" borderId="1" xfId="0" applyNumberFormat="1" applyBorder="1" applyAlignment="1">
      <alignment horizontal="center"/>
    </xf>
    <xf numFmtId="175" fontId="0" fillId="0" borderId="0" xfId="1" applyNumberFormat="1" applyFont="1" applyProtection="1"/>
    <xf numFmtId="0" fontId="0" fillId="0" borderId="5" xfId="0" applyBorder="1" applyAlignment="1">
      <alignment horizontal="center"/>
    </xf>
    <xf numFmtId="1" fontId="17" fillId="0" borderId="0" xfId="0" quotePrefix="1" applyNumberFormat="1" applyFont="1" applyAlignment="1">
      <alignment horizontal="center"/>
    </xf>
    <xf numFmtId="176" fontId="0" fillId="0" borderId="0" xfId="0" applyNumberFormat="1"/>
    <xf numFmtId="176" fontId="0" fillId="0" borderId="0" xfId="0" applyNumberFormat="1" applyAlignment="1">
      <alignment horizontal="center"/>
    </xf>
    <xf numFmtId="13" fontId="0" fillId="9" borderId="1" xfId="0" applyNumberFormat="1" applyFill="1" applyBorder="1" applyAlignment="1" applyProtection="1">
      <alignment horizontal="center"/>
      <protection locked="0"/>
    </xf>
    <xf numFmtId="168" fontId="5" fillId="0" borderId="0" xfId="0" applyNumberFormat="1" applyFont="1" applyAlignment="1">
      <alignment horizontal="center"/>
    </xf>
    <xf numFmtId="0" fontId="2" fillId="0" borderId="2" xfId="0" applyFont="1" applyBorder="1" applyAlignment="1">
      <alignment horizontal="center"/>
    </xf>
    <xf numFmtId="0" fontId="2" fillId="10" borderId="0" xfId="0" applyFont="1" applyFill="1" applyAlignment="1">
      <alignment horizontal="right"/>
    </xf>
    <xf numFmtId="0" fontId="0" fillId="0" borderId="0" xfId="0" applyAlignment="1">
      <alignment horizontal="left" wrapText="1"/>
    </xf>
    <xf numFmtId="0" fontId="2" fillId="0" borderId="25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42" xfId="0" applyBorder="1" applyAlignment="1">
      <alignment horizontal="center"/>
    </xf>
    <xf numFmtId="2" fontId="2" fillId="7" borderId="0" xfId="0" applyNumberFormat="1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44" fontId="5" fillId="0" borderId="0" xfId="1" applyFont="1"/>
    <xf numFmtId="0" fontId="0" fillId="0" borderId="0" xfId="0" applyAlignment="1" applyProtection="1">
      <alignment horizontal="left"/>
      <protection locked="0"/>
    </xf>
    <xf numFmtId="178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" fontId="0" fillId="9" borderId="12" xfId="0" applyNumberFormat="1" applyFill="1" applyBorder="1" applyAlignment="1" applyProtection="1">
      <alignment horizontal="center"/>
      <protection locked="0"/>
    </xf>
    <xf numFmtId="0" fontId="2" fillId="8" borderId="0" xfId="0" applyFont="1" applyFill="1" applyAlignment="1">
      <alignment horizontal="center"/>
    </xf>
    <xf numFmtId="178" fontId="0" fillId="0" borderId="0" xfId="0" applyNumberFormat="1" applyAlignment="1">
      <alignment horizontal="center"/>
    </xf>
    <xf numFmtId="44" fontId="2" fillId="0" borderId="0" xfId="1" applyFont="1" applyFill="1" applyAlignment="1" applyProtection="1"/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2" fontId="0" fillId="9" borderId="33" xfId="0" applyNumberFormat="1" applyFill="1" applyBorder="1" applyAlignment="1" applyProtection="1">
      <alignment horizontal="center"/>
      <protection locked="0"/>
    </xf>
    <xf numFmtId="2" fontId="0" fillId="9" borderId="34" xfId="0" applyNumberFormat="1" applyFill="1" applyBorder="1" applyAlignment="1" applyProtection="1">
      <alignment horizontal="center"/>
      <protection locked="0"/>
    </xf>
    <xf numFmtId="2" fontId="0" fillId="9" borderId="19" xfId="0" applyNumberFormat="1" applyFill="1" applyBorder="1" applyAlignment="1" applyProtection="1">
      <alignment horizontal="center"/>
      <protection locked="0"/>
    </xf>
    <xf numFmtId="2" fontId="0" fillId="9" borderId="20" xfId="0" applyNumberFormat="1" applyFill="1" applyBorder="1" applyAlignment="1" applyProtection="1">
      <alignment horizontal="center"/>
      <protection locked="0"/>
    </xf>
    <xf numFmtId="2" fontId="0" fillId="9" borderId="23" xfId="0" applyNumberFormat="1" applyFill="1" applyBorder="1" applyAlignment="1" applyProtection="1">
      <alignment horizontal="center"/>
      <protection locked="0"/>
    </xf>
    <xf numFmtId="0" fontId="0" fillId="9" borderId="24" xfId="0" applyFill="1" applyBorder="1" applyAlignment="1" applyProtection="1">
      <alignment horizontal="center"/>
      <protection locked="0"/>
    </xf>
    <xf numFmtId="0" fontId="0" fillId="9" borderId="19" xfId="0" applyFill="1" applyBorder="1" applyAlignment="1" applyProtection="1">
      <alignment horizontal="center"/>
      <protection locked="0"/>
    </xf>
    <xf numFmtId="0" fontId="0" fillId="9" borderId="20" xfId="0" applyFill="1" applyBorder="1" applyAlignment="1" applyProtection="1">
      <alignment horizontal="center"/>
      <protection locked="0"/>
    </xf>
    <xf numFmtId="167" fontId="5" fillId="0" borderId="0" xfId="0" applyNumberFormat="1" applyFont="1" applyAlignment="1">
      <alignment horizontal="center"/>
    </xf>
    <xf numFmtId="0" fontId="6" fillId="0" borderId="31" xfId="0" applyFont="1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5" borderId="24" xfId="0" applyFill="1" applyBorder="1" applyAlignment="1">
      <alignment horizontal="center"/>
    </xf>
    <xf numFmtId="7" fontId="0" fillId="20" borderId="9" xfId="1" applyNumberFormat="1" applyFont="1" applyFill="1" applyBorder="1" applyAlignment="1" applyProtection="1">
      <alignment horizontal="center"/>
    </xf>
    <xf numFmtId="7" fontId="0" fillId="20" borderId="32" xfId="1" applyNumberFormat="1" applyFont="1" applyFill="1" applyBorder="1" applyAlignment="1" applyProtection="1">
      <alignment horizontal="center"/>
    </xf>
    <xf numFmtId="0" fontId="0" fillId="9" borderId="21" xfId="0" applyFill="1" applyBorder="1" applyAlignment="1" applyProtection="1">
      <alignment horizontal="center"/>
      <protection locked="0"/>
    </xf>
    <xf numFmtId="0" fontId="0" fillId="9" borderId="22" xfId="0" applyFill="1" applyBorder="1" applyAlignment="1" applyProtection="1">
      <alignment horizontal="center"/>
      <protection locked="0"/>
    </xf>
    <xf numFmtId="0" fontId="0" fillId="9" borderId="23" xfId="0" applyFill="1" applyBorder="1" applyAlignment="1" applyProtection="1">
      <alignment horizontal="center"/>
      <protection locked="0"/>
    </xf>
    <xf numFmtId="0" fontId="0" fillId="15" borderId="33" xfId="0" applyFill="1" applyBorder="1" applyAlignment="1">
      <alignment horizontal="center"/>
    </xf>
    <xf numFmtId="0" fontId="0" fillId="15" borderId="34" xfId="0" applyFill="1" applyBorder="1" applyAlignment="1">
      <alignment horizontal="center"/>
    </xf>
    <xf numFmtId="0" fontId="0" fillId="15" borderId="21" xfId="0" applyFill="1" applyBorder="1" applyAlignment="1">
      <alignment horizontal="center"/>
    </xf>
    <xf numFmtId="0" fontId="0" fillId="15" borderId="22" xfId="0" applyFill="1" applyBorder="1" applyAlignment="1">
      <alignment horizontal="center"/>
    </xf>
    <xf numFmtId="0" fontId="0" fillId="15" borderId="19" xfId="0" applyFill="1" applyBorder="1" applyAlignment="1">
      <alignment horizontal="center"/>
    </xf>
    <xf numFmtId="0" fontId="0" fillId="15" borderId="20" xfId="0" applyFill="1" applyBorder="1" applyAlignment="1">
      <alignment horizontal="center"/>
    </xf>
    <xf numFmtId="0" fontId="6" fillId="17" borderId="25" xfId="0" applyFont="1" applyFill="1" applyBorder="1" applyAlignment="1" applyProtection="1">
      <alignment horizontal="center"/>
      <protection locked="0"/>
    </xf>
    <xf numFmtId="0" fontId="6" fillId="17" borderId="27" xfId="0" applyFont="1" applyFill="1" applyBorder="1" applyAlignment="1" applyProtection="1">
      <alignment horizontal="center"/>
      <protection locked="0"/>
    </xf>
    <xf numFmtId="0" fontId="6" fillId="17" borderId="26" xfId="0" applyFont="1" applyFill="1" applyBorder="1" applyAlignment="1" applyProtection="1">
      <alignment horizontal="center"/>
      <protection locked="0"/>
    </xf>
    <xf numFmtId="44" fontId="2" fillId="11" borderId="33" xfId="1" applyFont="1" applyFill="1" applyBorder="1" applyAlignment="1" applyProtection="1">
      <alignment horizontal="center"/>
    </xf>
    <xf numFmtId="44" fontId="2" fillId="11" borderId="34" xfId="1" applyFont="1" applyFill="1" applyBorder="1" applyAlignment="1" applyProtection="1">
      <alignment horizontal="center"/>
    </xf>
    <xf numFmtId="7" fontId="0" fillId="9" borderId="15" xfId="1" applyNumberFormat="1" applyFont="1" applyFill="1" applyBorder="1" applyAlignment="1" applyProtection="1">
      <alignment horizontal="center"/>
      <protection locked="0"/>
    </xf>
    <xf numFmtId="7" fontId="0" fillId="9" borderId="16" xfId="1" applyNumberFormat="1" applyFont="1" applyFill="1" applyBorder="1" applyAlignment="1" applyProtection="1">
      <alignment horizontal="center"/>
      <protection locked="0"/>
    </xf>
    <xf numFmtId="168" fontId="5" fillId="0" borderId="0" xfId="0" applyNumberFormat="1" applyFont="1" applyAlignment="1">
      <alignment horizontal="center"/>
    </xf>
    <xf numFmtId="44" fontId="2" fillId="11" borderId="19" xfId="0" applyNumberFormat="1" applyFont="1" applyFill="1" applyBorder="1" applyAlignment="1">
      <alignment horizontal="center"/>
    </xf>
    <xf numFmtId="44" fontId="2" fillId="11" borderId="20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4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44" fontId="2" fillId="11" borderId="45" xfId="1" applyFont="1" applyFill="1" applyBorder="1" applyAlignment="1" applyProtection="1">
      <alignment horizontal="center"/>
    </xf>
    <xf numFmtId="44" fontId="2" fillId="11" borderId="46" xfId="1" applyFont="1" applyFill="1" applyBorder="1" applyAlignment="1" applyProtection="1">
      <alignment horizontal="center"/>
    </xf>
    <xf numFmtId="0" fontId="2" fillId="8" borderId="30" xfId="0" applyFont="1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0" fillId="9" borderId="17" xfId="0" applyFill="1" applyBorder="1" applyAlignment="1" applyProtection="1">
      <alignment horizontal="center"/>
      <protection locked="0"/>
    </xf>
    <xf numFmtId="0" fontId="0" fillId="9" borderId="18" xfId="0" applyFill="1" applyBorder="1" applyAlignment="1" applyProtection="1">
      <alignment horizontal="center"/>
      <protection locked="0"/>
    </xf>
    <xf numFmtId="10" fontId="0" fillId="11" borderId="25" xfId="0" applyNumberFormat="1" applyFill="1" applyBorder="1" applyAlignment="1">
      <alignment horizontal="center"/>
    </xf>
    <xf numFmtId="10" fontId="0" fillId="11" borderId="26" xfId="0" applyNumberFormat="1" applyFill="1" applyBorder="1" applyAlignment="1">
      <alignment horizontal="center"/>
    </xf>
    <xf numFmtId="44" fontId="2" fillId="0" borderId="44" xfId="1" applyFont="1" applyFill="1" applyBorder="1" applyAlignment="1" applyProtection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2" xfId="0" quotePrefix="1" applyBorder="1" applyAlignment="1" applyProtection="1">
      <alignment horizontal="left"/>
      <protection locked="0"/>
    </xf>
    <xf numFmtId="44" fontId="2" fillId="8" borderId="0" xfId="1" applyFont="1" applyFill="1" applyAlignment="1" applyProtection="1">
      <alignment horizontal="center"/>
    </xf>
    <xf numFmtId="44" fontId="0" fillId="6" borderId="3" xfId="1" applyFont="1" applyFill="1" applyBorder="1" applyAlignment="1" applyProtection="1">
      <alignment horizontal="center"/>
    </xf>
    <xf numFmtId="44" fontId="0" fillId="6" borderId="4" xfId="1" applyFont="1" applyFill="1" applyBorder="1" applyAlignment="1" applyProtection="1">
      <alignment horizontal="center"/>
    </xf>
    <xf numFmtId="0" fontId="2" fillId="10" borderId="0" xfId="0" applyFont="1" applyFill="1" applyAlignment="1">
      <alignment horizontal="right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14" fontId="2" fillId="3" borderId="2" xfId="0" quotePrefix="1" applyNumberFormat="1" applyFont="1" applyFill="1" applyBorder="1" applyAlignment="1" applyProtection="1">
      <alignment horizontal="center"/>
      <protection locked="0"/>
    </xf>
    <xf numFmtId="14" fontId="2" fillId="3" borderId="3" xfId="0" quotePrefix="1" applyNumberFormat="1" applyFont="1" applyFill="1" applyBorder="1" applyAlignment="1" applyProtection="1">
      <alignment horizontal="center"/>
      <protection locked="0"/>
    </xf>
    <xf numFmtId="14" fontId="2" fillId="3" borderId="4" xfId="0" quotePrefix="1" applyNumberFormat="1" applyFont="1" applyFill="1" applyBorder="1" applyAlignment="1" applyProtection="1">
      <alignment horizontal="center"/>
      <protection locked="0"/>
    </xf>
    <xf numFmtId="0" fontId="2" fillId="3" borderId="2" xfId="0" quotePrefix="1" applyFont="1" applyFill="1" applyBorder="1" applyAlignment="1" applyProtection="1">
      <alignment horizontal="center"/>
      <protection locked="0"/>
    </xf>
    <xf numFmtId="0" fontId="2" fillId="3" borderId="3" xfId="0" quotePrefix="1" applyFont="1" applyFill="1" applyBorder="1" applyAlignment="1" applyProtection="1">
      <alignment horizontal="center"/>
      <protection locked="0"/>
    </xf>
    <xf numFmtId="0" fontId="2" fillId="3" borderId="4" xfId="0" quotePrefix="1" applyFont="1" applyFill="1" applyBorder="1" applyAlignment="1" applyProtection="1">
      <alignment horizontal="center"/>
      <protection locked="0"/>
    </xf>
    <xf numFmtId="0" fontId="2" fillId="0" borderId="9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2" fillId="0" borderId="49" xfId="0" applyFont="1" applyBorder="1" applyAlignment="1">
      <alignment horizontal="center" vertical="center" wrapText="1"/>
    </xf>
    <xf numFmtId="0" fontId="2" fillId="0" borderId="50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53" xfId="0" applyFont="1" applyBorder="1" applyAlignment="1">
      <alignment horizontal="center" vertical="center" wrapText="1"/>
    </xf>
    <xf numFmtId="0" fontId="2" fillId="0" borderId="54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55" xfId="0" applyFont="1" applyBorder="1" applyAlignment="1">
      <alignment horizontal="center" vertical="center" wrapText="1"/>
    </xf>
    <xf numFmtId="44" fontId="0" fillId="0" borderId="3" xfId="1" applyFont="1" applyFill="1" applyBorder="1" applyAlignment="1" applyProtection="1">
      <alignment horizontal="center"/>
    </xf>
    <xf numFmtId="44" fontId="0" fillId="0" borderId="4" xfId="1" applyFont="1" applyFill="1" applyBorder="1" applyAlignment="1" applyProtection="1">
      <alignment horizontal="center"/>
    </xf>
    <xf numFmtId="0" fontId="2" fillId="0" borderId="25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3" borderId="2" xfId="0" quotePrefix="1" applyFont="1" applyFill="1" applyBorder="1" applyAlignment="1" applyProtection="1">
      <alignment horizontal="center" wrapText="1"/>
      <protection locked="0"/>
    </xf>
    <xf numFmtId="0" fontId="2" fillId="3" borderId="3" xfId="0" quotePrefix="1" applyFont="1" applyFill="1" applyBorder="1" applyAlignment="1" applyProtection="1">
      <alignment horizontal="center" wrapText="1"/>
      <protection locked="0"/>
    </xf>
    <xf numFmtId="0" fontId="2" fillId="3" borderId="4" xfId="0" quotePrefix="1" applyFont="1" applyFill="1" applyBorder="1" applyAlignment="1" applyProtection="1">
      <alignment horizontal="center" wrapText="1"/>
      <protection locked="0"/>
    </xf>
    <xf numFmtId="14" fontId="2" fillId="3" borderId="2" xfId="0" applyNumberFormat="1" applyFont="1" applyFill="1" applyBorder="1" applyAlignment="1" applyProtection="1">
      <alignment horizontal="center"/>
      <protection locked="0"/>
    </xf>
    <xf numFmtId="0" fontId="2" fillId="9" borderId="2" xfId="0" applyFont="1" applyFill="1" applyBorder="1" applyAlignment="1" applyProtection="1">
      <alignment horizontal="center"/>
      <protection locked="0"/>
    </xf>
    <xf numFmtId="0" fontId="2" fillId="9" borderId="3" xfId="0" applyFont="1" applyFill="1" applyBorder="1" applyAlignment="1" applyProtection="1">
      <alignment horizontal="center"/>
      <protection locked="0"/>
    </xf>
    <xf numFmtId="0" fontId="2" fillId="9" borderId="4" xfId="0" applyFont="1" applyFill="1" applyBorder="1" applyAlignment="1" applyProtection="1">
      <alignment horizontal="center"/>
      <protection locked="0"/>
    </xf>
    <xf numFmtId="14" fontId="2" fillId="9" borderId="2" xfId="0" quotePrefix="1" applyNumberFormat="1" applyFont="1" applyFill="1" applyBorder="1" applyAlignment="1" applyProtection="1">
      <alignment horizontal="center"/>
      <protection locked="0"/>
    </xf>
    <xf numFmtId="44" fontId="0" fillId="6" borderId="3" xfId="1" applyFont="1" applyFill="1" applyBorder="1" applyAlignment="1">
      <alignment horizontal="center"/>
    </xf>
    <xf numFmtId="44" fontId="0" fillId="6" borderId="4" xfId="1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0" fillId="0" borderId="30" xfId="0" applyBorder="1" applyAlignment="1">
      <alignment horizontal="center"/>
    </xf>
    <xf numFmtId="0" fontId="0" fillId="0" borderId="42" xfId="0" applyBorder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9" borderId="28" xfId="0" applyFont="1" applyFill="1" applyBorder="1" applyAlignment="1" applyProtection="1">
      <alignment horizontal="center"/>
      <protection locked="0"/>
    </xf>
    <xf numFmtId="0" fontId="2" fillId="9" borderId="5" xfId="0" applyFont="1" applyFill="1" applyBorder="1" applyAlignment="1" applyProtection="1">
      <alignment horizontal="center"/>
      <protection locked="0"/>
    </xf>
    <xf numFmtId="0" fontId="2" fillId="9" borderId="3" xfId="0" quotePrefix="1" applyFont="1" applyFill="1" applyBorder="1" applyAlignment="1" applyProtection="1">
      <alignment horizontal="center"/>
      <protection locked="0"/>
    </xf>
    <xf numFmtId="14" fontId="2" fillId="9" borderId="3" xfId="0" quotePrefix="1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>
      <alignment horizontal="right"/>
    </xf>
    <xf numFmtId="2" fontId="2" fillId="7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8" xfId="0" applyFont="1" applyBorder="1" applyAlignment="1">
      <alignment horizontal="left"/>
    </xf>
    <xf numFmtId="44" fontId="2" fillId="0" borderId="28" xfId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(&quot;$&quot;* #,##0.00_);_(&quot;$&quot;* \(#,##0.00\);_(&quot;$&quot;* &quot;-&quot;??_);_(@_)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(&quot;$&quot;* #,##0.00_);_(&quot;$&quot;* \(#,##0.00\);_(&quot;$&quot;* &quot;-&quot;??_);_(@_)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Arial"/>
        <scheme val="none"/>
      </font>
      <fill>
        <patternFill patternType="solid">
          <fgColor rgb="FF000000"/>
          <bgColor rgb="FF000000"/>
        </patternFill>
      </fill>
      <alignment horizontal="center" vertical="bottom" textRotation="0" wrapText="1" indent="0" justifyLastLine="0" shrinkToFit="0" readingOrder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DE3C1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2AB0BC-AC5E-45B4-9529-F571E62D5F6A}" name="Table1" displayName="Table1" ref="A2:I171" totalsRowShown="0" headerRowDxfId="10" dataDxfId="9">
  <tableColumns count="9">
    <tableColumn id="1" xr3:uid="{CA0CBD59-58EA-4A7A-A14D-12A3E1EC57ED}" name="Item Code" dataDxfId="8"/>
    <tableColumn id="2" xr3:uid="{46F3BA0F-E1E8-4BB9-90A9-4FB6332FE0FB}" name="Description" dataDxfId="7"/>
    <tableColumn id="3" xr3:uid="{E6008509-654B-4E1B-9036-EE59C8EDA4E4}" name="Unit" dataDxfId="6"/>
    <tableColumn id="4" xr3:uid="{65D0D6D3-AED4-4FD1-B2AC-644CF485F8FA}" name="Material" dataDxfId="5"/>
    <tableColumn id="5" xr3:uid="{D58533E7-621E-4EE1-9ABA-94BDB2F16B45}" name="Retail" dataDxfId="4" dataCellStyle="Currency"/>
    <tableColumn id="6" xr3:uid="{DB444FC6-CA4D-4D9C-B289-05C3D186FAF8}" name="60% Discount" dataDxfId="3">
      <calculatedColumnFormula>((Table1[[#This Row],[Retail]]*0.4)*$M$1)+$M$2</calculatedColumnFormula>
    </tableColumn>
    <tableColumn id="7" xr3:uid="{CAB03D21-DEDC-4D49-BB52-690992631FCF}" name="Retail2" dataDxfId="2">
      <calculatedColumnFormula>Table1[[#This Row],[Retail]]*0.95</calculatedColumnFormula>
    </tableColumn>
    <tableColumn id="8" xr3:uid="{2448D304-43A0-42AA-A340-E3CA85A30E96}" name="Builder" dataDxfId="1">
      <calculatedColumnFormula>Table1[[#This Row],[Retail]]*0.85</calculatedColumnFormula>
    </tableColumn>
    <tableColumn id="9" xr3:uid="{E670C983-9DBB-4816-A5DA-116E61CEE29F}" name="Wholesale" dataDxfId="0">
      <calculatedColumnFormula>Table1[[#This Row],[Retail]]*0.8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F2F33-D4A4-4A47-A71F-ACDD692C0F52}">
  <sheetPr codeName="Sheet12">
    <pageSetUpPr fitToPage="1"/>
  </sheetPr>
  <dimension ref="A1:H62"/>
  <sheetViews>
    <sheetView topLeftCell="A3" zoomScale="90" zoomScaleNormal="90" workbookViewId="0">
      <selection activeCell="M36" sqref="M36"/>
    </sheetView>
  </sheetViews>
  <sheetFormatPr defaultRowHeight="15"/>
  <cols>
    <col min="1" max="1" width="42.85546875" customWidth="1"/>
    <col min="2" max="2" width="1.85546875" customWidth="1"/>
    <col min="3" max="3" width="11.5703125" style="2" customWidth="1"/>
    <col min="4" max="4" width="16.7109375" style="2" customWidth="1"/>
    <col min="5" max="5" width="2" customWidth="1"/>
    <col min="6" max="6" width="10.28515625" customWidth="1"/>
    <col min="7" max="7" width="14.85546875" style="42" customWidth="1"/>
    <col min="8" max="8" width="1.5703125" customWidth="1"/>
  </cols>
  <sheetData>
    <row r="1" spans="1:8" ht="15.75">
      <c r="A1" s="195" t="s">
        <v>0</v>
      </c>
      <c r="C1" s="303" t="s">
        <v>1</v>
      </c>
      <c r="D1" s="303"/>
      <c r="F1" s="303" t="s">
        <v>2</v>
      </c>
      <c r="G1" s="303"/>
    </row>
    <row r="2" spans="1:8">
      <c r="C2" s="2" t="s">
        <v>3</v>
      </c>
      <c r="D2" s="2" t="s">
        <v>4</v>
      </c>
      <c r="F2" s="2" t="s">
        <v>3</v>
      </c>
      <c r="G2" s="42" t="s">
        <v>4</v>
      </c>
    </row>
    <row r="3" spans="1:8">
      <c r="A3" s="254" t="s">
        <v>5</v>
      </c>
      <c r="C3" s="2">
        <v>1</v>
      </c>
      <c r="D3" s="42">
        <v>6.625</v>
      </c>
      <c r="F3" s="2">
        <v>22</v>
      </c>
      <c r="G3" s="42">
        <v>20.375</v>
      </c>
      <c r="H3" s="94"/>
    </row>
    <row r="4" spans="1:8">
      <c r="A4" s="1"/>
      <c r="C4" s="2">
        <v>2</v>
      </c>
      <c r="D4" s="42">
        <v>8.5</v>
      </c>
      <c r="F4" s="2">
        <v>23</v>
      </c>
      <c r="G4" s="42">
        <v>21.25</v>
      </c>
      <c r="H4" s="94"/>
    </row>
    <row r="5" spans="1:8">
      <c r="A5" t="s">
        <v>6</v>
      </c>
      <c r="C5" s="2">
        <v>3</v>
      </c>
      <c r="D5" s="42">
        <v>10.375</v>
      </c>
      <c r="F5" s="2">
        <v>24</v>
      </c>
      <c r="G5" s="42">
        <v>22.125</v>
      </c>
      <c r="H5" s="94"/>
    </row>
    <row r="6" spans="1:8">
      <c r="A6" s="89" t="s">
        <v>7</v>
      </c>
      <c r="C6" s="2">
        <v>4</v>
      </c>
      <c r="D6" s="42">
        <v>12.25</v>
      </c>
      <c r="F6" s="2">
        <v>25</v>
      </c>
      <c r="G6" s="42">
        <v>23</v>
      </c>
      <c r="H6" s="94"/>
    </row>
    <row r="7" spans="1:8">
      <c r="A7" s="89" t="s">
        <v>8</v>
      </c>
      <c r="C7" s="2">
        <v>5</v>
      </c>
      <c r="D7" s="42">
        <v>14.125</v>
      </c>
      <c r="F7" s="2">
        <v>26</v>
      </c>
      <c r="G7" s="42">
        <v>23.875</v>
      </c>
      <c r="H7" s="94"/>
    </row>
    <row r="8" spans="1:8">
      <c r="A8" t="s">
        <v>9</v>
      </c>
      <c r="C8" s="2">
        <v>6</v>
      </c>
      <c r="D8" s="42">
        <v>16</v>
      </c>
      <c r="F8" s="2">
        <v>27</v>
      </c>
      <c r="G8" s="42">
        <v>24.8125</v>
      </c>
      <c r="H8" s="94"/>
    </row>
    <row r="9" spans="1:8">
      <c r="A9" t="s">
        <v>10</v>
      </c>
      <c r="C9" s="2">
        <v>7</v>
      </c>
      <c r="D9" s="42">
        <v>17.875</v>
      </c>
      <c r="F9" s="2">
        <v>28</v>
      </c>
      <c r="G9" s="42">
        <v>25.6875</v>
      </c>
      <c r="H9" s="94"/>
    </row>
    <row r="10" spans="1:8">
      <c r="A10" t="s">
        <v>11</v>
      </c>
      <c r="C10" s="2">
        <v>8</v>
      </c>
      <c r="D10" s="42">
        <v>19.75</v>
      </c>
      <c r="F10" s="2">
        <v>29</v>
      </c>
      <c r="G10" s="42">
        <v>26.5625</v>
      </c>
      <c r="H10" s="94"/>
    </row>
    <row r="11" spans="1:8">
      <c r="C11" s="2">
        <v>9</v>
      </c>
      <c r="D11" s="42">
        <v>21.625</v>
      </c>
      <c r="F11" s="2">
        <v>30</v>
      </c>
      <c r="G11" s="42">
        <v>27.4375</v>
      </c>
      <c r="H11" s="94"/>
    </row>
    <row r="12" spans="1:8">
      <c r="A12" t="s">
        <v>12</v>
      </c>
      <c r="C12" s="2">
        <v>10</v>
      </c>
      <c r="D12" s="42">
        <v>23.5</v>
      </c>
      <c r="F12" s="2">
        <v>31</v>
      </c>
      <c r="G12" s="42">
        <v>28.3125</v>
      </c>
      <c r="H12" s="94"/>
    </row>
    <row r="13" spans="1:8">
      <c r="A13" s="89" t="s">
        <v>13</v>
      </c>
      <c r="C13" s="2">
        <v>11</v>
      </c>
      <c r="D13" s="42">
        <v>25.375</v>
      </c>
      <c r="F13" s="2">
        <v>32</v>
      </c>
      <c r="G13" s="42">
        <v>29.1875</v>
      </c>
      <c r="H13" s="94"/>
    </row>
    <row r="14" spans="1:8">
      <c r="A14" t="s">
        <v>8</v>
      </c>
      <c r="C14" s="2">
        <v>12</v>
      </c>
      <c r="D14" s="42">
        <v>27.25</v>
      </c>
      <c r="F14" s="2">
        <v>33</v>
      </c>
      <c r="G14" s="42">
        <v>30.0625</v>
      </c>
      <c r="H14" s="94"/>
    </row>
    <row r="15" spans="1:8">
      <c r="A15" t="s">
        <v>14</v>
      </c>
      <c r="C15" s="2">
        <v>13</v>
      </c>
      <c r="D15" s="42">
        <v>29.125</v>
      </c>
      <c r="F15" s="2">
        <v>34</v>
      </c>
      <c r="G15" s="42">
        <v>30.9375</v>
      </c>
      <c r="H15" s="94"/>
    </row>
    <row r="16" spans="1:8">
      <c r="A16" t="s">
        <v>10</v>
      </c>
      <c r="C16" s="2">
        <v>14</v>
      </c>
      <c r="D16" s="42">
        <v>31</v>
      </c>
      <c r="F16" s="2">
        <v>35</v>
      </c>
      <c r="G16" s="42">
        <v>31.8125</v>
      </c>
      <c r="H16" s="94"/>
    </row>
    <row r="17" spans="1:8">
      <c r="A17" t="s">
        <v>15</v>
      </c>
      <c r="C17" s="2">
        <v>15</v>
      </c>
      <c r="D17" s="42">
        <v>32.875</v>
      </c>
      <c r="F17" s="2">
        <v>36</v>
      </c>
      <c r="G17" s="42">
        <v>32.75</v>
      </c>
      <c r="H17" s="94"/>
    </row>
    <row r="18" spans="1:8">
      <c r="C18" s="2">
        <v>16</v>
      </c>
      <c r="D18" s="42">
        <v>34.75</v>
      </c>
      <c r="F18" s="2">
        <v>37</v>
      </c>
      <c r="G18" s="42">
        <v>33.625</v>
      </c>
      <c r="H18" s="94"/>
    </row>
    <row r="19" spans="1:8">
      <c r="A19" s="254" t="s">
        <v>16</v>
      </c>
      <c r="C19" s="2">
        <v>17</v>
      </c>
      <c r="D19" s="42">
        <v>36.625</v>
      </c>
      <c r="F19" s="2">
        <v>38</v>
      </c>
      <c r="G19" s="42">
        <v>34.5</v>
      </c>
      <c r="H19" s="94"/>
    </row>
    <row r="20" spans="1:8">
      <c r="C20" s="2">
        <v>18</v>
      </c>
      <c r="D20" s="42">
        <v>38.5</v>
      </c>
      <c r="F20" s="2">
        <v>39</v>
      </c>
      <c r="G20" s="42">
        <v>35.375</v>
      </c>
      <c r="H20" s="94"/>
    </row>
    <row r="21" spans="1:8">
      <c r="A21" s="89" t="s">
        <v>17</v>
      </c>
      <c r="C21" s="2">
        <v>19</v>
      </c>
      <c r="D21" s="42">
        <v>40.375</v>
      </c>
      <c r="F21" s="2">
        <v>40</v>
      </c>
      <c r="G21" s="42">
        <v>36.25</v>
      </c>
      <c r="H21" s="94"/>
    </row>
    <row r="22" spans="1:8">
      <c r="A22" t="s">
        <v>18</v>
      </c>
      <c r="C22" s="2">
        <v>20</v>
      </c>
      <c r="D22" s="42">
        <v>42.25</v>
      </c>
      <c r="F22" s="2">
        <v>41</v>
      </c>
      <c r="G22" s="42">
        <v>37.125</v>
      </c>
      <c r="H22" s="94"/>
    </row>
    <row r="23" spans="1:8">
      <c r="A23" t="s">
        <v>19</v>
      </c>
      <c r="C23" s="2">
        <v>21</v>
      </c>
      <c r="D23" s="42">
        <v>44.125</v>
      </c>
      <c r="F23" s="2">
        <v>42</v>
      </c>
      <c r="G23" s="42">
        <v>38</v>
      </c>
      <c r="H23" s="94"/>
    </row>
    <row r="24" spans="1:8">
      <c r="A24" t="s">
        <v>20</v>
      </c>
      <c r="C24" s="2">
        <v>22</v>
      </c>
      <c r="D24" s="42">
        <v>46</v>
      </c>
      <c r="F24" s="2">
        <v>43</v>
      </c>
      <c r="G24" s="42">
        <v>38.875</v>
      </c>
      <c r="H24" s="94"/>
    </row>
    <row r="25" spans="1:8">
      <c r="C25" s="2">
        <v>23</v>
      </c>
      <c r="D25" s="42">
        <v>47.875</v>
      </c>
      <c r="F25" s="2">
        <v>44</v>
      </c>
      <c r="G25" s="42">
        <v>39.75</v>
      </c>
      <c r="H25" s="94"/>
    </row>
    <row r="26" spans="1:8">
      <c r="A26" s="254" t="s">
        <v>21</v>
      </c>
      <c r="C26" s="2">
        <v>24</v>
      </c>
      <c r="D26" s="42">
        <v>49.75</v>
      </c>
      <c r="F26" s="2">
        <v>45</v>
      </c>
      <c r="G26" s="42">
        <v>40.6875</v>
      </c>
      <c r="H26" s="94"/>
    </row>
    <row r="27" spans="1:8">
      <c r="A27" t="s">
        <v>22</v>
      </c>
      <c r="C27" s="2">
        <v>25</v>
      </c>
      <c r="D27" s="42">
        <v>51.625</v>
      </c>
      <c r="F27" s="2">
        <v>46</v>
      </c>
      <c r="G27" s="42">
        <v>41.5625</v>
      </c>
      <c r="H27" s="94"/>
    </row>
    <row r="28" spans="1:8">
      <c r="A28" t="s">
        <v>23</v>
      </c>
      <c r="C28" s="2">
        <v>26</v>
      </c>
      <c r="D28" s="42">
        <v>53.5</v>
      </c>
      <c r="F28" s="2">
        <v>47</v>
      </c>
      <c r="G28" s="42">
        <v>42.4375</v>
      </c>
      <c r="H28" s="94"/>
    </row>
    <row r="29" spans="1:8">
      <c r="A29" t="s">
        <v>24</v>
      </c>
      <c r="C29" s="2">
        <v>27</v>
      </c>
      <c r="D29" s="42">
        <v>55.375</v>
      </c>
      <c r="F29" s="2">
        <v>48</v>
      </c>
      <c r="G29" s="42">
        <v>43.3125</v>
      </c>
      <c r="H29" s="94"/>
    </row>
    <row r="30" spans="1:8">
      <c r="A30" t="s">
        <v>25</v>
      </c>
      <c r="C30" s="2">
        <v>28</v>
      </c>
      <c r="D30" s="42">
        <v>57.25</v>
      </c>
      <c r="F30" s="2">
        <v>49</v>
      </c>
      <c r="G30" s="42">
        <v>44.1875</v>
      </c>
      <c r="H30" s="94"/>
    </row>
    <row r="31" spans="1:8">
      <c r="A31" t="s">
        <v>26</v>
      </c>
      <c r="C31" s="2">
        <v>29</v>
      </c>
      <c r="D31" s="42">
        <v>59.125</v>
      </c>
      <c r="F31" s="2">
        <v>50</v>
      </c>
      <c r="G31" s="42">
        <v>45.0625</v>
      </c>
      <c r="H31" s="94"/>
    </row>
    <row r="32" spans="1:8">
      <c r="A32" t="s">
        <v>27</v>
      </c>
      <c r="C32" s="2">
        <v>30</v>
      </c>
      <c r="D32" s="42">
        <v>61</v>
      </c>
      <c r="F32" s="2">
        <v>51</v>
      </c>
      <c r="G32" s="42">
        <v>45.9375</v>
      </c>
      <c r="H32" s="94"/>
    </row>
    <row r="33" spans="1:8">
      <c r="A33" t="s">
        <v>28</v>
      </c>
      <c r="C33" s="2">
        <v>31</v>
      </c>
      <c r="D33" s="42">
        <v>62.875</v>
      </c>
      <c r="F33" s="2">
        <v>52</v>
      </c>
      <c r="G33" s="42">
        <v>46.8125</v>
      </c>
      <c r="H33" s="94"/>
    </row>
    <row r="34" spans="1:8">
      <c r="A34" t="s">
        <v>29</v>
      </c>
      <c r="C34" s="2">
        <v>32</v>
      </c>
      <c r="D34" s="42">
        <v>64.75</v>
      </c>
      <c r="F34" s="2">
        <v>53</v>
      </c>
      <c r="G34" s="42">
        <v>47.6875</v>
      </c>
      <c r="H34" s="94"/>
    </row>
    <row r="35" spans="1:8">
      <c r="C35" s="2">
        <v>33</v>
      </c>
      <c r="D35" s="42">
        <v>66.625</v>
      </c>
      <c r="F35" s="2">
        <v>54</v>
      </c>
      <c r="G35" s="42">
        <v>48.625</v>
      </c>
      <c r="H35" s="94"/>
    </row>
    <row r="36" spans="1:8">
      <c r="A36" s="254" t="s">
        <v>30</v>
      </c>
      <c r="C36" s="2">
        <v>34</v>
      </c>
      <c r="D36" s="42">
        <v>68.5</v>
      </c>
      <c r="F36" s="2">
        <v>55</v>
      </c>
      <c r="G36" s="42">
        <v>49.5</v>
      </c>
      <c r="H36" s="94"/>
    </row>
    <row r="37" spans="1:8">
      <c r="C37" s="2">
        <v>35</v>
      </c>
      <c r="D37" s="42">
        <v>70.375</v>
      </c>
      <c r="F37" s="2">
        <v>56</v>
      </c>
      <c r="G37" s="42">
        <v>50.375</v>
      </c>
      <c r="H37" s="94"/>
    </row>
    <row r="38" spans="1:8">
      <c r="A38" t="s">
        <v>31</v>
      </c>
      <c r="C38" s="2">
        <v>36</v>
      </c>
      <c r="D38" s="42">
        <v>72.25</v>
      </c>
      <c r="F38" s="2">
        <v>57</v>
      </c>
      <c r="G38" s="42">
        <v>51.25</v>
      </c>
      <c r="H38" s="94"/>
    </row>
    <row r="39" spans="1:8">
      <c r="A39" t="s">
        <v>32</v>
      </c>
      <c r="C39" s="2">
        <v>37</v>
      </c>
      <c r="D39" s="42">
        <v>74.125</v>
      </c>
      <c r="F39" s="2">
        <v>58</v>
      </c>
      <c r="G39" s="42">
        <v>52.125</v>
      </c>
      <c r="H39" s="94"/>
    </row>
    <row r="40" spans="1:8">
      <c r="A40" t="s">
        <v>33</v>
      </c>
      <c r="C40" s="2">
        <v>38</v>
      </c>
      <c r="D40" s="42">
        <v>76</v>
      </c>
      <c r="F40" s="2">
        <v>59</v>
      </c>
      <c r="G40" s="42">
        <v>53</v>
      </c>
      <c r="H40" s="94"/>
    </row>
    <row r="41" spans="1:8">
      <c r="C41" s="2">
        <v>39</v>
      </c>
      <c r="D41" s="42">
        <v>77.875</v>
      </c>
      <c r="F41" s="2">
        <v>60</v>
      </c>
      <c r="G41" s="42">
        <v>53.875</v>
      </c>
      <c r="H41" s="94"/>
    </row>
    <row r="42" spans="1:8">
      <c r="C42" s="2">
        <v>40</v>
      </c>
      <c r="D42" s="42">
        <v>79.75</v>
      </c>
      <c r="F42" s="2">
        <v>61</v>
      </c>
      <c r="G42" s="42">
        <v>54.75</v>
      </c>
      <c r="H42" s="94"/>
    </row>
    <row r="43" spans="1:8">
      <c r="C43" s="2">
        <v>41</v>
      </c>
      <c r="D43" s="42">
        <v>81.625</v>
      </c>
      <c r="F43" s="2">
        <v>62</v>
      </c>
      <c r="G43" s="42">
        <v>55.625</v>
      </c>
      <c r="H43" s="94"/>
    </row>
    <row r="44" spans="1:8">
      <c r="C44" s="2">
        <v>42</v>
      </c>
      <c r="D44" s="42">
        <v>83.5</v>
      </c>
      <c r="F44" s="2">
        <v>63</v>
      </c>
      <c r="G44" s="42">
        <v>56.5625</v>
      </c>
      <c r="H44" s="94"/>
    </row>
    <row r="45" spans="1:8">
      <c r="C45" s="2">
        <v>43</v>
      </c>
      <c r="D45" s="42">
        <v>85.375</v>
      </c>
      <c r="F45" s="2">
        <v>64</v>
      </c>
      <c r="G45" s="42">
        <v>57.4375</v>
      </c>
      <c r="H45" s="94"/>
    </row>
    <row r="46" spans="1:8">
      <c r="C46" s="2">
        <v>44</v>
      </c>
      <c r="D46" s="42">
        <v>87.25</v>
      </c>
      <c r="F46" s="2">
        <v>65</v>
      </c>
      <c r="G46" s="42">
        <v>58.3125</v>
      </c>
      <c r="H46" s="94"/>
    </row>
    <row r="47" spans="1:8">
      <c r="C47" s="2">
        <v>45</v>
      </c>
      <c r="D47" s="42">
        <v>89.125</v>
      </c>
      <c r="F47" s="2">
        <v>66</v>
      </c>
      <c r="G47" s="42">
        <v>59.1875</v>
      </c>
      <c r="H47" s="94"/>
    </row>
    <row r="48" spans="1:8">
      <c r="C48" s="2">
        <v>46</v>
      </c>
      <c r="D48" s="42">
        <v>91</v>
      </c>
      <c r="F48" s="2">
        <v>67</v>
      </c>
      <c r="G48" s="42">
        <v>60.0625</v>
      </c>
      <c r="H48" s="94"/>
    </row>
    <row r="49" spans="3:8">
      <c r="C49" s="2">
        <v>47</v>
      </c>
      <c r="D49" s="42">
        <v>92.875</v>
      </c>
      <c r="F49" s="2">
        <v>68</v>
      </c>
      <c r="G49" s="42">
        <v>60.9375</v>
      </c>
      <c r="H49" s="94"/>
    </row>
    <row r="50" spans="3:8">
      <c r="C50" s="2">
        <v>48</v>
      </c>
      <c r="D50" s="42">
        <v>94.75</v>
      </c>
      <c r="F50" s="2">
        <v>69</v>
      </c>
      <c r="G50" s="42">
        <v>61.8125</v>
      </c>
      <c r="H50" s="94"/>
    </row>
    <row r="51" spans="3:8">
      <c r="C51" s="2">
        <v>49</v>
      </c>
      <c r="D51" s="42">
        <v>96.625</v>
      </c>
      <c r="F51" s="2">
        <v>70</v>
      </c>
      <c r="G51" s="42">
        <v>62.6875</v>
      </c>
      <c r="H51" s="94"/>
    </row>
    <row r="52" spans="3:8">
      <c r="F52" s="2">
        <v>71</v>
      </c>
      <c r="G52" s="42">
        <v>63.5625</v>
      </c>
      <c r="H52" s="94"/>
    </row>
    <row r="53" spans="3:8">
      <c r="F53" s="2">
        <v>72</v>
      </c>
      <c r="G53" s="42">
        <v>64.5</v>
      </c>
      <c r="H53" s="94"/>
    </row>
    <row r="54" spans="3:8">
      <c r="F54" s="2">
        <v>73</v>
      </c>
      <c r="G54" s="42">
        <v>65.375</v>
      </c>
      <c r="H54" s="94"/>
    </row>
    <row r="55" spans="3:8">
      <c r="F55" s="2">
        <v>74</v>
      </c>
      <c r="G55" s="42">
        <v>66.25</v>
      </c>
      <c r="H55" s="94"/>
    </row>
    <row r="56" spans="3:8">
      <c r="F56" s="2">
        <v>75</v>
      </c>
      <c r="G56" s="42">
        <v>67.125</v>
      </c>
      <c r="H56" s="94"/>
    </row>
    <row r="57" spans="3:8">
      <c r="F57" s="2">
        <v>76</v>
      </c>
      <c r="G57" s="42">
        <v>68</v>
      </c>
      <c r="H57" s="94"/>
    </row>
    <row r="58" spans="3:8">
      <c r="F58" s="2">
        <v>77</v>
      </c>
      <c r="G58" s="42">
        <v>68.875</v>
      </c>
      <c r="H58" s="94"/>
    </row>
    <row r="59" spans="3:8">
      <c r="F59" s="2">
        <v>78</v>
      </c>
      <c r="G59" s="42">
        <v>69.75</v>
      </c>
      <c r="H59" s="94"/>
    </row>
    <row r="60" spans="3:8">
      <c r="F60" s="2">
        <v>79</v>
      </c>
      <c r="G60" s="42">
        <v>70.625</v>
      </c>
      <c r="H60" s="94"/>
    </row>
    <row r="61" spans="3:8">
      <c r="F61" s="2">
        <v>80</v>
      </c>
      <c r="G61" s="42">
        <v>71.5</v>
      </c>
      <c r="H61" s="94"/>
    </row>
    <row r="62" spans="3:8">
      <c r="F62" s="2"/>
    </row>
  </sheetData>
  <sheetProtection algorithmName="SHA-512" hashValue="8/vx1ZhH6N2vo30fZDocEfMiiilCCgZmboS+NSPSSyD8fAARGOo7pbuY8u349UJ4a/WkY6pY0fwHbtXCvAOl1w==" saltValue="AUBjetIxO3CkqUKjBiIlyA==" spinCount="100000" sheet="1" objects="1" scenarios="1"/>
  <mergeCells count="2">
    <mergeCell ref="C1:D1"/>
    <mergeCell ref="F1:G1"/>
  </mergeCells>
  <pageMargins left="0.7" right="0.7" top="0.75" bottom="0.75" header="0.3" footer="0.3"/>
  <pageSetup scale="74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491-71CF-423D-A545-27281DC3EB07}">
  <sheetPr codeName="Sheet7">
    <tabColor rgb="FF92D050"/>
    <pageSetUpPr fitToPage="1"/>
  </sheetPr>
  <dimension ref="A1:GI261"/>
  <sheetViews>
    <sheetView topLeftCell="A2" zoomScale="80" zoomScaleNormal="80" zoomScaleSheetLayoutView="80" workbookViewId="0">
      <selection activeCell="B8" sqref="B8"/>
    </sheetView>
  </sheetViews>
  <sheetFormatPr defaultRowHeight="15"/>
  <cols>
    <col min="1" max="1" width="32.85546875" style="2" bestFit="1" customWidth="1"/>
    <col min="2" max="2" width="25.42578125" customWidth="1"/>
    <col min="3" max="3" width="10.85546875" bestFit="1" customWidth="1"/>
    <col min="4" max="4" width="19.28515625" bestFit="1" customWidth="1"/>
    <col min="5" max="5" width="14.28515625" bestFit="1" customWidth="1"/>
    <col min="6" max="6" width="11.28515625" bestFit="1" customWidth="1"/>
    <col min="7" max="7" width="20.140625" style="2" customWidth="1"/>
    <col min="8" max="8" width="9.28515625" style="2" bestFit="1" customWidth="1"/>
    <col min="9" max="9" width="17" style="2" bestFit="1" customWidth="1"/>
    <col min="10" max="10" width="9.85546875" style="2" bestFit="1" customWidth="1"/>
    <col min="11" max="12" width="9.28515625" style="2" bestFit="1" customWidth="1"/>
    <col min="13" max="13" width="21.42578125" style="2" customWidth="1"/>
    <col min="14" max="14" width="9.28515625" style="2" bestFit="1" customWidth="1"/>
    <col min="15" max="15" width="12.140625" style="2" bestFit="1" customWidth="1"/>
    <col min="16" max="16" width="9.28515625" style="2" bestFit="1" customWidth="1"/>
    <col min="17" max="17" width="12" style="2" bestFit="1" customWidth="1"/>
    <col min="18" max="18" width="9.42578125" style="2" bestFit="1" customWidth="1"/>
    <col min="19" max="21" width="9.28515625" style="2" bestFit="1" customWidth="1"/>
    <col min="22" max="22" width="10.28515625" style="2" bestFit="1" customWidth="1"/>
    <col min="23" max="23" width="12.140625" style="2" bestFit="1" customWidth="1"/>
    <col min="24" max="24" width="12.28515625" style="2" bestFit="1" customWidth="1"/>
    <col min="25" max="25" width="10.85546875" style="2" bestFit="1" customWidth="1"/>
    <col min="26" max="26" width="10.28515625" style="2" bestFit="1" customWidth="1"/>
    <col min="27" max="27" width="12" style="2" bestFit="1" customWidth="1"/>
    <col min="28" max="28" width="11.28515625" style="2" bestFit="1" customWidth="1"/>
    <col min="29" max="36" width="10.28515625" style="2" bestFit="1" customWidth="1"/>
    <col min="37" max="159" width="10.28515625" bestFit="1" customWidth="1"/>
    <col min="160" max="191" width="11.42578125" bestFit="1" customWidth="1"/>
  </cols>
  <sheetData>
    <row r="1" spans="1:29" s="212" customFormat="1" ht="32.450000000000003" customHeight="1">
      <c r="A1" s="210" t="s">
        <v>34</v>
      </c>
      <c r="B1" s="312">
        <f ca="1">TODAY()</f>
        <v>45344</v>
      </c>
      <c r="C1" s="312"/>
      <c r="D1" s="312"/>
      <c r="E1" s="312"/>
      <c r="F1" s="211" t="s">
        <v>35</v>
      </c>
      <c r="G1" s="334">
        <f ca="1">NOW()</f>
        <v>45344.343286689815</v>
      </c>
      <c r="H1" s="334"/>
      <c r="I1" s="285"/>
    </row>
    <row r="2" spans="1:29" s="212" customFormat="1" ht="30" customHeight="1" thickBot="1">
      <c r="A2" s="313" t="s">
        <v>36</v>
      </c>
      <c r="B2" s="313"/>
      <c r="C2" s="313"/>
      <c r="D2" s="313"/>
      <c r="E2" s="313"/>
      <c r="F2" s="313"/>
      <c r="G2" s="313"/>
      <c r="H2" s="313"/>
      <c r="I2" s="313"/>
      <c r="J2" s="313"/>
      <c r="X2" s="28" t="s">
        <v>37</v>
      </c>
      <c r="Y2" s="28" t="s">
        <v>38</v>
      </c>
      <c r="Z2" s="28" t="s">
        <v>39</v>
      </c>
      <c r="AA2" s="28" t="s">
        <v>40</v>
      </c>
      <c r="AB2" s="28" t="s">
        <v>41</v>
      </c>
      <c r="AC2" s="28" t="s">
        <v>42</v>
      </c>
    </row>
    <row r="3" spans="1:29" s="212" customFormat="1" ht="21.6" customHeight="1" thickTop="1" thickBot="1">
      <c r="A3" s="327" t="s">
        <v>43</v>
      </c>
      <c r="B3" s="328"/>
      <c r="C3" s="328"/>
      <c r="D3" s="328"/>
      <c r="E3" s="328"/>
      <c r="F3" s="328"/>
      <c r="G3" s="328"/>
      <c r="H3" s="328"/>
      <c r="I3" s="328"/>
      <c r="J3" s="329"/>
      <c r="X3" s="28"/>
      <c r="Y3" s="28"/>
      <c r="Z3" s="28"/>
      <c r="AA3" s="28"/>
      <c r="AB3" s="28"/>
      <c r="AC3" s="28"/>
    </row>
    <row r="4" spans="1:29" s="212" customFormat="1" ht="21.6" customHeight="1" thickTop="1" thickBot="1">
      <c r="A4" s="327" t="s">
        <v>44</v>
      </c>
      <c r="B4" s="328"/>
      <c r="C4" s="328"/>
      <c r="D4" s="328"/>
      <c r="E4" s="328"/>
      <c r="F4" s="328"/>
      <c r="G4" s="328"/>
      <c r="H4" s="328"/>
      <c r="I4" s="328"/>
      <c r="J4" s="329"/>
      <c r="O4" s="294">
        <v>7</v>
      </c>
      <c r="X4" s="28"/>
      <c r="Y4" s="28"/>
      <c r="Z4" s="28"/>
      <c r="AA4" s="28"/>
      <c r="AB4" s="28"/>
      <c r="AC4" s="28"/>
    </row>
    <row r="5" spans="1:29" s="212" customFormat="1" ht="21.6" customHeight="1" thickTop="1" thickBot="1">
      <c r="A5" s="327" t="s">
        <v>45</v>
      </c>
      <c r="B5" s="328"/>
      <c r="C5" s="328"/>
      <c r="D5" s="328"/>
      <c r="E5" s="328"/>
      <c r="F5" s="328"/>
      <c r="G5" s="328"/>
      <c r="H5" s="328"/>
      <c r="I5" s="328"/>
      <c r="J5" s="329"/>
      <c r="N5" s="211" t="s">
        <v>46</v>
      </c>
      <c r="O5" s="338">
        <f>((B8+B10+B11+B12+B13+3)*O4)+((B20+B21)*O4*1.2)+((B28+B29)*O4)</f>
        <v>164.5</v>
      </c>
      <c r="P5" s="339"/>
      <c r="X5" s="28"/>
      <c r="Y5" s="28"/>
      <c r="Z5" s="28"/>
      <c r="AA5" s="28"/>
      <c r="AB5" s="28"/>
      <c r="AC5" s="28"/>
    </row>
    <row r="6" spans="1:29" s="212" customFormat="1" ht="30" customHeight="1" thickTop="1" thickBot="1">
      <c r="A6" s="8" t="s">
        <v>47</v>
      </c>
      <c r="B6" t="e">
        <f ca="1">CELL("filenAME")</f>
        <v>#VALUE!</v>
      </c>
      <c r="C6"/>
      <c r="D6"/>
      <c r="E6"/>
      <c r="F6"/>
      <c r="G6"/>
      <c r="H6"/>
      <c r="I6"/>
      <c r="J6"/>
      <c r="K6" s="211"/>
      <c r="L6" s="213"/>
      <c r="M6" s="211"/>
      <c r="N6" s="211"/>
      <c r="O6" s="211"/>
      <c r="P6" s="211"/>
      <c r="R6" s="211"/>
      <c r="S6" s="211"/>
      <c r="T6" s="211"/>
      <c r="U6" s="211"/>
      <c r="X6" s="28"/>
      <c r="Y6" s="28"/>
      <c r="Z6" s="28"/>
      <c r="AA6" s="28"/>
      <c r="AB6" s="28"/>
      <c r="AC6" s="28"/>
    </row>
    <row r="7" spans="1:29" ht="16.5" thickTop="1" thickBot="1">
      <c r="A7" s="254" t="s">
        <v>48</v>
      </c>
      <c r="B7" s="298">
        <v>2020</v>
      </c>
      <c r="C7" s="342" t="s">
        <v>49</v>
      </c>
      <c r="D7" s="343"/>
      <c r="E7" s="343"/>
      <c r="F7" s="343"/>
      <c r="G7" s="343"/>
      <c r="H7" s="343"/>
      <c r="I7" s="254"/>
      <c r="J7" s="254"/>
      <c r="K7" s="337" t="s">
        <v>50</v>
      </c>
      <c r="L7" s="337"/>
    </row>
    <row r="8" spans="1:29" ht="16.5" thickTop="1">
      <c r="A8" s="2" t="s">
        <v>51</v>
      </c>
      <c r="B8" s="102">
        <v>4.5</v>
      </c>
      <c r="C8" t="s">
        <v>52</v>
      </c>
      <c r="E8" t="s">
        <v>53</v>
      </c>
      <c r="F8" s="152">
        <f>IF(AND(B8="",B10=""),0,INDEX(G66:GI66,MATCH(B16,G34:GI34,0)))</f>
        <v>40.5</v>
      </c>
      <c r="G8" s="29" t="s">
        <v>54</v>
      </c>
      <c r="H8" s="299" t="s">
        <v>55</v>
      </c>
      <c r="I8" s="214"/>
      <c r="J8" s="301"/>
      <c r="K8" s="330">
        <f>IF(AND(B7=1720,B18="",B20=""),SUM(F13:F20)*1,0)</f>
        <v>0</v>
      </c>
      <c r="L8" s="331"/>
      <c r="M8" s="213" t="s">
        <v>56</v>
      </c>
    </row>
    <row r="9" spans="1:29" ht="15.75">
      <c r="A9" s="254" t="s">
        <v>57</v>
      </c>
      <c r="B9" s="193"/>
      <c r="C9" t="s">
        <v>52</v>
      </c>
      <c r="F9" s="152"/>
      <c r="G9" s="29"/>
      <c r="H9" s="299" t="s">
        <v>58</v>
      </c>
      <c r="I9" s="216"/>
      <c r="J9" s="301"/>
      <c r="K9" s="335">
        <f>IF(AND(B7=1111,B18="", B23=""),SUM(F13:F20)*1.1,0)</f>
        <v>0</v>
      </c>
      <c r="L9" s="336"/>
      <c r="M9" s="213" t="s">
        <v>59</v>
      </c>
    </row>
    <row r="10" spans="1:29" ht="15.75">
      <c r="A10" s="2" t="s">
        <v>60</v>
      </c>
      <c r="B10" s="102">
        <v>8</v>
      </c>
      <c r="C10" t="s">
        <v>52</v>
      </c>
      <c r="F10" s="152"/>
      <c r="H10" s="299" t="s">
        <v>61</v>
      </c>
      <c r="I10" s="216"/>
      <c r="J10" s="215"/>
      <c r="K10" s="335">
        <f>IF(AND(B7=2020,B18="",B23=""),SUM(F13:F20)*1.15,0)</f>
        <v>745.19999999999993</v>
      </c>
      <c r="L10" s="336"/>
      <c r="M10" s="213" t="s">
        <v>62</v>
      </c>
    </row>
    <row r="11" spans="1:29" ht="15.75">
      <c r="A11" s="2" t="s">
        <v>63</v>
      </c>
      <c r="B11" s="102">
        <v>8</v>
      </c>
      <c r="C11" t="s">
        <v>52</v>
      </c>
      <c r="F11" s="152"/>
      <c r="H11" s="299" t="s">
        <v>64</v>
      </c>
      <c r="I11" s="216"/>
      <c r="J11" s="215"/>
      <c r="K11" s="340">
        <f>IF(OR(B7=2222,B7=2020,B7=1720,B18&lt;&gt;""),SUM(F13:F20),0)</f>
        <v>648</v>
      </c>
      <c r="L11" s="341"/>
      <c r="M11" s="213" t="s">
        <v>65</v>
      </c>
    </row>
    <row r="12" spans="1:29" ht="16.5" thickBot="1">
      <c r="A12" s="2" t="s">
        <v>66</v>
      </c>
      <c r="B12" s="102"/>
      <c r="C12" t="s">
        <v>52</v>
      </c>
      <c r="F12" s="152"/>
      <c r="H12" s="299" t="s">
        <v>67</v>
      </c>
      <c r="J12" s="181"/>
      <c r="K12" s="340" cm="1">
        <f t="array" ref="K12">IF(AND(B7=3333,B18=""),SUM(F14:F21*1.25),0)</f>
        <v>0</v>
      </c>
      <c r="L12" s="341"/>
      <c r="M12" s="213" t="s">
        <v>68</v>
      </c>
    </row>
    <row r="13" spans="1:29" ht="16.5" thickTop="1">
      <c r="A13" s="2" t="s">
        <v>69</v>
      </c>
      <c r="B13" s="102"/>
      <c r="C13" t="s">
        <v>52</v>
      </c>
      <c r="E13" t="s">
        <v>70</v>
      </c>
      <c r="F13" s="208">
        <f>(B9*B16*Parts!M51)*2.5</f>
        <v>0</v>
      </c>
      <c r="J13" s="217"/>
      <c r="K13" s="348"/>
      <c r="L13" s="348"/>
      <c r="M13" s="213"/>
    </row>
    <row r="14" spans="1:29" ht="15.75">
      <c r="A14" s="2" t="s">
        <v>71</v>
      </c>
      <c r="B14" s="102"/>
      <c r="C14" t="s">
        <v>72</v>
      </c>
      <c r="E14" t="s">
        <v>73</v>
      </c>
      <c r="F14" s="208">
        <f>IF(AND(B16&gt;0,B7&lt;&gt;""),INDEX(G70:GI70,MATCH(B16,G34:GI34)),"")</f>
        <v>648</v>
      </c>
      <c r="G14" s="29" t="s">
        <v>74</v>
      </c>
      <c r="I14"/>
      <c r="K14" s="194"/>
      <c r="L14" s="194"/>
      <c r="M14" s="213"/>
      <c r="Q14" s="1"/>
    </row>
    <row r="15" spans="1:29" ht="15.75" thickBot="1">
      <c r="A15" s="2" t="s">
        <v>75</v>
      </c>
      <c r="B15" s="153"/>
      <c r="C15" t="s">
        <v>72</v>
      </c>
      <c r="E15" t="s">
        <v>76</v>
      </c>
      <c r="F15" s="208">
        <f>IF(B14=B8&gt;0,(B14*L78*1.6)+IF(B15&gt;0,(B15+M78*1.6),0))</f>
        <v>0</v>
      </c>
      <c r="I15" s="2" t="s">
        <v>77</v>
      </c>
      <c r="O15" s="29" t="s">
        <v>78</v>
      </c>
      <c r="Q15" s="301"/>
      <c r="R15" s="1"/>
      <c r="S15" s="1"/>
      <c r="T15" s="1"/>
    </row>
    <row r="16" spans="1:29" ht="16.5" thickTop="1" thickBot="1">
      <c r="A16" s="2" t="s">
        <v>79</v>
      </c>
      <c r="B16" s="220">
        <f>B10+B11+B12+B13</f>
        <v>16</v>
      </c>
      <c r="C16" t="s">
        <v>80</v>
      </c>
      <c r="E16" t="s">
        <v>81</v>
      </c>
      <c r="F16" s="208">
        <f>IF(B18="",0,INDEX(U20:AB27,MATCH(B19,O21:O28,0),MATCH(B18,U18:AB18,0))*B22*1.6)</f>
        <v>0</v>
      </c>
      <c r="G16" s="29" t="s">
        <v>82</v>
      </c>
      <c r="J16"/>
      <c r="K16" s="346">
        <f>IF(B17=0,0,IF(B17=7,0.01,IF(B17=7.5,0.01,IF(B17=8,0.03,IF(B17=8.5,0.03,IF(B17=9,0.05, IF(B17=9.5, 0.08, IF(B17&gt;9.5,0.08,0))))))))</f>
        <v>0.05</v>
      </c>
      <c r="L16" s="347"/>
      <c r="M16" s="218" t="s">
        <v>83</v>
      </c>
      <c r="N16" s="219"/>
      <c r="O16" s="219"/>
      <c r="P16" s="219"/>
      <c r="Q16" s="302"/>
      <c r="R16" s="222"/>
      <c r="S16" s="222"/>
      <c r="T16" s="29"/>
    </row>
    <row r="17" spans="1:28" ht="15.75" thickTop="1">
      <c r="A17" s="2" t="s">
        <v>73</v>
      </c>
      <c r="B17" s="332">
        <v>9</v>
      </c>
      <c r="C17" s="333">
        <v>9</v>
      </c>
      <c r="D17" t="s">
        <v>84</v>
      </c>
      <c r="E17" s="111" t="s">
        <v>85</v>
      </c>
      <c r="F17" s="209">
        <f>IF(B24&gt;0,INDEX(U7:AB20,MATCH(B24,O21:O28,0),MATCH(B23,U18:AB18,0))*B27,0)</f>
        <v>0</v>
      </c>
      <c r="G17" s="223" t="s">
        <v>86</v>
      </c>
      <c r="M17" s="221" t="s">
        <v>87</v>
      </c>
      <c r="N17" s="221"/>
      <c r="O17" s="221"/>
      <c r="P17" s="221"/>
      <c r="T17"/>
      <c r="U17" s="303" t="s">
        <v>88</v>
      </c>
      <c r="V17" s="303"/>
      <c r="W17" s="303"/>
      <c r="X17" s="303"/>
      <c r="Y17" s="303" t="s">
        <v>89</v>
      </c>
      <c r="Z17" s="303"/>
      <c r="AA17" s="303"/>
      <c r="AB17" s="303"/>
    </row>
    <row r="18" spans="1:28">
      <c r="A18" s="2" t="s">
        <v>90</v>
      </c>
      <c r="B18" s="344"/>
      <c r="C18" s="345" t="s">
        <v>91</v>
      </c>
      <c r="E18" t="s">
        <v>92</v>
      </c>
      <c r="F18" s="224">
        <f>B28*E28</f>
        <v>0</v>
      </c>
      <c r="G18" s="30"/>
      <c r="H18" s="30"/>
      <c r="I18" s="2" t="s">
        <v>93</v>
      </c>
      <c r="J18" s="2" t="s">
        <v>94</v>
      </c>
      <c r="K18" s="2" t="s">
        <v>95</v>
      </c>
      <c r="O18" s="29"/>
      <c r="Q18" s="2" t="s">
        <v>96</v>
      </c>
      <c r="U18" s="2" t="s">
        <v>97</v>
      </c>
      <c r="V18" s="2" t="s">
        <v>98</v>
      </c>
      <c r="W18" s="2" t="s">
        <v>99</v>
      </c>
      <c r="X18" s="2" t="s">
        <v>100</v>
      </c>
      <c r="Y18" s="2" t="s">
        <v>91</v>
      </c>
      <c r="Z18" s="2" t="s">
        <v>101</v>
      </c>
      <c r="AA18" s="2" t="s">
        <v>102</v>
      </c>
      <c r="AB18" s="2" t="s">
        <v>103</v>
      </c>
    </row>
    <row r="19" spans="1:28">
      <c r="A19" s="2" t="s">
        <v>104</v>
      </c>
      <c r="B19" s="310"/>
      <c r="C19" s="311"/>
      <c r="E19" t="s">
        <v>105</v>
      </c>
      <c r="F19" s="224">
        <f>B29*E29</f>
        <v>0</v>
      </c>
      <c r="G19" s="30"/>
      <c r="H19" s="30"/>
      <c r="I19" s="2">
        <v>7</v>
      </c>
      <c r="J19" s="2">
        <v>30.5</v>
      </c>
      <c r="Q19" s="2">
        <v>0.58899999999999997</v>
      </c>
      <c r="R19" s="2" t="s">
        <v>106</v>
      </c>
      <c r="S19" s="2" t="s">
        <v>107</v>
      </c>
      <c r="T19" s="2" t="s">
        <v>108</v>
      </c>
      <c r="U19" s="2" t="s">
        <v>109</v>
      </c>
      <c r="V19" s="2" t="s">
        <v>109</v>
      </c>
      <c r="W19" s="2" t="s">
        <v>109</v>
      </c>
      <c r="X19" s="2" t="s">
        <v>109</v>
      </c>
      <c r="Y19" s="2" t="s">
        <v>109</v>
      </c>
      <c r="Z19" s="2" t="s">
        <v>109</v>
      </c>
      <c r="AA19" s="2" t="s">
        <v>109</v>
      </c>
      <c r="AB19" s="2" t="s">
        <v>109</v>
      </c>
    </row>
    <row r="20" spans="1:28">
      <c r="A20" s="2" t="s">
        <v>110</v>
      </c>
      <c r="B20" s="318"/>
      <c r="C20" s="319"/>
      <c r="D20" t="s">
        <v>52</v>
      </c>
      <c r="E20" t="s">
        <v>111</v>
      </c>
      <c r="F20" s="224">
        <f>B30*E30</f>
        <v>0</v>
      </c>
      <c r="G20" s="30"/>
      <c r="H20" s="30"/>
      <c r="I20" s="2">
        <v>6</v>
      </c>
      <c r="J20" s="2">
        <v>26.7</v>
      </c>
      <c r="K20" s="349" t="s">
        <v>112</v>
      </c>
      <c r="L20" s="350"/>
      <c r="M20" s="350"/>
      <c r="N20" s="351"/>
      <c r="O20" s="2" t="s">
        <v>93</v>
      </c>
      <c r="P20" s="2" t="s">
        <v>94</v>
      </c>
      <c r="Q20" s="2">
        <v>0.503</v>
      </c>
      <c r="R20" s="2">
        <f t="shared" ref="R20:R27" si="0">($B$26*Q19)+1</f>
        <v>1</v>
      </c>
      <c r="S20" s="2">
        <f>$B$25+2</f>
        <v>2</v>
      </c>
      <c r="T20" s="2">
        <f>$B$26+1</f>
        <v>1</v>
      </c>
      <c r="U20" s="2">
        <f>IF($B$25&gt;0,($B$25+1)*($B$26+2),0)</f>
        <v>0</v>
      </c>
      <c r="V20" s="92">
        <f>IF(S20&gt;2,(S20)*SQRT(($T$20*$T$20)+(R20*R20))+1,0)</f>
        <v>0</v>
      </c>
      <c r="W20" s="2" t="s">
        <v>113</v>
      </c>
      <c r="X20" s="92">
        <f>(($B$26+1)*(SQRT((($B$25/2)*($B$25/2))+(R20*R20))+1))*2</f>
        <v>4</v>
      </c>
      <c r="Y20" s="2">
        <f>$B$20*$B$21</f>
        <v>0</v>
      </c>
      <c r="Z20" s="92">
        <f t="shared" ref="Z20:Z27" si="1">($B$20)*SQRT(($B$21*$B$21)+(R20*R20))</f>
        <v>0</v>
      </c>
      <c r="AA20" s="2">
        <f>$B$21*$B$20*1.24</f>
        <v>0</v>
      </c>
      <c r="AB20" s="92">
        <f t="shared" ref="AB20:AB27" si="2">(($B$21)*(SQRT((($B$20/2)*($B$20/2))+(R20*R20))))*2</f>
        <v>0</v>
      </c>
    </row>
    <row r="21" spans="1:28" ht="15.75" thickBot="1">
      <c r="A21" s="2" t="s">
        <v>114</v>
      </c>
      <c r="B21" s="320"/>
      <c r="C21" s="309"/>
      <c r="D21" t="s">
        <v>52</v>
      </c>
      <c r="G21" s="30"/>
      <c r="H21" s="30"/>
      <c r="I21" s="2">
        <v>5</v>
      </c>
      <c r="J21" s="2">
        <v>22.5</v>
      </c>
      <c r="K21" s="352"/>
      <c r="L21" s="353"/>
      <c r="M21" s="353"/>
      <c r="N21" s="354"/>
      <c r="O21" s="2">
        <v>7</v>
      </c>
      <c r="P21" s="2">
        <v>30.5</v>
      </c>
      <c r="Q21" s="2">
        <v>0.41420000000000001</v>
      </c>
      <c r="R21" s="2">
        <f t="shared" si="0"/>
        <v>1</v>
      </c>
      <c r="S21" s="2">
        <f t="shared" ref="S21:S27" si="3">$B$25+2</f>
        <v>2</v>
      </c>
      <c r="T21" s="2">
        <f t="shared" ref="T21:T27" si="4">$B$26+1</f>
        <v>1</v>
      </c>
      <c r="U21" s="2">
        <f t="shared" ref="U21:U27" si="5">IF($B$25&gt;0,($B$25+1)*($B$26+2),0)</f>
        <v>0</v>
      </c>
      <c r="V21" s="92">
        <f t="shared" ref="V21:V27" si="6">IF(S21&gt;2,(S21)*SQRT(($T$20*$T$20)+(R21*R21))+1,0)</f>
        <v>0</v>
      </c>
      <c r="W21" s="2" t="s">
        <v>113</v>
      </c>
      <c r="X21" s="92">
        <f t="shared" ref="X21:X27" si="7">(($B$26+1)*(SQRT((($B$25/2)*($B$25/2))+(R21*R21))+1))*2</f>
        <v>4</v>
      </c>
      <c r="Y21" s="2">
        <f t="shared" ref="Y21:Y27" si="8">$B$20*$B$21</f>
        <v>0</v>
      </c>
      <c r="Z21" s="92">
        <f t="shared" si="1"/>
        <v>0</v>
      </c>
      <c r="AA21" s="2">
        <f t="shared" ref="AA21:AA27" si="9">$B$21*$B$20*1.24</f>
        <v>0</v>
      </c>
      <c r="AB21" s="92">
        <f t="shared" si="2"/>
        <v>0</v>
      </c>
    </row>
    <row r="22" spans="1:28" ht="16.5" thickTop="1" thickBot="1">
      <c r="A22" s="2" t="s">
        <v>115</v>
      </c>
      <c r="B22" s="316">
        <f>IF(B17=7,C49,IF(B17=7.5,C50,IF(B17=8,C51,IF(B17=8.5,C52,IF(B17=9,C53,IF(B17=9.5,C54,IF(B17=10,C55,IF(B17=10.5,C56,IF(B17=11,C57,IF(B17=11.5,C58,IF(B17=12,C59,IF(B17=12.5,C60,IF(B17=13,C61,IF(B17=13.5,C62,IF(B17=14,C63,IF(B17=14.5,C64,0))))))))))))))))</f>
        <v>11</v>
      </c>
      <c r="C22" s="317"/>
      <c r="D22" t="s">
        <v>84</v>
      </c>
      <c r="G22" s="30"/>
      <c r="H22" s="30"/>
      <c r="I22" s="2">
        <v>4</v>
      </c>
      <c r="J22" s="2">
        <v>18.5</v>
      </c>
      <c r="K22" s="352"/>
      <c r="L22" s="353"/>
      <c r="M22" s="353"/>
      <c r="N22" s="354"/>
      <c r="O22" s="2">
        <v>6</v>
      </c>
      <c r="P22" s="2">
        <v>26.7</v>
      </c>
      <c r="Q22" s="2">
        <v>0.33460000000000001</v>
      </c>
      <c r="R22" s="2">
        <f t="shared" si="0"/>
        <v>1</v>
      </c>
      <c r="S22" s="2">
        <f t="shared" si="3"/>
        <v>2</v>
      </c>
      <c r="T22" s="2">
        <f t="shared" si="4"/>
        <v>1</v>
      </c>
      <c r="U22" s="2">
        <f t="shared" si="5"/>
        <v>0</v>
      </c>
      <c r="V22" s="92">
        <f t="shared" si="6"/>
        <v>0</v>
      </c>
      <c r="W22" s="2" t="s">
        <v>113</v>
      </c>
      <c r="X22" s="92">
        <f t="shared" si="7"/>
        <v>4</v>
      </c>
      <c r="Y22" s="2">
        <f t="shared" si="8"/>
        <v>0</v>
      </c>
      <c r="Z22" s="92">
        <f t="shared" si="1"/>
        <v>0</v>
      </c>
      <c r="AA22" s="2">
        <f t="shared" si="9"/>
        <v>0</v>
      </c>
      <c r="AB22" s="92">
        <f t="shared" si="2"/>
        <v>0</v>
      </c>
    </row>
    <row r="23" spans="1:28" ht="15.75" thickTop="1">
      <c r="A23" s="225" t="s">
        <v>90</v>
      </c>
      <c r="B23" s="321"/>
      <c r="C23" s="322"/>
      <c r="G23" s="30"/>
      <c r="H23" s="30"/>
      <c r="I23" s="2">
        <v>3</v>
      </c>
      <c r="J23" s="2">
        <v>14</v>
      </c>
      <c r="K23" s="355"/>
      <c r="L23" s="353"/>
      <c r="M23" s="353"/>
      <c r="N23" s="354"/>
      <c r="O23" s="2">
        <v>5</v>
      </c>
      <c r="P23" s="2">
        <v>22.5</v>
      </c>
      <c r="Q23" s="2">
        <v>0.24929999999999999</v>
      </c>
      <c r="R23" s="2">
        <f t="shared" si="0"/>
        <v>1</v>
      </c>
      <c r="S23" s="2">
        <f t="shared" si="3"/>
        <v>2</v>
      </c>
      <c r="T23" s="2">
        <f t="shared" si="4"/>
        <v>1</v>
      </c>
      <c r="U23" s="2">
        <f t="shared" si="5"/>
        <v>0</v>
      </c>
      <c r="V23" s="92">
        <f t="shared" si="6"/>
        <v>0</v>
      </c>
      <c r="W23" s="2" t="s">
        <v>113</v>
      </c>
      <c r="X23" s="92">
        <f t="shared" si="7"/>
        <v>4</v>
      </c>
      <c r="Y23" s="2">
        <f t="shared" si="8"/>
        <v>0</v>
      </c>
      <c r="Z23" s="92">
        <f t="shared" si="1"/>
        <v>0</v>
      </c>
      <c r="AA23" s="2">
        <f t="shared" si="9"/>
        <v>0</v>
      </c>
      <c r="AB23" s="92">
        <f t="shared" si="2"/>
        <v>0</v>
      </c>
    </row>
    <row r="24" spans="1:28">
      <c r="A24" s="225" t="s">
        <v>104</v>
      </c>
      <c r="B24" s="323"/>
      <c r="C24" s="324"/>
      <c r="G24" s="30"/>
      <c r="H24" s="30"/>
      <c r="I24" s="2">
        <v>2</v>
      </c>
      <c r="J24" s="2">
        <v>9.5</v>
      </c>
      <c r="K24" s="352"/>
      <c r="L24" s="353"/>
      <c r="M24" s="353"/>
      <c r="N24" s="354"/>
      <c r="O24" s="2">
        <v>4</v>
      </c>
      <c r="P24" s="2">
        <v>18.5</v>
      </c>
      <c r="Q24" s="2">
        <v>0.1673</v>
      </c>
      <c r="R24" s="2">
        <f t="shared" si="0"/>
        <v>1</v>
      </c>
      <c r="S24" s="2">
        <f t="shared" si="3"/>
        <v>2</v>
      </c>
      <c r="T24" s="2">
        <f t="shared" si="4"/>
        <v>1</v>
      </c>
      <c r="U24" s="2">
        <f t="shared" si="5"/>
        <v>0</v>
      </c>
      <c r="V24" s="92">
        <f t="shared" si="6"/>
        <v>0</v>
      </c>
      <c r="W24" s="2" t="s">
        <v>113</v>
      </c>
      <c r="X24" s="92">
        <f t="shared" si="7"/>
        <v>4</v>
      </c>
      <c r="Y24" s="2">
        <f t="shared" si="8"/>
        <v>0</v>
      </c>
      <c r="Z24" s="92">
        <f t="shared" si="1"/>
        <v>0</v>
      </c>
      <c r="AA24" s="2">
        <f t="shared" si="9"/>
        <v>0</v>
      </c>
      <c r="AB24" s="92">
        <f t="shared" si="2"/>
        <v>0</v>
      </c>
    </row>
    <row r="25" spans="1:28">
      <c r="A25" s="225" t="s">
        <v>116</v>
      </c>
      <c r="B25" s="325"/>
      <c r="C25" s="326"/>
      <c r="G25" s="226"/>
      <c r="H25" s="226"/>
      <c r="I25" s="2">
        <v>1</v>
      </c>
      <c r="J25" s="2">
        <v>4.5</v>
      </c>
      <c r="K25" s="352"/>
      <c r="L25" s="353"/>
      <c r="M25" s="353"/>
      <c r="N25" s="354"/>
      <c r="O25" s="2">
        <v>3</v>
      </c>
      <c r="P25" s="2">
        <v>14</v>
      </c>
      <c r="Q25" s="2">
        <v>7.8700000000000006E-2</v>
      </c>
      <c r="R25" s="2">
        <f t="shared" si="0"/>
        <v>1</v>
      </c>
      <c r="S25" s="2">
        <f t="shared" si="3"/>
        <v>2</v>
      </c>
      <c r="T25" s="2">
        <f t="shared" si="4"/>
        <v>1</v>
      </c>
      <c r="U25" s="2">
        <f t="shared" si="5"/>
        <v>0</v>
      </c>
      <c r="V25" s="92">
        <f t="shared" si="6"/>
        <v>0</v>
      </c>
      <c r="W25" s="2" t="s">
        <v>113</v>
      </c>
      <c r="X25" s="92">
        <f t="shared" si="7"/>
        <v>4</v>
      </c>
      <c r="Y25" s="2">
        <f t="shared" si="8"/>
        <v>0</v>
      </c>
      <c r="Z25" s="92">
        <f t="shared" si="1"/>
        <v>0</v>
      </c>
      <c r="AA25" s="2">
        <f t="shared" si="9"/>
        <v>0</v>
      </c>
      <c r="AB25" s="92">
        <f t="shared" si="2"/>
        <v>0</v>
      </c>
    </row>
    <row r="26" spans="1:28" ht="15.75" thickBot="1">
      <c r="A26" s="225" t="s">
        <v>117</v>
      </c>
      <c r="B26" s="314"/>
      <c r="C26" s="315"/>
      <c r="I26" s="2">
        <v>0</v>
      </c>
      <c r="J26" s="2">
        <v>0</v>
      </c>
      <c r="K26" s="352"/>
      <c r="L26" s="353"/>
      <c r="M26" s="353"/>
      <c r="N26" s="354"/>
      <c r="O26" s="2">
        <v>2</v>
      </c>
      <c r="P26" s="2">
        <v>9.5</v>
      </c>
      <c r="Q26" s="2">
        <v>0</v>
      </c>
      <c r="R26" s="2">
        <f t="shared" si="0"/>
        <v>1</v>
      </c>
      <c r="S26" s="2">
        <f t="shared" si="3"/>
        <v>2</v>
      </c>
      <c r="T26" s="2">
        <f t="shared" si="4"/>
        <v>1</v>
      </c>
      <c r="U26" s="2">
        <f t="shared" si="5"/>
        <v>0</v>
      </c>
      <c r="V26" s="92">
        <f t="shared" si="6"/>
        <v>0</v>
      </c>
      <c r="W26" s="2" t="s">
        <v>113</v>
      </c>
      <c r="X26" s="92">
        <f t="shared" si="7"/>
        <v>4</v>
      </c>
      <c r="Y26" s="2">
        <f t="shared" si="8"/>
        <v>0</v>
      </c>
      <c r="Z26" s="92">
        <f t="shared" si="1"/>
        <v>0</v>
      </c>
      <c r="AA26" s="2">
        <f t="shared" si="9"/>
        <v>0</v>
      </c>
      <c r="AB26" s="92">
        <f t="shared" si="2"/>
        <v>0</v>
      </c>
    </row>
    <row r="27" spans="1:28" ht="16.5" thickTop="1" thickBot="1">
      <c r="A27" s="2" t="s">
        <v>118</v>
      </c>
      <c r="B27" s="316">
        <v>60</v>
      </c>
      <c r="C27" s="317"/>
      <c r="D27" t="s">
        <v>84</v>
      </c>
      <c r="K27" s="352"/>
      <c r="L27" s="353"/>
      <c r="M27" s="353"/>
      <c r="N27" s="354"/>
      <c r="O27" s="2">
        <v>1</v>
      </c>
      <c r="P27" s="2">
        <v>4.5</v>
      </c>
      <c r="R27" s="2">
        <f t="shared" si="0"/>
        <v>1</v>
      </c>
      <c r="S27" s="2">
        <f t="shared" si="3"/>
        <v>2</v>
      </c>
      <c r="T27" s="2">
        <f t="shared" si="4"/>
        <v>1</v>
      </c>
      <c r="U27" s="2">
        <f t="shared" si="5"/>
        <v>0</v>
      </c>
      <c r="V27" s="92">
        <f t="shared" si="6"/>
        <v>0</v>
      </c>
      <c r="W27" s="2" t="s">
        <v>113</v>
      </c>
      <c r="X27" s="92">
        <f t="shared" si="7"/>
        <v>4</v>
      </c>
      <c r="Y27" s="2">
        <f t="shared" si="8"/>
        <v>0</v>
      </c>
      <c r="Z27" s="92">
        <f t="shared" si="1"/>
        <v>0</v>
      </c>
      <c r="AA27" s="2">
        <f t="shared" si="9"/>
        <v>0</v>
      </c>
      <c r="AB27" s="92">
        <f t="shared" si="2"/>
        <v>0</v>
      </c>
    </row>
    <row r="28" spans="1:28" ht="15.75" thickTop="1">
      <c r="A28" s="2" t="s">
        <v>119</v>
      </c>
      <c r="B28" s="304"/>
      <c r="C28" s="305"/>
      <c r="D28" t="s">
        <v>79</v>
      </c>
      <c r="E28" s="5">
        <f>Parts!V154</f>
        <v>20.205166500000004</v>
      </c>
      <c r="K28" s="352"/>
      <c r="L28" s="353"/>
      <c r="M28" s="353"/>
      <c r="N28" s="354"/>
      <c r="O28" s="2">
        <v>0</v>
      </c>
      <c r="P28" s="2">
        <v>0</v>
      </c>
    </row>
    <row r="29" spans="1:28">
      <c r="A29" s="2" t="s">
        <v>120</v>
      </c>
      <c r="B29" s="306"/>
      <c r="C29" s="307"/>
      <c r="D29" t="s">
        <v>79</v>
      </c>
      <c r="E29" s="5">
        <f>Parts!V155</f>
        <v>41.390352000000007</v>
      </c>
      <c r="K29" s="352"/>
      <c r="L29" s="353"/>
      <c r="M29" s="353"/>
      <c r="N29" s="354"/>
    </row>
    <row r="30" spans="1:28" ht="15.75" thickBot="1">
      <c r="A30" s="2" t="s">
        <v>121</v>
      </c>
      <c r="B30" s="308"/>
      <c r="C30" s="309"/>
      <c r="D30" t="s">
        <v>122</v>
      </c>
      <c r="E30" s="5">
        <f>Parts!R156+Parts!R157+Parts!R158</f>
        <v>25.211482000000004</v>
      </c>
      <c r="K30" s="352"/>
      <c r="L30" s="353"/>
      <c r="M30" s="353"/>
      <c r="N30" s="354"/>
    </row>
    <row r="31" spans="1:28" ht="15.75" thickTop="1">
      <c r="K31" s="295"/>
      <c r="L31" s="295"/>
      <c r="M31" s="295"/>
      <c r="N31" s="295"/>
    </row>
    <row r="32" spans="1:28">
      <c r="G32" s="29"/>
      <c r="K32" s="297">
        <v>1720</v>
      </c>
      <c r="L32" s="297">
        <v>2020</v>
      </c>
      <c r="M32" s="297">
        <v>1111</v>
      </c>
      <c r="N32" s="297">
        <v>3333</v>
      </c>
      <c r="O32" s="92">
        <v>2222</v>
      </c>
    </row>
    <row r="33" spans="1:191">
      <c r="G33" s="29" t="s">
        <v>123</v>
      </c>
      <c r="K33" s="296">
        <f>Parts!M50</f>
        <v>0.34880000000000005</v>
      </c>
      <c r="L33" s="296">
        <f>Parts!M49</f>
        <v>0.47960000000000003</v>
      </c>
      <c r="M33" s="296">
        <f>Parts!M52</f>
        <v>0.83210600000000001</v>
      </c>
      <c r="N33" s="296">
        <v>1.2</v>
      </c>
      <c r="O33" s="300">
        <f>L33</f>
        <v>0.47960000000000003</v>
      </c>
    </row>
    <row r="34" spans="1:191" ht="15.75" thickBot="1">
      <c r="D34" s="2"/>
      <c r="G34" s="254">
        <v>1</v>
      </c>
      <c r="H34" s="254">
        <v>2</v>
      </c>
      <c r="I34" s="254">
        <v>3</v>
      </c>
      <c r="J34" s="254">
        <v>4</v>
      </c>
      <c r="K34" s="254">
        <v>5</v>
      </c>
      <c r="L34" s="254">
        <v>6</v>
      </c>
      <c r="M34" s="254">
        <v>7</v>
      </c>
      <c r="N34" s="254">
        <v>8</v>
      </c>
      <c r="O34" s="254">
        <v>9</v>
      </c>
      <c r="P34" s="254">
        <v>10</v>
      </c>
      <c r="Q34" s="254">
        <v>11</v>
      </c>
      <c r="R34" s="254">
        <v>12</v>
      </c>
      <c r="S34" s="254">
        <v>13</v>
      </c>
      <c r="T34" s="254">
        <v>14</v>
      </c>
      <c r="U34" s="254">
        <v>15</v>
      </c>
      <c r="V34" s="254">
        <v>16</v>
      </c>
      <c r="W34" s="254">
        <v>17</v>
      </c>
      <c r="X34" s="254">
        <v>18</v>
      </c>
      <c r="Y34" s="254">
        <v>19</v>
      </c>
      <c r="Z34" s="254">
        <v>20</v>
      </c>
      <c r="AA34" s="254">
        <v>21</v>
      </c>
      <c r="AB34" s="254">
        <v>22</v>
      </c>
      <c r="AC34" s="254">
        <v>23</v>
      </c>
      <c r="AD34" s="254">
        <v>24</v>
      </c>
      <c r="AE34" s="254">
        <v>25</v>
      </c>
      <c r="AF34" s="254">
        <v>26</v>
      </c>
      <c r="AG34" s="254">
        <v>27</v>
      </c>
      <c r="AH34" s="254">
        <v>28</v>
      </c>
      <c r="AI34" s="254">
        <v>29</v>
      </c>
      <c r="AJ34" s="254">
        <v>30</v>
      </c>
      <c r="AK34" s="254">
        <v>31</v>
      </c>
      <c r="AL34" s="254">
        <v>32</v>
      </c>
      <c r="AM34" s="254">
        <v>33</v>
      </c>
      <c r="AN34" s="254">
        <v>34</v>
      </c>
      <c r="AO34" s="254">
        <v>35</v>
      </c>
      <c r="AP34" s="254">
        <v>36</v>
      </c>
      <c r="AQ34" s="254">
        <v>37</v>
      </c>
      <c r="AR34" s="254">
        <v>38</v>
      </c>
      <c r="AS34" s="254">
        <v>39</v>
      </c>
      <c r="AT34" s="254">
        <v>40</v>
      </c>
      <c r="AU34" s="254">
        <v>41</v>
      </c>
      <c r="AV34" s="254">
        <v>42</v>
      </c>
      <c r="AW34" s="254">
        <v>43</v>
      </c>
      <c r="AX34" s="254">
        <v>44</v>
      </c>
      <c r="AY34" s="254">
        <v>45</v>
      </c>
      <c r="AZ34" s="254">
        <v>46</v>
      </c>
      <c r="BA34" s="254">
        <v>47</v>
      </c>
      <c r="BB34" s="254">
        <v>48</v>
      </c>
      <c r="BC34" s="254">
        <v>49</v>
      </c>
      <c r="BD34" s="254">
        <v>50</v>
      </c>
      <c r="BE34" s="254">
        <v>51</v>
      </c>
      <c r="BF34" s="254">
        <v>52</v>
      </c>
      <c r="BG34" s="254">
        <v>53</v>
      </c>
      <c r="BH34" s="254">
        <v>54</v>
      </c>
      <c r="BI34" s="254">
        <v>55</v>
      </c>
      <c r="BJ34" s="254">
        <v>56</v>
      </c>
      <c r="BK34" s="254">
        <v>57</v>
      </c>
      <c r="BL34" s="254">
        <v>58</v>
      </c>
      <c r="BM34" s="254">
        <v>59</v>
      </c>
      <c r="BN34" s="254">
        <v>60</v>
      </c>
      <c r="BO34" s="254">
        <v>61</v>
      </c>
      <c r="BP34" s="254">
        <v>62</v>
      </c>
      <c r="BQ34" s="254">
        <v>63</v>
      </c>
      <c r="BR34" s="254">
        <v>64</v>
      </c>
      <c r="BS34" s="254">
        <v>65</v>
      </c>
      <c r="BT34" s="254">
        <v>66</v>
      </c>
      <c r="BU34" s="254">
        <v>67</v>
      </c>
      <c r="BV34" s="254">
        <v>68</v>
      </c>
      <c r="BW34" s="254">
        <v>69</v>
      </c>
      <c r="BX34" s="254">
        <v>70</v>
      </c>
      <c r="BY34" s="254">
        <v>71</v>
      </c>
      <c r="BZ34" s="254">
        <v>72</v>
      </c>
      <c r="CA34" s="254">
        <v>73</v>
      </c>
      <c r="CB34" s="254">
        <v>74</v>
      </c>
      <c r="CC34" s="254">
        <v>75</v>
      </c>
      <c r="CD34" s="254">
        <v>76</v>
      </c>
      <c r="CE34" s="254">
        <v>77</v>
      </c>
      <c r="CF34" s="254">
        <v>78</v>
      </c>
      <c r="CG34" s="254">
        <v>79</v>
      </c>
      <c r="CH34" s="254">
        <v>80</v>
      </c>
      <c r="CI34" s="254">
        <v>81</v>
      </c>
      <c r="CJ34" s="254">
        <v>82</v>
      </c>
      <c r="CK34" s="254">
        <v>83</v>
      </c>
      <c r="CL34" s="254">
        <v>84</v>
      </c>
      <c r="CM34" s="254">
        <v>85</v>
      </c>
      <c r="CN34" s="254">
        <v>86</v>
      </c>
      <c r="CO34" s="254">
        <v>87</v>
      </c>
      <c r="CP34" s="254">
        <v>88</v>
      </c>
      <c r="CQ34" s="254">
        <v>89</v>
      </c>
      <c r="CR34" s="254">
        <v>90</v>
      </c>
      <c r="CS34" s="254">
        <v>91</v>
      </c>
      <c r="CT34" s="254">
        <v>92</v>
      </c>
      <c r="CU34" s="254">
        <v>93</v>
      </c>
      <c r="CV34" s="254">
        <v>94</v>
      </c>
      <c r="CW34" s="254">
        <v>95</v>
      </c>
      <c r="CX34" s="254">
        <v>96</v>
      </c>
      <c r="CY34" s="254">
        <v>97</v>
      </c>
      <c r="CZ34" s="254">
        <v>98</v>
      </c>
      <c r="DA34" s="254">
        <v>99</v>
      </c>
      <c r="DB34" s="254">
        <v>100</v>
      </c>
      <c r="DC34" s="254">
        <v>101</v>
      </c>
      <c r="DD34" s="254">
        <v>102</v>
      </c>
      <c r="DE34" s="254">
        <v>103</v>
      </c>
      <c r="DF34" s="254">
        <v>104</v>
      </c>
      <c r="DG34" s="254">
        <v>105</v>
      </c>
      <c r="DH34" s="254">
        <v>106</v>
      </c>
      <c r="DI34" s="254">
        <v>107</v>
      </c>
      <c r="DJ34" s="254">
        <v>108</v>
      </c>
      <c r="DK34" s="254">
        <v>109</v>
      </c>
      <c r="DL34" s="254">
        <v>110</v>
      </c>
      <c r="DM34" s="254">
        <v>111</v>
      </c>
      <c r="DN34" s="254">
        <v>112</v>
      </c>
      <c r="DO34" s="254">
        <v>113</v>
      </c>
      <c r="DP34" s="254">
        <v>114</v>
      </c>
      <c r="DQ34" s="254">
        <v>115</v>
      </c>
      <c r="DR34" s="254">
        <v>116</v>
      </c>
      <c r="DS34" s="254">
        <v>117</v>
      </c>
      <c r="DT34" s="254">
        <v>118</v>
      </c>
      <c r="DU34" s="254">
        <v>119</v>
      </c>
      <c r="DV34" s="254">
        <v>120</v>
      </c>
      <c r="DW34" s="254">
        <v>121</v>
      </c>
      <c r="DX34" s="254">
        <v>122</v>
      </c>
      <c r="DY34" s="254">
        <v>123</v>
      </c>
      <c r="DZ34" s="254">
        <v>124</v>
      </c>
      <c r="EA34" s="254">
        <v>125</v>
      </c>
      <c r="EB34" s="254">
        <v>126</v>
      </c>
      <c r="EC34" s="254">
        <v>127</v>
      </c>
      <c r="ED34" s="254">
        <v>128</v>
      </c>
      <c r="EE34" s="254">
        <v>129</v>
      </c>
      <c r="EF34" s="254">
        <v>130</v>
      </c>
      <c r="EG34" s="254">
        <v>131</v>
      </c>
      <c r="EH34" s="254">
        <v>132</v>
      </c>
      <c r="EI34" s="254">
        <v>133</v>
      </c>
      <c r="EJ34" s="254">
        <v>134</v>
      </c>
      <c r="EK34" s="254">
        <v>135</v>
      </c>
      <c r="EL34" s="254">
        <v>136</v>
      </c>
      <c r="EM34" s="254">
        <v>137</v>
      </c>
      <c r="EN34" s="254">
        <v>138</v>
      </c>
      <c r="EO34" s="254">
        <v>139</v>
      </c>
      <c r="EP34" s="254">
        <v>140</v>
      </c>
      <c r="EQ34" s="254">
        <v>141</v>
      </c>
      <c r="ER34" s="254">
        <v>142</v>
      </c>
      <c r="ES34" s="254">
        <v>143</v>
      </c>
      <c r="ET34" s="254">
        <v>144</v>
      </c>
      <c r="EU34" s="254">
        <v>145</v>
      </c>
      <c r="EV34" s="254">
        <v>146</v>
      </c>
      <c r="EW34" s="254">
        <v>147</v>
      </c>
      <c r="EX34" s="254">
        <v>148</v>
      </c>
      <c r="EY34" s="254">
        <v>149</v>
      </c>
      <c r="EZ34" s="254">
        <v>150</v>
      </c>
      <c r="FA34" s="254">
        <v>151</v>
      </c>
      <c r="FB34" s="254">
        <v>152</v>
      </c>
      <c r="FC34" s="254">
        <v>153</v>
      </c>
      <c r="FD34" s="254">
        <v>154</v>
      </c>
      <c r="FE34" s="254">
        <v>155</v>
      </c>
      <c r="FF34" s="254">
        <v>156</v>
      </c>
      <c r="FG34" s="254">
        <v>157</v>
      </c>
      <c r="FH34" s="254">
        <v>158</v>
      </c>
      <c r="FI34" s="254">
        <v>159</v>
      </c>
      <c r="FJ34" s="254">
        <v>160</v>
      </c>
      <c r="FK34" s="254">
        <v>161</v>
      </c>
      <c r="FL34" s="254">
        <v>162</v>
      </c>
      <c r="FM34" s="254">
        <v>163</v>
      </c>
      <c r="FN34" s="254">
        <v>164</v>
      </c>
      <c r="FO34" s="254">
        <v>165</v>
      </c>
      <c r="FP34" s="254">
        <v>166</v>
      </c>
      <c r="FQ34" s="254">
        <v>167</v>
      </c>
      <c r="FR34" s="254">
        <v>168</v>
      </c>
      <c r="FS34" s="254">
        <v>169</v>
      </c>
      <c r="FT34" s="254">
        <v>170</v>
      </c>
      <c r="FU34" s="254">
        <v>171</v>
      </c>
      <c r="FV34" s="254">
        <v>172</v>
      </c>
      <c r="FW34" s="254">
        <v>173</v>
      </c>
      <c r="FX34" s="254">
        <v>174</v>
      </c>
      <c r="FY34" s="254">
        <v>175</v>
      </c>
      <c r="FZ34" s="254">
        <v>176</v>
      </c>
      <c r="GA34" s="254">
        <v>177</v>
      </c>
      <c r="GB34" s="254">
        <v>178</v>
      </c>
      <c r="GC34" s="254">
        <v>179</v>
      </c>
      <c r="GD34" s="254">
        <v>180</v>
      </c>
      <c r="GE34" s="254">
        <v>181</v>
      </c>
      <c r="GF34" s="254">
        <v>182</v>
      </c>
      <c r="GG34" s="254">
        <v>183</v>
      </c>
      <c r="GH34" s="254">
        <v>184</v>
      </c>
      <c r="GI34" s="254">
        <v>185</v>
      </c>
    </row>
    <row r="35" spans="1:191" ht="15.75" thickBot="1">
      <c r="A35" s="227">
        <f>B8</f>
        <v>4.5</v>
      </c>
      <c r="C35" t="s">
        <v>124</v>
      </c>
      <c r="D35" s="94">
        <f>Parts!M56</f>
        <v>1.3843000000000001</v>
      </c>
      <c r="E35">
        <v>2</v>
      </c>
      <c r="G35" s="31">
        <f>$D$35*$E$35*G$34</f>
        <v>2.7686000000000002</v>
      </c>
      <c r="H35" s="31">
        <f>$D$35*$E$35*H$34</f>
        <v>5.5372000000000003</v>
      </c>
      <c r="I35" s="31">
        <f t="shared" ref="I35:BT35" si="10">$D$35*$E$35*I$34</f>
        <v>8.3058000000000014</v>
      </c>
      <c r="J35" s="31">
        <f t="shared" ref="J35:Q35" si="11">$D$35*$E$35*J$34</f>
        <v>11.074400000000001</v>
      </c>
      <c r="K35" s="31">
        <f t="shared" si="11"/>
        <v>13.843</v>
      </c>
      <c r="L35" s="31">
        <f t="shared" si="11"/>
        <v>16.611600000000003</v>
      </c>
      <c r="M35" s="31">
        <f t="shared" si="11"/>
        <v>19.380200000000002</v>
      </c>
      <c r="N35" s="31">
        <f t="shared" si="11"/>
        <v>22.148800000000001</v>
      </c>
      <c r="O35" s="31">
        <f t="shared" si="11"/>
        <v>24.917400000000001</v>
      </c>
      <c r="P35" s="31">
        <f t="shared" si="11"/>
        <v>27.686</v>
      </c>
      <c r="Q35" s="31">
        <f t="shared" si="11"/>
        <v>30.454600000000003</v>
      </c>
      <c r="R35" s="31">
        <f t="shared" si="10"/>
        <v>33.223200000000006</v>
      </c>
      <c r="S35" s="31">
        <f t="shared" si="10"/>
        <v>35.991800000000005</v>
      </c>
      <c r="T35" s="31">
        <f t="shared" si="10"/>
        <v>38.760400000000004</v>
      </c>
      <c r="U35" s="31">
        <f t="shared" si="10"/>
        <v>41.529000000000003</v>
      </c>
      <c r="V35" s="31">
        <f t="shared" si="10"/>
        <v>44.297600000000003</v>
      </c>
      <c r="W35" s="31">
        <f t="shared" si="10"/>
        <v>47.066200000000002</v>
      </c>
      <c r="X35" s="31">
        <f t="shared" si="10"/>
        <v>49.834800000000001</v>
      </c>
      <c r="Y35" s="31">
        <f t="shared" si="10"/>
        <v>52.603400000000001</v>
      </c>
      <c r="Z35" s="31">
        <f t="shared" si="10"/>
        <v>55.372</v>
      </c>
      <c r="AA35" s="31">
        <f t="shared" si="10"/>
        <v>58.140600000000006</v>
      </c>
      <c r="AB35" s="31">
        <f t="shared" si="10"/>
        <v>60.909200000000006</v>
      </c>
      <c r="AC35" s="31">
        <f t="shared" si="10"/>
        <v>63.677800000000005</v>
      </c>
      <c r="AD35" s="31">
        <f t="shared" si="10"/>
        <v>66.446400000000011</v>
      </c>
      <c r="AE35" s="31">
        <f t="shared" si="10"/>
        <v>69.215000000000003</v>
      </c>
      <c r="AF35" s="31">
        <f t="shared" si="10"/>
        <v>71.98360000000001</v>
      </c>
      <c r="AG35" s="31">
        <f t="shared" si="10"/>
        <v>74.752200000000002</v>
      </c>
      <c r="AH35" s="31">
        <f t="shared" si="10"/>
        <v>77.520800000000008</v>
      </c>
      <c r="AI35" s="31">
        <f t="shared" si="10"/>
        <v>80.289400000000001</v>
      </c>
      <c r="AJ35" s="31">
        <f t="shared" si="10"/>
        <v>83.058000000000007</v>
      </c>
      <c r="AK35" s="31">
        <f t="shared" si="10"/>
        <v>85.826599999999999</v>
      </c>
      <c r="AL35" s="31">
        <f t="shared" si="10"/>
        <v>88.595200000000006</v>
      </c>
      <c r="AM35" s="31">
        <f t="shared" si="10"/>
        <v>91.363800000000012</v>
      </c>
      <c r="AN35" s="31">
        <f t="shared" si="10"/>
        <v>94.132400000000004</v>
      </c>
      <c r="AO35" s="31">
        <f t="shared" si="10"/>
        <v>96.90100000000001</v>
      </c>
      <c r="AP35" s="31">
        <f t="shared" si="10"/>
        <v>99.669600000000003</v>
      </c>
      <c r="AQ35" s="31">
        <f t="shared" si="10"/>
        <v>102.43820000000001</v>
      </c>
      <c r="AR35" s="31">
        <f t="shared" si="10"/>
        <v>105.2068</v>
      </c>
      <c r="AS35" s="31">
        <f t="shared" si="10"/>
        <v>107.97540000000001</v>
      </c>
      <c r="AT35" s="31">
        <f t="shared" si="10"/>
        <v>110.744</v>
      </c>
      <c r="AU35" s="31">
        <f t="shared" si="10"/>
        <v>113.51260000000001</v>
      </c>
      <c r="AV35" s="31">
        <f t="shared" si="10"/>
        <v>116.28120000000001</v>
      </c>
      <c r="AW35" s="31">
        <f t="shared" si="10"/>
        <v>119.0498</v>
      </c>
      <c r="AX35" s="31">
        <f t="shared" si="10"/>
        <v>121.81840000000001</v>
      </c>
      <c r="AY35" s="31">
        <f t="shared" si="10"/>
        <v>124.587</v>
      </c>
      <c r="AZ35" s="31">
        <f t="shared" si="10"/>
        <v>127.35560000000001</v>
      </c>
      <c r="BA35" s="31">
        <f t="shared" si="10"/>
        <v>130.1242</v>
      </c>
      <c r="BB35" s="31">
        <f t="shared" si="10"/>
        <v>132.89280000000002</v>
      </c>
      <c r="BC35" s="31">
        <f t="shared" si="10"/>
        <v>135.66140000000001</v>
      </c>
      <c r="BD35" s="31">
        <f t="shared" si="10"/>
        <v>138.43</v>
      </c>
      <c r="BE35" s="31">
        <f t="shared" si="10"/>
        <v>141.1986</v>
      </c>
      <c r="BF35" s="31">
        <f t="shared" si="10"/>
        <v>143.96720000000002</v>
      </c>
      <c r="BG35" s="31">
        <f t="shared" si="10"/>
        <v>146.73580000000001</v>
      </c>
      <c r="BH35" s="31">
        <f t="shared" si="10"/>
        <v>149.5044</v>
      </c>
      <c r="BI35" s="31">
        <f t="shared" si="10"/>
        <v>152.273</v>
      </c>
      <c r="BJ35" s="31">
        <f t="shared" si="10"/>
        <v>155.04160000000002</v>
      </c>
      <c r="BK35" s="31">
        <f t="shared" si="10"/>
        <v>157.81020000000001</v>
      </c>
      <c r="BL35" s="31">
        <f t="shared" si="10"/>
        <v>160.5788</v>
      </c>
      <c r="BM35" s="31">
        <f t="shared" si="10"/>
        <v>163.34740000000002</v>
      </c>
      <c r="BN35" s="31">
        <f t="shared" si="10"/>
        <v>166.11600000000001</v>
      </c>
      <c r="BO35" s="31">
        <f t="shared" si="10"/>
        <v>168.88460000000001</v>
      </c>
      <c r="BP35" s="31">
        <f t="shared" si="10"/>
        <v>171.6532</v>
      </c>
      <c r="BQ35" s="31">
        <f t="shared" si="10"/>
        <v>174.42180000000002</v>
      </c>
      <c r="BR35" s="31">
        <f t="shared" si="10"/>
        <v>177.19040000000001</v>
      </c>
      <c r="BS35" s="31">
        <f t="shared" si="10"/>
        <v>179.959</v>
      </c>
      <c r="BT35" s="31">
        <f t="shared" si="10"/>
        <v>182.72760000000002</v>
      </c>
      <c r="BU35" s="31">
        <f t="shared" ref="BU35:EF35" si="12">$D$35*$E$35*BU$34</f>
        <v>185.49620000000002</v>
      </c>
      <c r="BV35" s="31">
        <f t="shared" si="12"/>
        <v>188.26480000000001</v>
      </c>
      <c r="BW35" s="31">
        <f t="shared" si="12"/>
        <v>191.0334</v>
      </c>
      <c r="BX35" s="31">
        <f t="shared" si="12"/>
        <v>193.80200000000002</v>
      </c>
      <c r="BY35" s="31">
        <f t="shared" si="12"/>
        <v>196.57060000000001</v>
      </c>
      <c r="BZ35" s="31">
        <f t="shared" si="12"/>
        <v>199.33920000000001</v>
      </c>
      <c r="CA35" s="31">
        <f t="shared" si="12"/>
        <v>202.10780000000003</v>
      </c>
      <c r="CB35" s="31">
        <f t="shared" si="12"/>
        <v>204.87640000000002</v>
      </c>
      <c r="CC35" s="31">
        <f t="shared" si="12"/>
        <v>207.64500000000001</v>
      </c>
      <c r="CD35" s="31">
        <f t="shared" si="12"/>
        <v>210.4136</v>
      </c>
      <c r="CE35" s="31">
        <f t="shared" si="12"/>
        <v>213.18220000000002</v>
      </c>
      <c r="CF35" s="31">
        <f t="shared" si="12"/>
        <v>215.95080000000002</v>
      </c>
      <c r="CG35" s="31">
        <f t="shared" si="12"/>
        <v>218.71940000000001</v>
      </c>
      <c r="CH35" s="31">
        <f t="shared" si="12"/>
        <v>221.488</v>
      </c>
      <c r="CI35" s="31">
        <f t="shared" si="12"/>
        <v>224.25660000000002</v>
      </c>
      <c r="CJ35" s="31">
        <f t="shared" si="12"/>
        <v>227.02520000000001</v>
      </c>
      <c r="CK35" s="31">
        <f t="shared" si="12"/>
        <v>229.7938</v>
      </c>
      <c r="CL35" s="31">
        <f t="shared" si="12"/>
        <v>232.56240000000003</v>
      </c>
      <c r="CM35" s="31">
        <f t="shared" si="12"/>
        <v>235.33100000000002</v>
      </c>
      <c r="CN35" s="31">
        <f t="shared" si="12"/>
        <v>238.09960000000001</v>
      </c>
      <c r="CO35" s="31">
        <f t="shared" si="12"/>
        <v>240.8682</v>
      </c>
      <c r="CP35" s="31">
        <f t="shared" si="12"/>
        <v>243.63680000000002</v>
      </c>
      <c r="CQ35" s="31">
        <f t="shared" si="12"/>
        <v>246.40540000000001</v>
      </c>
      <c r="CR35" s="31">
        <f t="shared" si="12"/>
        <v>249.17400000000001</v>
      </c>
      <c r="CS35" s="31">
        <f t="shared" si="12"/>
        <v>251.94260000000003</v>
      </c>
      <c r="CT35" s="31">
        <f t="shared" si="12"/>
        <v>254.71120000000002</v>
      </c>
      <c r="CU35" s="31">
        <f t="shared" si="12"/>
        <v>257.47980000000001</v>
      </c>
      <c r="CV35" s="31">
        <f t="shared" si="12"/>
        <v>260.2484</v>
      </c>
      <c r="CW35" s="31">
        <f t="shared" si="12"/>
        <v>263.017</v>
      </c>
      <c r="CX35" s="31">
        <f t="shared" si="12"/>
        <v>265.78560000000004</v>
      </c>
      <c r="CY35" s="31">
        <f t="shared" si="12"/>
        <v>268.55420000000004</v>
      </c>
      <c r="CZ35" s="31">
        <f t="shared" si="12"/>
        <v>271.32280000000003</v>
      </c>
      <c r="DA35" s="31">
        <f t="shared" si="12"/>
        <v>274.09140000000002</v>
      </c>
      <c r="DB35" s="31">
        <f t="shared" si="12"/>
        <v>276.86</v>
      </c>
      <c r="DC35" s="31">
        <f t="shared" si="12"/>
        <v>279.62860000000001</v>
      </c>
      <c r="DD35" s="31">
        <f t="shared" si="12"/>
        <v>282.3972</v>
      </c>
      <c r="DE35" s="31">
        <f t="shared" si="12"/>
        <v>285.16579999999999</v>
      </c>
      <c r="DF35" s="31">
        <f t="shared" si="12"/>
        <v>287.93440000000004</v>
      </c>
      <c r="DG35" s="31">
        <f t="shared" si="12"/>
        <v>290.70300000000003</v>
      </c>
      <c r="DH35" s="31">
        <f t="shared" si="12"/>
        <v>293.47160000000002</v>
      </c>
      <c r="DI35" s="31">
        <f t="shared" si="12"/>
        <v>296.24020000000002</v>
      </c>
      <c r="DJ35" s="31">
        <f t="shared" si="12"/>
        <v>299.00880000000001</v>
      </c>
      <c r="DK35" s="31">
        <f t="shared" si="12"/>
        <v>301.7774</v>
      </c>
      <c r="DL35" s="31">
        <f t="shared" si="12"/>
        <v>304.54599999999999</v>
      </c>
      <c r="DM35" s="31">
        <f t="shared" si="12"/>
        <v>307.31460000000004</v>
      </c>
      <c r="DN35" s="31">
        <f t="shared" si="12"/>
        <v>310.08320000000003</v>
      </c>
      <c r="DO35" s="31">
        <f t="shared" si="12"/>
        <v>312.85180000000003</v>
      </c>
      <c r="DP35" s="31">
        <f t="shared" si="12"/>
        <v>315.62040000000002</v>
      </c>
      <c r="DQ35" s="31">
        <f t="shared" si="12"/>
        <v>318.38900000000001</v>
      </c>
      <c r="DR35" s="31">
        <f t="shared" si="12"/>
        <v>321.1576</v>
      </c>
      <c r="DS35" s="31">
        <f t="shared" si="12"/>
        <v>323.92619999999999</v>
      </c>
      <c r="DT35" s="31">
        <f t="shared" si="12"/>
        <v>326.69480000000004</v>
      </c>
      <c r="DU35" s="31">
        <f t="shared" si="12"/>
        <v>329.46340000000004</v>
      </c>
      <c r="DV35" s="31">
        <f t="shared" si="12"/>
        <v>332.23200000000003</v>
      </c>
      <c r="DW35" s="31">
        <f t="shared" si="12"/>
        <v>335.00060000000002</v>
      </c>
      <c r="DX35" s="31">
        <f t="shared" si="12"/>
        <v>337.76920000000001</v>
      </c>
      <c r="DY35" s="31">
        <f t="shared" si="12"/>
        <v>340.5378</v>
      </c>
      <c r="DZ35" s="31">
        <f t="shared" si="12"/>
        <v>343.3064</v>
      </c>
      <c r="EA35" s="31">
        <f t="shared" si="12"/>
        <v>346.07500000000005</v>
      </c>
      <c r="EB35" s="31">
        <f t="shared" si="12"/>
        <v>348.84360000000004</v>
      </c>
      <c r="EC35" s="31">
        <f t="shared" si="12"/>
        <v>351.61220000000003</v>
      </c>
      <c r="ED35" s="31">
        <f t="shared" si="12"/>
        <v>354.38080000000002</v>
      </c>
      <c r="EE35" s="31">
        <f t="shared" si="12"/>
        <v>357.14940000000001</v>
      </c>
      <c r="EF35" s="31">
        <f t="shared" si="12"/>
        <v>359.91800000000001</v>
      </c>
      <c r="EG35" s="31">
        <f t="shared" ref="EG35:GI35" si="13">$D$35*$E$35*EG$34</f>
        <v>362.6866</v>
      </c>
      <c r="EH35" s="31">
        <f t="shared" si="13"/>
        <v>365.45520000000005</v>
      </c>
      <c r="EI35" s="31">
        <f t="shared" si="13"/>
        <v>368.22380000000004</v>
      </c>
      <c r="EJ35" s="31">
        <f t="shared" si="13"/>
        <v>370.99240000000003</v>
      </c>
      <c r="EK35" s="31">
        <f t="shared" si="13"/>
        <v>373.76100000000002</v>
      </c>
      <c r="EL35" s="31">
        <f t="shared" si="13"/>
        <v>376.52960000000002</v>
      </c>
      <c r="EM35" s="31">
        <f t="shared" si="13"/>
        <v>379.29820000000001</v>
      </c>
      <c r="EN35" s="31">
        <f t="shared" si="13"/>
        <v>382.0668</v>
      </c>
      <c r="EO35" s="31">
        <f t="shared" si="13"/>
        <v>384.83540000000005</v>
      </c>
      <c r="EP35" s="31">
        <f t="shared" si="13"/>
        <v>387.60400000000004</v>
      </c>
      <c r="EQ35" s="31">
        <f t="shared" si="13"/>
        <v>390.37260000000003</v>
      </c>
      <c r="ER35" s="31">
        <f t="shared" si="13"/>
        <v>393.14120000000003</v>
      </c>
      <c r="ES35" s="31">
        <f t="shared" si="13"/>
        <v>395.90980000000002</v>
      </c>
      <c r="ET35" s="31">
        <f t="shared" si="13"/>
        <v>398.67840000000001</v>
      </c>
      <c r="EU35" s="31">
        <f t="shared" si="13"/>
        <v>401.447</v>
      </c>
      <c r="EV35" s="31">
        <f t="shared" si="13"/>
        <v>404.21560000000005</v>
      </c>
      <c r="EW35" s="31">
        <f t="shared" si="13"/>
        <v>406.98420000000004</v>
      </c>
      <c r="EX35" s="31">
        <f t="shared" si="13"/>
        <v>409.75280000000004</v>
      </c>
      <c r="EY35" s="31">
        <f t="shared" si="13"/>
        <v>412.52140000000003</v>
      </c>
      <c r="EZ35" s="31">
        <f t="shared" si="13"/>
        <v>415.29</v>
      </c>
      <c r="FA35" s="31">
        <f t="shared" si="13"/>
        <v>418.05860000000001</v>
      </c>
      <c r="FB35" s="31">
        <f t="shared" si="13"/>
        <v>420.8272</v>
      </c>
      <c r="FC35" s="31">
        <f t="shared" si="13"/>
        <v>423.59580000000005</v>
      </c>
      <c r="FD35" s="31">
        <f t="shared" si="13"/>
        <v>426.36440000000005</v>
      </c>
      <c r="FE35" s="31">
        <f t="shared" si="13"/>
        <v>429.13300000000004</v>
      </c>
      <c r="FF35" s="31">
        <f t="shared" si="13"/>
        <v>431.90160000000003</v>
      </c>
      <c r="FG35" s="31">
        <f t="shared" si="13"/>
        <v>434.67020000000002</v>
      </c>
      <c r="FH35" s="31">
        <f t="shared" si="13"/>
        <v>437.43880000000001</v>
      </c>
      <c r="FI35" s="31">
        <f t="shared" si="13"/>
        <v>440.20740000000001</v>
      </c>
      <c r="FJ35" s="31">
        <f t="shared" si="13"/>
        <v>442.976</v>
      </c>
      <c r="FK35" s="31">
        <f t="shared" si="13"/>
        <v>445.74460000000005</v>
      </c>
      <c r="FL35" s="31">
        <f t="shared" si="13"/>
        <v>448.51320000000004</v>
      </c>
      <c r="FM35" s="31">
        <f t="shared" si="13"/>
        <v>451.28180000000003</v>
      </c>
      <c r="FN35" s="31">
        <f t="shared" si="13"/>
        <v>454.05040000000002</v>
      </c>
      <c r="FO35" s="31">
        <f t="shared" si="13"/>
        <v>456.81900000000002</v>
      </c>
      <c r="FP35" s="31">
        <f t="shared" si="13"/>
        <v>459.58760000000001</v>
      </c>
      <c r="FQ35" s="31">
        <f t="shared" si="13"/>
        <v>462.3562</v>
      </c>
      <c r="FR35" s="31">
        <f t="shared" si="13"/>
        <v>465.12480000000005</v>
      </c>
      <c r="FS35" s="31">
        <f t="shared" si="13"/>
        <v>467.89340000000004</v>
      </c>
      <c r="FT35" s="31">
        <f t="shared" si="13"/>
        <v>470.66200000000003</v>
      </c>
      <c r="FU35" s="31">
        <f t="shared" si="13"/>
        <v>473.43060000000003</v>
      </c>
      <c r="FV35" s="31">
        <f t="shared" si="13"/>
        <v>476.19920000000002</v>
      </c>
      <c r="FW35" s="31">
        <f t="shared" si="13"/>
        <v>478.96780000000001</v>
      </c>
      <c r="FX35" s="31">
        <f t="shared" si="13"/>
        <v>481.7364</v>
      </c>
      <c r="FY35" s="31">
        <f t="shared" si="13"/>
        <v>484.50500000000005</v>
      </c>
      <c r="FZ35" s="31">
        <f t="shared" si="13"/>
        <v>487.27360000000004</v>
      </c>
      <c r="GA35" s="31">
        <f t="shared" si="13"/>
        <v>490.04220000000004</v>
      </c>
      <c r="GB35" s="31">
        <f t="shared" si="13"/>
        <v>492.81080000000003</v>
      </c>
      <c r="GC35" s="31">
        <f t="shared" si="13"/>
        <v>495.57940000000002</v>
      </c>
      <c r="GD35" s="31">
        <f t="shared" si="13"/>
        <v>498.34800000000001</v>
      </c>
      <c r="GE35" s="31">
        <f t="shared" si="13"/>
        <v>501.11660000000001</v>
      </c>
      <c r="GF35" s="31">
        <f t="shared" si="13"/>
        <v>503.88520000000005</v>
      </c>
      <c r="GG35" s="31">
        <f t="shared" si="13"/>
        <v>506.65380000000005</v>
      </c>
      <c r="GH35" s="31">
        <f t="shared" si="13"/>
        <v>509.42240000000004</v>
      </c>
      <c r="GI35" s="31">
        <f t="shared" si="13"/>
        <v>512.19100000000003</v>
      </c>
    </row>
    <row r="36" spans="1:191">
      <c r="A36" s="254"/>
      <c r="C36" t="s">
        <v>125</v>
      </c>
      <c r="D36" s="94">
        <f>Parts!M55</f>
        <v>2.8340000000000005</v>
      </c>
      <c r="E36">
        <v>2</v>
      </c>
      <c r="G36" s="31">
        <f>$D$36*$A$35*G34</f>
        <v>12.753000000000002</v>
      </c>
      <c r="H36" s="31">
        <f t="shared" ref="H36:O36" si="14">$D$36*$A$35*H34</f>
        <v>25.506000000000004</v>
      </c>
      <c r="I36" s="31">
        <f>$D$36*$A$35*I34</f>
        <v>38.259000000000007</v>
      </c>
      <c r="J36" s="31">
        <f t="shared" si="14"/>
        <v>51.012000000000008</v>
      </c>
      <c r="K36" s="31">
        <f t="shared" si="14"/>
        <v>63.765000000000008</v>
      </c>
      <c r="L36" s="31">
        <f>$D$36*$A$35*L34</f>
        <v>76.518000000000015</v>
      </c>
      <c r="M36" s="31">
        <f t="shared" si="14"/>
        <v>89.271000000000015</v>
      </c>
      <c r="N36" s="31">
        <f t="shared" si="14"/>
        <v>102.02400000000002</v>
      </c>
      <c r="O36" s="31">
        <f t="shared" si="14"/>
        <v>114.77700000000002</v>
      </c>
      <c r="P36" s="31">
        <f t="shared" ref="P36:CA36" si="15">$G$36*P34</f>
        <v>127.53000000000002</v>
      </c>
      <c r="Q36" s="31">
        <f t="shared" si="15"/>
        <v>140.28300000000002</v>
      </c>
      <c r="R36" s="31">
        <f t="shared" si="15"/>
        <v>153.03600000000003</v>
      </c>
      <c r="S36" s="31">
        <f t="shared" si="15"/>
        <v>165.78900000000002</v>
      </c>
      <c r="T36" s="31">
        <f t="shared" si="15"/>
        <v>178.54200000000003</v>
      </c>
      <c r="U36" s="31">
        <f t="shared" si="15"/>
        <v>191.29500000000002</v>
      </c>
      <c r="V36" s="31">
        <f t="shared" si="15"/>
        <v>204.04800000000003</v>
      </c>
      <c r="W36" s="31">
        <f t="shared" si="15"/>
        <v>216.80100000000004</v>
      </c>
      <c r="X36" s="31">
        <f t="shared" si="15"/>
        <v>229.55400000000003</v>
      </c>
      <c r="Y36" s="31">
        <f t="shared" si="15"/>
        <v>242.30700000000004</v>
      </c>
      <c r="Z36" s="31">
        <f t="shared" si="15"/>
        <v>255.06000000000003</v>
      </c>
      <c r="AA36" s="31">
        <f t="shared" si="15"/>
        <v>267.81300000000005</v>
      </c>
      <c r="AB36" s="31">
        <f t="shared" si="15"/>
        <v>280.56600000000003</v>
      </c>
      <c r="AC36" s="31">
        <f t="shared" si="15"/>
        <v>293.31900000000002</v>
      </c>
      <c r="AD36" s="31">
        <f t="shared" si="15"/>
        <v>306.07200000000006</v>
      </c>
      <c r="AE36" s="31">
        <f t="shared" si="15"/>
        <v>318.82500000000005</v>
      </c>
      <c r="AF36" s="31">
        <f t="shared" si="15"/>
        <v>331.57800000000003</v>
      </c>
      <c r="AG36" s="31">
        <f t="shared" si="15"/>
        <v>344.33100000000007</v>
      </c>
      <c r="AH36" s="31">
        <f t="shared" si="15"/>
        <v>357.08400000000006</v>
      </c>
      <c r="AI36" s="31">
        <f t="shared" si="15"/>
        <v>369.83700000000005</v>
      </c>
      <c r="AJ36" s="31">
        <f t="shared" si="15"/>
        <v>382.59000000000003</v>
      </c>
      <c r="AK36" s="31">
        <f t="shared" si="15"/>
        <v>395.34300000000007</v>
      </c>
      <c r="AL36" s="31">
        <f t="shared" si="15"/>
        <v>408.09600000000006</v>
      </c>
      <c r="AM36" s="31">
        <f t="shared" si="15"/>
        <v>420.84900000000005</v>
      </c>
      <c r="AN36" s="31">
        <f t="shared" si="15"/>
        <v>433.60200000000009</v>
      </c>
      <c r="AO36" s="31">
        <f t="shared" si="15"/>
        <v>446.35500000000008</v>
      </c>
      <c r="AP36" s="31">
        <f t="shared" si="15"/>
        <v>459.10800000000006</v>
      </c>
      <c r="AQ36" s="31">
        <f t="shared" si="15"/>
        <v>471.86100000000005</v>
      </c>
      <c r="AR36" s="31">
        <f t="shared" si="15"/>
        <v>484.61400000000009</v>
      </c>
      <c r="AS36" s="31">
        <f t="shared" si="15"/>
        <v>497.36700000000008</v>
      </c>
      <c r="AT36" s="31">
        <f t="shared" si="15"/>
        <v>510.12000000000006</v>
      </c>
      <c r="AU36" s="31">
        <f t="shared" si="15"/>
        <v>522.87300000000005</v>
      </c>
      <c r="AV36" s="31">
        <f t="shared" si="15"/>
        <v>535.62600000000009</v>
      </c>
      <c r="AW36" s="31">
        <f t="shared" si="15"/>
        <v>548.37900000000013</v>
      </c>
      <c r="AX36" s="31">
        <f t="shared" si="15"/>
        <v>561.13200000000006</v>
      </c>
      <c r="AY36" s="31">
        <f t="shared" si="15"/>
        <v>573.8850000000001</v>
      </c>
      <c r="AZ36" s="31">
        <f t="shared" si="15"/>
        <v>586.63800000000003</v>
      </c>
      <c r="BA36" s="31">
        <f t="shared" si="15"/>
        <v>599.39100000000008</v>
      </c>
      <c r="BB36" s="31">
        <f t="shared" si="15"/>
        <v>612.14400000000012</v>
      </c>
      <c r="BC36" s="31">
        <f t="shared" si="15"/>
        <v>624.89700000000005</v>
      </c>
      <c r="BD36" s="31">
        <f t="shared" si="15"/>
        <v>637.65000000000009</v>
      </c>
      <c r="BE36" s="31">
        <f t="shared" si="15"/>
        <v>650.40300000000013</v>
      </c>
      <c r="BF36" s="31">
        <f t="shared" si="15"/>
        <v>663.15600000000006</v>
      </c>
      <c r="BG36" s="31">
        <f t="shared" si="15"/>
        <v>675.90900000000011</v>
      </c>
      <c r="BH36" s="31">
        <f t="shared" si="15"/>
        <v>688.66200000000015</v>
      </c>
      <c r="BI36" s="31">
        <f t="shared" si="15"/>
        <v>701.41500000000008</v>
      </c>
      <c r="BJ36" s="31">
        <f t="shared" si="15"/>
        <v>714.16800000000012</v>
      </c>
      <c r="BK36" s="31">
        <f t="shared" si="15"/>
        <v>726.92100000000016</v>
      </c>
      <c r="BL36" s="31">
        <f t="shared" si="15"/>
        <v>739.67400000000009</v>
      </c>
      <c r="BM36" s="31">
        <f t="shared" si="15"/>
        <v>752.42700000000013</v>
      </c>
      <c r="BN36" s="31">
        <f t="shared" si="15"/>
        <v>765.18000000000006</v>
      </c>
      <c r="BO36" s="31">
        <f t="shared" si="15"/>
        <v>777.93300000000011</v>
      </c>
      <c r="BP36" s="31">
        <f t="shared" si="15"/>
        <v>790.68600000000015</v>
      </c>
      <c r="BQ36" s="31">
        <f t="shared" si="15"/>
        <v>803.43900000000008</v>
      </c>
      <c r="BR36" s="31">
        <f t="shared" si="15"/>
        <v>816.19200000000012</v>
      </c>
      <c r="BS36" s="31">
        <f t="shared" si="15"/>
        <v>828.94500000000016</v>
      </c>
      <c r="BT36" s="31">
        <f t="shared" si="15"/>
        <v>841.69800000000009</v>
      </c>
      <c r="BU36" s="31">
        <f t="shared" si="15"/>
        <v>854.45100000000014</v>
      </c>
      <c r="BV36" s="31">
        <f t="shared" si="15"/>
        <v>867.20400000000018</v>
      </c>
      <c r="BW36" s="31">
        <f t="shared" si="15"/>
        <v>879.95700000000011</v>
      </c>
      <c r="BX36" s="31">
        <f t="shared" si="15"/>
        <v>892.71000000000015</v>
      </c>
      <c r="BY36" s="31">
        <f t="shared" si="15"/>
        <v>905.46300000000008</v>
      </c>
      <c r="BZ36" s="31">
        <f t="shared" si="15"/>
        <v>918.21600000000012</v>
      </c>
      <c r="CA36" s="31">
        <f t="shared" si="15"/>
        <v>930.96900000000016</v>
      </c>
      <c r="CB36" s="31">
        <f t="shared" ref="CB36:CU36" si="16">$G$36*CB34</f>
        <v>943.72200000000009</v>
      </c>
      <c r="CC36" s="31">
        <f t="shared" si="16"/>
        <v>956.47500000000014</v>
      </c>
      <c r="CD36" s="31">
        <f t="shared" si="16"/>
        <v>969.22800000000018</v>
      </c>
      <c r="CE36" s="31">
        <f t="shared" si="16"/>
        <v>981.98100000000011</v>
      </c>
      <c r="CF36" s="31">
        <f t="shared" si="16"/>
        <v>994.73400000000015</v>
      </c>
      <c r="CG36" s="31">
        <f t="shared" si="16"/>
        <v>1007.4870000000002</v>
      </c>
      <c r="CH36" s="31">
        <f t="shared" si="16"/>
        <v>1020.2400000000001</v>
      </c>
      <c r="CI36" s="31">
        <f t="shared" si="16"/>
        <v>1032.9930000000002</v>
      </c>
      <c r="CJ36" s="31">
        <f t="shared" si="16"/>
        <v>1045.7460000000001</v>
      </c>
      <c r="CK36" s="31">
        <f t="shared" si="16"/>
        <v>1058.4990000000003</v>
      </c>
      <c r="CL36" s="31">
        <f t="shared" si="16"/>
        <v>1071.2520000000002</v>
      </c>
      <c r="CM36" s="31">
        <f t="shared" si="16"/>
        <v>1084.0050000000001</v>
      </c>
      <c r="CN36" s="31">
        <f t="shared" si="16"/>
        <v>1096.7580000000003</v>
      </c>
      <c r="CO36" s="31">
        <f t="shared" si="16"/>
        <v>1109.5110000000002</v>
      </c>
      <c r="CP36" s="31">
        <f t="shared" si="16"/>
        <v>1122.2640000000001</v>
      </c>
      <c r="CQ36" s="31">
        <f t="shared" si="16"/>
        <v>1135.0170000000003</v>
      </c>
      <c r="CR36" s="31">
        <f t="shared" si="16"/>
        <v>1147.7700000000002</v>
      </c>
      <c r="CS36" s="31">
        <f t="shared" si="16"/>
        <v>1160.5230000000001</v>
      </c>
      <c r="CT36" s="31">
        <f t="shared" si="16"/>
        <v>1173.2760000000001</v>
      </c>
      <c r="CU36" s="31">
        <f t="shared" si="16"/>
        <v>1186.0290000000002</v>
      </c>
      <c r="CV36" s="31">
        <f t="shared" ref="CV36:DQ36" si="17">$G$36*CV34</f>
        <v>1198.7820000000002</v>
      </c>
      <c r="CW36" s="31">
        <f t="shared" si="17"/>
        <v>1211.5350000000001</v>
      </c>
      <c r="CX36" s="31">
        <f t="shared" si="17"/>
        <v>1224.2880000000002</v>
      </c>
      <c r="CY36" s="31">
        <f t="shared" si="17"/>
        <v>1237.0410000000002</v>
      </c>
      <c r="CZ36" s="31">
        <f t="shared" si="17"/>
        <v>1249.7940000000001</v>
      </c>
      <c r="DA36" s="31">
        <f t="shared" si="17"/>
        <v>1262.5470000000003</v>
      </c>
      <c r="DB36" s="31">
        <f t="shared" si="17"/>
        <v>1275.3000000000002</v>
      </c>
      <c r="DC36" s="31">
        <f t="shared" si="17"/>
        <v>1288.0530000000001</v>
      </c>
      <c r="DD36" s="31">
        <f t="shared" si="17"/>
        <v>1300.8060000000003</v>
      </c>
      <c r="DE36" s="31">
        <f t="shared" si="17"/>
        <v>1313.5590000000002</v>
      </c>
      <c r="DF36" s="31">
        <f t="shared" si="17"/>
        <v>1326.3120000000001</v>
      </c>
      <c r="DG36" s="31">
        <f t="shared" si="17"/>
        <v>1339.0650000000003</v>
      </c>
      <c r="DH36" s="31">
        <f t="shared" si="17"/>
        <v>1351.8180000000002</v>
      </c>
      <c r="DI36" s="31">
        <f t="shared" si="17"/>
        <v>1364.5710000000001</v>
      </c>
      <c r="DJ36" s="31">
        <f t="shared" si="17"/>
        <v>1377.3240000000003</v>
      </c>
      <c r="DK36" s="31">
        <f t="shared" si="17"/>
        <v>1390.0770000000002</v>
      </c>
      <c r="DL36" s="31">
        <f t="shared" si="17"/>
        <v>1402.8300000000002</v>
      </c>
      <c r="DM36" s="31">
        <f t="shared" si="17"/>
        <v>1415.5830000000003</v>
      </c>
      <c r="DN36" s="31">
        <f t="shared" si="17"/>
        <v>1428.3360000000002</v>
      </c>
      <c r="DO36" s="31">
        <f t="shared" si="17"/>
        <v>1441.0890000000002</v>
      </c>
      <c r="DP36" s="31">
        <f t="shared" si="17"/>
        <v>1453.8420000000003</v>
      </c>
      <c r="DQ36" s="31">
        <f t="shared" si="17"/>
        <v>1466.5950000000003</v>
      </c>
      <c r="DR36" s="31">
        <f t="shared" ref="DR36:GC36" si="18">$G$36*DR34</f>
        <v>1479.3480000000002</v>
      </c>
      <c r="DS36" s="31">
        <f t="shared" si="18"/>
        <v>1492.1010000000001</v>
      </c>
      <c r="DT36" s="31">
        <f t="shared" si="18"/>
        <v>1504.8540000000003</v>
      </c>
      <c r="DU36" s="31">
        <f t="shared" si="18"/>
        <v>1517.6070000000002</v>
      </c>
      <c r="DV36" s="31">
        <f t="shared" si="18"/>
        <v>1530.3600000000001</v>
      </c>
      <c r="DW36" s="31">
        <f t="shared" si="18"/>
        <v>1543.1130000000003</v>
      </c>
      <c r="DX36" s="31">
        <f t="shared" si="18"/>
        <v>1555.8660000000002</v>
      </c>
      <c r="DY36" s="31">
        <f t="shared" si="18"/>
        <v>1568.6190000000001</v>
      </c>
      <c r="DZ36" s="31">
        <f t="shared" si="18"/>
        <v>1581.3720000000003</v>
      </c>
      <c r="EA36" s="31">
        <f t="shared" si="18"/>
        <v>1594.1250000000002</v>
      </c>
      <c r="EB36" s="31">
        <f t="shared" si="18"/>
        <v>1606.8780000000002</v>
      </c>
      <c r="EC36" s="31">
        <f t="shared" si="18"/>
        <v>1619.6310000000003</v>
      </c>
      <c r="ED36" s="31">
        <f t="shared" si="18"/>
        <v>1632.3840000000002</v>
      </c>
      <c r="EE36" s="31">
        <f t="shared" si="18"/>
        <v>1645.1370000000002</v>
      </c>
      <c r="EF36" s="31">
        <f t="shared" si="18"/>
        <v>1657.8900000000003</v>
      </c>
      <c r="EG36" s="31">
        <f t="shared" si="18"/>
        <v>1670.6430000000003</v>
      </c>
      <c r="EH36" s="31">
        <f t="shared" si="18"/>
        <v>1683.3960000000002</v>
      </c>
      <c r="EI36" s="31">
        <f t="shared" si="18"/>
        <v>1696.1490000000003</v>
      </c>
      <c r="EJ36" s="31">
        <f t="shared" si="18"/>
        <v>1708.9020000000003</v>
      </c>
      <c r="EK36" s="31">
        <f t="shared" si="18"/>
        <v>1721.6550000000002</v>
      </c>
      <c r="EL36" s="31">
        <f t="shared" si="18"/>
        <v>1734.4080000000004</v>
      </c>
      <c r="EM36" s="31">
        <f t="shared" si="18"/>
        <v>1747.1610000000003</v>
      </c>
      <c r="EN36" s="31">
        <f t="shared" si="18"/>
        <v>1759.9140000000002</v>
      </c>
      <c r="EO36" s="31">
        <f t="shared" si="18"/>
        <v>1772.6670000000004</v>
      </c>
      <c r="EP36" s="31">
        <f t="shared" si="18"/>
        <v>1785.4200000000003</v>
      </c>
      <c r="EQ36" s="31">
        <f t="shared" si="18"/>
        <v>1798.1730000000002</v>
      </c>
      <c r="ER36" s="31">
        <f t="shared" si="18"/>
        <v>1810.9260000000002</v>
      </c>
      <c r="ES36" s="31">
        <f t="shared" si="18"/>
        <v>1823.6790000000003</v>
      </c>
      <c r="ET36" s="31">
        <f t="shared" si="18"/>
        <v>1836.4320000000002</v>
      </c>
      <c r="EU36" s="31">
        <f t="shared" si="18"/>
        <v>1849.1850000000002</v>
      </c>
      <c r="EV36" s="31">
        <f t="shared" si="18"/>
        <v>1861.9380000000003</v>
      </c>
      <c r="EW36" s="31">
        <f t="shared" si="18"/>
        <v>1874.6910000000003</v>
      </c>
      <c r="EX36" s="31">
        <f t="shared" si="18"/>
        <v>1887.4440000000002</v>
      </c>
      <c r="EY36" s="31">
        <f t="shared" si="18"/>
        <v>1900.1970000000003</v>
      </c>
      <c r="EZ36" s="31">
        <f t="shared" si="18"/>
        <v>1912.9500000000003</v>
      </c>
      <c r="FA36" s="31">
        <f t="shared" si="18"/>
        <v>1925.7030000000002</v>
      </c>
      <c r="FB36" s="31">
        <f t="shared" si="18"/>
        <v>1938.4560000000004</v>
      </c>
      <c r="FC36" s="31">
        <f t="shared" si="18"/>
        <v>1951.2090000000003</v>
      </c>
      <c r="FD36" s="31">
        <f t="shared" si="18"/>
        <v>1963.9620000000002</v>
      </c>
      <c r="FE36" s="31">
        <f t="shared" si="18"/>
        <v>1976.7150000000004</v>
      </c>
      <c r="FF36" s="31">
        <f t="shared" si="18"/>
        <v>1989.4680000000003</v>
      </c>
      <c r="FG36" s="31">
        <f t="shared" si="18"/>
        <v>2002.2210000000002</v>
      </c>
      <c r="FH36" s="31">
        <f t="shared" si="18"/>
        <v>2014.9740000000004</v>
      </c>
      <c r="FI36" s="31">
        <f t="shared" si="18"/>
        <v>2027.7270000000003</v>
      </c>
      <c r="FJ36" s="31">
        <f t="shared" si="18"/>
        <v>2040.4800000000002</v>
      </c>
      <c r="FK36" s="31">
        <f t="shared" si="18"/>
        <v>2053.2330000000002</v>
      </c>
      <c r="FL36" s="31">
        <f t="shared" si="18"/>
        <v>2065.9860000000003</v>
      </c>
      <c r="FM36" s="31">
        <f t="shared" si="18"/>
        <v>2078.7390000000005</v>
      </c>
      <c r="FN36" s="31">
        <f t="shared" si="18"/>
        <v>2091.4920000000002</v>
      </c>
      <c r="FO36" s="31">
        <f t="shared" si="18"/>
        <v>2104.2450000000003</v>
      </c>
      <c r="FP36" s="31">
        <f t="shared" si="18"/>
        <v>2116.9980000000005</v>
      </c>
      <c r="FQ36" s="31">
        <f t="shared" si="18"/>
        <v>2129.7510000000002</v>
      </c>
      <c r="FR36" s="31">
        <f t="shared" si="18"/>
        <v>2142.5040000000004</v>
      </c>
      <c r="FS36" s="31">
        <f t="shared" si="18"/>
        <v>2155.2570000000005</v>
      </c>
      <c r="FT36" s="31">
        <f t="shared" si="18"/>
        <v>2168.0100000000002</v>
      </c>
      <c r="FU36" s="31">
        <f t="shared" si="18"/>
        <v>2180.7630000000004</v>
      </c>
      <c r="FV36" s="31">
        <f t="shared" si="18"/>
        <v>2193.5160000000005</v>
      </c>
      <c r="FW36" s="31">
        <f t="shared" si="18"/>
        <v>2206.2690000000002</v>
      </c>
      <c r="FX36" s="31">
        <f t="shared" si="18"/>
        <v>2219.0220000000004</v>
      </c>
      <c r="FY36" s="31">
        <f t="shared" si="18"/>
        <v>2231.7750000000005</v>
      </c>
      <c r="FZ36" s="31">
        <f t="shared" si="18"/>
        <v>2244.5280000000002</v>
      </c>
      <c r="GA36" s="31">
        <f t="shared" si="18"/>
        <v>2257.2810000000004</v>
      </c>
      <c r="GB36" s="31">
        <f t="shared" si="18"/>
        <v>2270.0340000000006</v>
      </c>
      <c r="GC36" s="31">
        <f t="shared" si="18"/>
        <v>2282.7870000000003</v>
      </c>
      <c r="GD36" s="31">
        <f t="shared" ref="GD36:GI36" si="19">$G$36*GD34</f>
        <v>2295.5400000000004</v>
      </c>
      <c r="GE36" s="31">
        <f t="shared" si="19"/>
        <v>2308.2930000000001</v>
      </c>
      <c r="GF36" s="31">
        <f t="shared" si="19"/>
        <v>2321.0460000000003</v>
      </c>
      <c r="GG36" s="31">
        <f t="shared" si="19"/>
        <v>2333.7990000000004</v>
      </c>
      <c r="GH36" s="31">
        <f t="shared" si="19"/>
        <v>2346.5520000000001</v>
      </c>
      <c r="GI36" s="31">
        <f t="shared" si="19"/>
        <v>2359.3050000000003</v>
      </c>
    </row>
    <row r="37" spans="1:191">
      <c r="A37" s="254"/>
      <c r="C37" t="s">
        <v>126</v>
      </c>
      <c r="D37" s="94">
        <f>Parts!M55</f>
        <v>2.8340000000000005</v>
      </c>
      <c r="E37">
        <v>1</v>
      </c>
      <c r="G37" s="31">
        <f>$D$37</f>
        <v>2.8340000000000005</v>
      </c>
      <c r="H37" s="31">
        <f>$G$37*H34</f>
        <v>5.668000000000001</v>
      </c>
      <c r="I37" s="31">
        <f t="shared" ref="I37:BT37" si="20">$G$37*I34</f>
        <v>8.5020000000000024</v>
      </c>
      <c r="J37" s="31">
        <f t="shared" si="20"/>
        <v>11.336000000000002</v>
      </c>
      <c r="K37" s="31">
        <f t="shared" si="20"/>
        <v>14.170000000000002</v>
      </c>
      <c r="L37" s="31">
        <f t="shared" si="20"/>
        <v>17.004000000000005</v>
      </c>
      <c r="M37" s="31">
        <f t="shared" si="20"/>
        <v>19.838000000000005</v>
      </c>
      <c r="N37" s="31">
        <f t="shared" si="20"/>
        <v>22.672000000000004</v>
      </c>
      <c r="O37" s="31">
        <f t="shared" si="20"/>
        <v>25.506000000000004</v>
      </c>
      <c r="P37" s="31">
        <f t="shared" si="20"/>
        <v>28.340000000000003</v>
      </c>
      <c r="Q37" s="31">
        <f t="shared" si="20"/>
        <v>31.174000000000007</v>
      </c>
      <c r="R37" s="31">
        <f t="shared" si="20"/>
        <v>34.00800000000001</v>
      </c>
      <c r="S37" s="31">
        <f t="shared" si="20"/>
        <v>36.842000000000006</v>
      </c>
      <c r="T37" s="31">
        <f t="shared" si="20"/>
        <v>39.676000000000009</v>
      </c>
      <c r="U37" s="31">
        <f t="shared" si="20"/>
        <v>42.510000000000005</v>
      </c>
      <c r="V37" s="31">
        <f t="shared" si="20"/>
        <v>45.344000000000008</v>
      </c>
      <c r="W37" s="31">
        <f t="shared" si="20"/>
        <v>48.178000000000011</v>
      </c>
      <c r="X37" s="31">
        <f t="shared" si="20"/>
        <v>51.012000000000008</v>
      </c>
      <c r="Y37" s="31">
        <f t="shared" si="20"/>
        <v>53.846000000000011</v>
      </c>
      <c r="Z37" s="31">
        <f t="shared" si="20"/>
        <v>56.680000000000007</v>
      </c>
      <c r="AA37" s="31">
        <f t="shared" si="20"/>
        <v>59.51400000000001</v>
      </c>
      <c r="AB37" s="31">
        <f t="shared" si="20"/>
        <v>62.348000000000013</v>
      </c>
      <c r="AC37" s="31">
        <f t="shared" si="20"/>
        <v>65.182000000000016</v>
      </c>
      <c r="AD37" s="31">
        <f t="shared" si="20"/>
        <v>68.01600000000002</v>
      </c>
      <c r="AE37" s="31">
        <f t="shared" si="20"/>
        <v>70.850000000000009</v>
      </c>
      <c r="AF37" s="31">
        <f t="shared" si="20"/>
        <v>73.684000000000012</v>
      </c>
      <c r="AG37" s="31">
        <f t="shared" si="20"/>
        <v>76.518000000000015</v>
      </c>
      <c r="AH37" s="31">
        <f t="shared" si="20"/>
        <v>79.352000000000018</v>
      </c>
      <c r="AI37" s="31">
        <f t="shared" si="20"/>
        <v>82.186000000000021</v>
      </c>
      <c r="AJ37" s="31">
        <f t="shared" si="20"/>
        <v>85.02000000000001</v>
      </c>
      <c r="AK37" s="31">
        <f t="shared" si="20"/>
        <v>87.854000000000013</v>
      </c>
      <c r="AL37" s="31">
        <f t="shared" si="20"/>
        <v>90.688000000000017</v>
      </c>
      <c r="AM37" s="31">
        <f t="shared" si="20"/>
        <v>93.52200000000002</v>
      </c>
      <c r="AN37" s="31">
        <f t="shared" si="20"/>
        <v>96.356000000000023</v>
      </c>
      <c r="AO37" s="31">
        <f t="shared" si="20"/>
        <v>99.190000000000012</v>
      </c>
      <c r="AP37" s="31">
        <f t="shared" si="20"/>
        <v>102.02400000000002</v>
      </c>
      <c r="AQ37" s="31">
        <f t="shared" si="20"/>
        <v>104.85800000000002</v>
      </c>
      <c r="AR37" s="31">
        <f t="shared" si="20"/>
        <v>107.69200000000002</v>
      </c>
      <c r="AS37" s="31">
        <f t="shared" si="20"/>
        <v>110.52600000000002</v>
      </c>
      <c r="AT37" s="31">
        <f t="shared" si="20"/>
        <v>113.36000000000001</v>
      </c>
      <c r="AU37" s="31">
        <f t="shared" si="20"/>
        <v>116.19400000000002</v>
      </c>
      <c r="AV37" s="31">
        <f t="shared" si="20"/>
        <v>119.02800000000002</v>
      </c>
      <c r="AW37" s="31">
        <f t="shared" si="20"/>
        <v>121.86200000000002</v>
      </c>
      <c r="AX37" s="31">
        <f t="shared" si="20"/>
        <v>124.69600000000003</v>
      </c>
      <c r="AY37" s="31">
        <f t="shared" si="20"/>
        <v>127.53000000000003</v>
      </c>
      <c r="AZ37" s="31">
        <f t="shared" si="20"/>
        <v>130.36400000000003</v>
      </c>
      <c r="BA37" s="31">
        <f t="shared" si="20"/>
        <v>133.19800000000004</v>
      </c>
      <c r="BB37" s="31">
        <f t="shared" si="20"/>
        <v>136.03200000000004</v>
      </c>
      <c r="BC37" s="31">
        <f t="shared" si="20"/>
        <v>138.86600000000001</v>
      </c>
      <c r="BD37" s="31">
        <f t="shared" si="20"/>
        <v>141.70000000000002</v>
      </c>
      <c r="BE37" s="31">
        <f t="shared" si="20"/>
        <v>144.53400000000002</v>
      </c>
      <c r="BF37" s="31">
        <f t="shared" si="20"/>
        <v>147.36800000000002</v>
      </c>
      <c r="BG37" s="31">
        <f t="shared" si="20"/>
        <v>150.20200000000003</v>
      </c>
      <c r="BH37" s="31">
        <f t="shared" si="20"/>
        <v>153.03600000000003</v>
      </c>
      <c r="BI37" s="31">
        <f t="shared" si="20"/>
        <v>155.87000000000003</v>
      </c>
      <c r="BJ37" s="31">
        <f t="shared" si="20"/>
        <v>158.70400000000004</v>
      </c>
      <c r="BK37" s="31">
        <f t="shared" si="20"/>
        <v>161.53800000000004</v>
      </c>
      <c r="BL37" s="31">
        <f t="shared" si="20"/>
        <v>164.37200000000004</v>
      </c>
      <c r="BM37" s="31">
        <f t="shared" si="20"/>
        <v>167.20600000000002</v>
      </c>
      <c r="BN37" s="31">
        <f t="shared" si="20"/>
        <v>170.04000000000002</v>
      </c>
      <c r="BO37" s="31">
        <f t="shared" si="20"/>
        <v>172.87400000000002</v>
      </c>
      <c r="BP37" s="31">
        <f t="shared" si="20"/>
        <v>175.70800000000003</v>
      </c>
      <c r="BQ37" s="31">
        <f t="shared" si="20"/>
        <v>178.54200000000003</v>
      </c>
      <c r="BR37" s="31">
        <f t="shared" si="20"/>
        <v>181.37600000000003</v>
      </c>
      <c r="BS37" s="31">
        <f t="shared" si="20"/>
        <v>184.21000000000004</v>
      </c>
      <c r="BT37" s="31">
        <f t="shared" si="20"/>
        <v>187.04400000000004</v>
      </c>
      <c r="BU37" s="31">
        <f t="shared" ref="BU37:CU37" si="21">$G$37*BU34</f>
        <v>189.87800000000004</v>
      </c>
      <c r="BV37" s="31">
        <f t="shared" si="21"/>
        <v>192.71200000000005</v>
      </c>
      <c r="BW37" s="31">
        <f t="shared" si="21"/>
        <v>195.54600000000005</v>
      </c>
      <c r="BX37" s="31">
        <f t="shared" si="21"/>
        <v>198.38000000000002</v>
      </c>
      <c r="BY37" s="31">
        <f t="shared" si="21"/>
        <v>201.21400000000003</v>
      </c>
      <c r="BZ37" s="31">
        <f t="shared" si="21"/>
        <v>204.04800000000003</v>
      </c>
      <c r="CA37" s="31">
        <f t="shared" si="21"/>
        <v>206.88200000000003</v>
      </c>
      <c r="CB37" s="31">
        <f t="shared" si="21"/>
        <v>209.71600000000004</v>
      </c>
      <c r="CC37" s="31">
        <f t="shared" si="21"/>
        <v>212.55000000000004</v>
      </c>
      <c r="CD37" s="31">
        <f t="shared" si="21"/>
        <v>215.38400000000004</v>
      </c>
      <c r="CE37" s="31">
        <f t="shared" si="21"/>
        <v>218.21800000000005</v>
      </c>
      <c r="CF37" s="31">
        <f t="shared" si="21"/>
        <v>221.05200000000005</v>
      </c>
      <c r="CG37" s="31">
        <f t="shared" si="21"/>
        <v>223.88600000000005</v>
      </c>
      <c r="CH37" s="31">
        <f t="shared" si="21"/>
        <v>226.72000000000003</v>
      </c>
      <c r="CI37" s="31">
        <f t="shared" si="21"/>
        <v>229.55400000000003</v>
      </c>
      <c r="CJ37" s="31">
        <f t="shared" si="21"/>
        <v>232.38800000000003</v>
      </c>
      <c r="CK37" s="31">
        <f t="shared" si="21"/>
        <v>235.22200000000004</v>
      </c>
      <c r="CL37" s="31">
        <f t="shared" si="21"/>
        <v>238.05600000000004</v>
      </c>
      <c r="CM37" s="31">
        <f t="shared" si="21"/>
        <v>240.89000000000004</v>
      </c>
      <c r="CN37" s="31">
        <f t="shared" si="21"/>
        <v>243.72400000000005</v>
      </c>
      <c r="CO37" s="31">
        <f t="shared" si="21"/>
        <v>246.55800000000005</v>
      </c>
      <c r="CP37" s="31">
        <f t="shared" si="21"/>
        <v>249.39200000000005</v>
      </c>
      <c r="CQ37" s="31">
        <f t="shared" si="21"/>
        <v>252.22600000000006</v>
      </c>
      <c r="CR37" s="31">
        <f t="shared" si="21"/>
        <v>255.06000000000006</v>
      </c>
      <c r="CS37" s="31">
        <f t="shared" si="21"/>
        <v>257.89400000000006</v>
      </c>
      <c r="CT37" s="31">
        <f t="shared" si="21"/>
        <v>260.72800000000007</v>
      </c>
      <c r="CU37" s="31">
        <f t="shared" si="21"/>
        <v>263.56200000000007</v>
      </c>
      <c r="CV37" s="31">
        <f t="shared" ref="CV37:DQ37" si="22">$G$37*CV34</f>
        <v>266.39600000000007</v>
      </c>
      <c r="CW37" s="31">
        <f t="shared" si="22"/>
        <v>269.23000000000008</v>
      </c>
      <c r="CX37" s="31">
        <f t="shared" si="22"/>
        <v>272.06400000000008</v>
      </c>
      <c r="CY37" s="31">
        <f t="shared" si="22"/>
        <v>274.89800000000002</v>
      </c>
      <c r="CZ37" s="31">
        <f t="shared" si="22"/>
        <v>277.73200000000003</v>
      </c>
      <c r="DA37" s="31">
        <f t="shared" si="22"/>
        <v>280.56600000000003</v>
      </c>
      <c r="DB37" s="31">
        <f t="shared" si="22"/>
        <v>283.40000000000003</v>
      </c>
      <c r="DC37" s="31">
        <f t="shared" si="22"/>
        <v>286.23400000000004</v>
      </c>
      <c r="DD37" s="31">
        <f t="shared" si="22"/>
        <v>289.06800000000004</v>
      </c>
      <c r="DE37" s="31">
        <f t="shared" si="22"/>
        <v>291.90200000000004</v>
      </c>
      <c r="DF37" s="31">
        <f t="shared" si="22"/>
        <v>294.73600000000005</v>
      </c>
      <c r="DG37" s="31">
        <f t="shared" si="22"/>
        <v>297.57000000000005</v>
      </c>
      <c r="DH37" s="31">
        <f t="shared" si="22"/>
        <v>300.40400000000005</v>
      </c>
      <c r="DI37" s="31">
        <f t="shared" si="22"/>
        <v>303.23800000000006</v>
      </c>
      <c r="DJ37" s="31">
        <f t="shared" si="22"/>
        <v>306.07200000000006</v>
      </c>
      <c r="DK37" s="31">
        <f t="shared" si="22"/>
        <v>308.90600000000006</v>
      </c>
      <c r="DL37" s="31">
        <f t="shared" si="22"/>
        <v>311.74000000000007</v>
      </c>
      <c r="DM37" s="31">
        <f t="shared" si="22"/>
        <v>314.57400000000007</v>
      </c>
      <c r="DN37" s="31">
        <f t="shared" si="22"/>
        <v>317.40800000000007</v>
      </c>
      <c r="DO37" s="31">
        <f t="shared" si="22"/>
        <v>320.24200000000008</v>
      </c>
      <c r="DP37" s="31">
        <f t="shared" si="22"/>
        <v>323.07600000000008</v>
      </c>
      <c r="DQ37" s="31">
        <f t="shared" si="22"/>
        <v>325.91000000000008</v>
      </c>
      <c r="DR37" s="31">
        <f t="shared" ref="DR37:GC37" si="23">$G$37*DR34</f>
        <v>328.74400000000009</v>
      </c>
      <c r="DS37" s="31">
        <f t="shared" si="23"/>
        <v>331.57800000000009</v>
      </c>
      <c r="DT37" s="31">
        <f t="shared" si="23"/>
        <v>334.41200000000003</v>
      </c>
      <c r="DU37" s="31">
        <f t="shared" si="23"/>
        <v>337.24600000000004</v>
      </c>
      <c r="DV37" s="31">
        <f t="shared" si="23"/>
        <v>340.08000000000004</v>
      </c>
      <c r="DW37" s="31">
        <f t="shared" si="23"/>
        <v>342.91400000000004</v>
      </c>
      <c r="DX37" s="31">
        <f t="shared" si="23"/>
        <v>345.74800000000005</v>
      </c>
      <c r="DY37" s="31">
        <f t="shared" si="23"/>
        <v>348.58200000000005</v>
      </c>
      <c r="DZ37" s="31">
        <f t="shared" si="23"/>
        <v>351.41600000000005</v>
      </c>
      <c r="EA37" s="31">
        <f t="shared" si="23"/>
        <v>354.25000000000006</v>
      </c>
      <c r="EB37" s="31">
        <f t="shared" si="23"/>
        <v>357.08400000000006</v>
      </c>
      <c r="EC37" s="31">
        <f t="shared" si="23"/>
        <v>359.91800000000006</v>
      </c>
      <c r="ED37" s="31">
        <f t="shared" si="23"/>
        <v>362.75200000000007</v>
      </c>
      <c r="EE37" s="31">
        <f t="shared" si="23"/>
        <v>365.58600000000007</v>
      </c>
      <c r="EF37" s="31">
        <f t="shared" si="23"/>
        <v>368.42000000000007</v>
      </c>
      <c r="EG37" s="31">
        <f t="shared" si="23"/>
        <v>371.25400000000008</v>
      </c>
      <c r="EH37" s="31">
        <f t="shared" si="23"/>
        <v>374.08800000000008</v>
      </c>
      <c r="EI37" s="31">
        <f t="shared" si="23"/>
        <v>376.92200000000008</v>
      </c>
      <c r="EJ37" s="31">
        <f t="shared" si="23"/>
        <v>379.75600000000009</v>
      </c>
      <c r="EK37" s="31">
        <f t="shared" si="23"/>
        <v>382.59000000000009</v>
      </c>
      <c r="EL37" s="31">
        <f t="shared" si="23"/>
        <v>385.42400000000009</v>
      </c>
      <c r="EM37" s="31">
        <f t="shared" si="23"/>
        <v>388.2580000000001</v>
      </c>
      <c r="EN37" s="31">
        <f t="shared" si="23"/>
        <v>391.0920000000001</v>
      </c>
      <c r="EO37" s="31">
        <f t="shared" si="23"/>
        <v>393.92600000000004</v>
      </c>
      <c r="EP37" s="31">
        <f t="shared" si="23"/>
        <v>396.76000000000005</v>
      </c>
      <c r="EQ37" s="31">
        <f t="shared" si="23"/>
        <v>399.59400000000005</v>
      </c>
      <c r="ER37" s="31">
        <f t="shared" si="23"/>
        <v>402.42800000000005</v>
      </c>
      <c r="ES37" s="31">
        <f t="shared" si="23"/>
        <v>405.26200000000006</v>
      </c>
      <c r="ET37" s="31">
        <f t="shared" si="23"/>
        <v>408.09600000000006</v>
      </c>
      <c r="EU37" s="31">
        <f t="shared" si="23"/>
        <v>410.93000000000006</v>
      </c>
      <c r="EV37" s="31">
        <f t="shared" si="23"/>
        <v>413.76400000000007</v>
      </c>
      <c r="EW37" s="31">
        <f t="shared" si="23"/>
        <v>416.59800000000007</v>
      </c>
      <c r="EX37" s="31">
        <f t="shared" si="23"/>
        <v>419.43200000000007</v>
      </c>
      <c r="EY37" s="31">
        <f t="shared" si="23"/>
        <v>422.26600000000008</v>
      </c>
      <c r="EZ37" s="31">
        <f t="shared" si="23"/>
        <v>425.10000000000008</v>
      </c>
      <c r="FA37" s="31">
        <f t="shared" si="23"/>
        <v>427.93400000000008</v>
      </c>
      <c r="FB37" s="31">
        <f t="shared" si="23"/>
        <v>430.76800000000009</v>
      </c>
      <c r="FC37" s="31">
        <f t="shared" si="23"/>
        <v>433.60200000000009</v>
      </c>
      <c r="FD37" s="31">
        <f t="shared" si="23"/>
        <v>436.43600000000009</v>
      </c>
      <c r="FE37" s="31">
        <f t="shared" si="23"/>
        <v>439.2700000000001</v>
      </c>
      <c r="FF37" s="31">
        <f t="shared" si="23"/>
        <v>442.1040000000001</v>
      </c>
      <c r="FG37" s="31">
        <f t="shared" si="23"/>
        <v>444.9380000000001</v>
      </c>
      <c r="FH37" s="31">
        <f t="shared" si="23"/>
        <v>447.77200000000011</v>
      </c>
      <c r="FI37" s="31">
        <f t="shared" si="23"/>
        <v>450.60600000000011</v>
      </c>
      <c r="FJ37" s="31">
        <f t="shared" si="23"/>
        <v>453.44000000000005</v>
      </c>
      <c r="FK37" s="31">
        <f t="shared" si="23"/>
        <v>456.27400000000006</v>
      </c>
      <c r="FL37" s="31">
        <f t="shared" si="23"/>
        <v>459.10800000000006</v>
      </c>
      <c r="FM37" s="31">
        <f t="shared" si="23"/>
        <v>461.94200000000006</v>
      </c>
      <c r="FN37" s="31">
        <f t="shared" si="23"/>
        <v>464.77600000000007</v>
      </c>
      <c r="FO37" s="31">
        <f t="shared" si="23"/>
        <v>467.61000000000007</v>
      </c>
      <c r="FP37" s="31">
        <f t="shared" si="23"/>
        <v>470.44400000000007</v>
      </c>
      <c r="FQ37" s="31">
        <f t="shared" si="23"/>
        <v>473.27800000000008</v>
      </c>
      <c r="FR37" s="31">
        <f t="shared" si="23"/>
        <v>476.11200000000008</v>
      </c>
      <c r="FS37" s="31">
        <f t="shared" si="23"/>
        <v>478.94600000000008</v>
      </c>
      <c r="FT37" s="31">
        <f t="shared" si="23"/>
        <v>481.78000000000009</v>
      </c>
      <c r="FU37" s="31">
        <f t="shared" si="23"/>
        <v>484.61400000000009</v>
      </c>
      <c r="FV37" s="31">
        <f t="shared" si="23"/>
        <v>487.44800000000009</v>
      </c>
      <c r="FW37" s="31">
        <f t="shared" si="23"/>
        <v>490.2820000000001</v>
      </c>
      <c r="FX37" s="31">
        <f t="shared" si="23"/>
        <v>493.1160000000001</v>
      </c>
      <c r="FY37" s="31">
        <f t="shared" si="23"/>
        <v>495.9500000000001</v>
      </c>
      <c r="FZ37" s="31">
        <f t="shared" si="23"/>
        <v>498.78400000000011</v>
      </c>
      <c r="GA37" s="31">
        <f t="shared" si="23"/>
        <v>501.61800000000011</v>
      </c>
      <c r="GB37" s="31">
        <f t="shared" si="23"/>
        <v>504.45200000000011</v>
      </c>
      <c r="GC37" s="31">
        <f t="shared" si="23"/>
        <v>507.28600000000012</v>
      </c>
      <c r="GD37" s="31">
        <f t="shared" ref="GD37:GI37" si="24">$G$37*GD34</f>
        <v>510.12000000000012</v>
      </c>
      <c r="GE37" s="31">
        <f t="shared" si="24"/>
        <v>512.95400000000006</v>
      </c>
      <c r="GF37" s="31">
        <f t="shared" si="24"/>
        <v>515.78800000000012</v>
      </c>
      <c r="GG37" s="31">
        <f t="shared" si="24"/>
        <v>518.62200000000007</v>
      </c>
      <c r="GH37" s="31">
        <f t="shared" si="24"/>
        <v>521.45600000000013</v>
      </c>
      <c r="GI37" s="31">
        <f t="shared" si="24"/>
        <v>524.29000000000008</v>
      </c>
    </row>
    <row r="38" spans="1:191">
      <c r="A38" s="254" t="s">
        <v>127</v>
      </c>
      <c r="C38" t="s">
        <v>128</v>
      </c>
      <c r="D38" s="94">
        <f>IF(B7=1720,INDEX(K33:O33,MATCH(B7,K32:O32,0)),IF(B7=2020,INDEX(K33:O33,MATCH(B7,K32:O32,0)),IF(B7=1111,INDEX(K33:O33,MATCH(B7,K32:O32,0)),IF(B7=2222,INDEX(K33:O33,MATCH(B7,K32:O32,0)),IF(B7=3333,INDEX(K33:O33,MATCH(B7,K32:O32,0)),0)))))</f>
        <v>0.47960000000000003</v>
      </c>
      <c r="E38">
        <f>A35</f>
        <v>4.5</v>
      </c>
      <c r="G38" s="31">
        <f>$D$38</f>
        <v>0.47960000000000003</v>
      </c>
      <c r="H38" s="31">
        <f>$G$38*H34</f>
        <v>0.95920000000000005</v>
      </c>
      <c r="I38" s="31">
        <f t="shared" ref="I38:BT38" si="25">$G$38*I34</f>
        <v>1.4388000000000001</v>
      </c>
      <c r="J38" s="31">
        <f t="shared" si="25"/>
        <v>1.9184000000000001</v>
      </c>
      <c r="K38" s="31">
        <f t="shared" si="25"/>
        <v>2.3980000000000001</v>
      </c>
      <c r="L38" s="31">
        <f t="shared" si="25"/>
        <v>2.8776000000000002</v>
      </c>
      <c r="M38" s="31">
        <f t="shared" si="25"/>
        <v>3.3572000000000002</v>
      </c>
      <c r="N38" s="31">
        <f t="shared" si="25"/>
        <v>3.8368000000000002</v>
      </c>
      <c r="O38" s="31">
        <f t="shared" si="25"/>
        <v>4.3163999999999998</v>
      </c>
      <c r="P38" s="31">
        <f t="shared" si="25"/>
        <v>4.7960000000000003</v>
      </c>
      <c r="Q38" s="31">
        <f t="shared" si="25"/>
        <v>5.2756000000000007</v>
      </c>
      <c r="R38" s="31">
        <f t="shared" si="25"/>
        <v>5.7552000000000003</v>
      </c>
      <c r="S38" s="31">
        <f t="shared" si="25"/>
        <v>6.2347999999999999</v>
      </c>
      <c r="T38" s="31">
        <f t="shared" si="25"/>
        <v>6.7144000000000004</v>
      </c>
      <c r="U38" s="31">
        <f t="shared" si="25"/>
        <v>7.1940000000000008</v>
      </c>
      <c r="V38" s="31">
        <f t="shared" si="25"/>
        <v>7.6736000000000004</v>
      </c>
      <c r="W38" s="31">
        <f t="shared" si="25"/>
        <v>8.1532</v>
      </c>
      <c r="X38" s="31">
        <f t="shared" si="25"/>
        <v>8.6327999999999996</v>
      </c>
      <c r="Y38" s="31">
        <f t="shared" si="25"/>
        <v>9.1124000000000009</v>
      </c>
      <c r="Z38" s="31">
        <f t="shared" si="25"/>
        <v>9.5920000000000005</v>
      </c>
      <c r="AA38" s="31">
        <f t="shared" si="25"/>
        <v>10.0716</v>
      </c>
      <c r="AB38" s="31">
        <f t="shared" si="25"/>
        <v>10.551200000000001</v>
      </c>
      <c r="AC38" s="31">
        <f t="shared" si="25"/>
        <v>11.030800000000001</v>
      </c>
      <c r="AD38" s="31">
        <f t="shared" si="25"/>
        <v>11.510400000000001</v>
      </c>
      <c r="AE38" s="31">
        <f t="shared" si="25"/>
        <v>11.99</v>
      </c>
      <c r="AF38" s="31">
        <f t="shared" si="25"/>
        <v>12.4696</v>
      </c>
      <c r="AG38" s="31">
        <f t="shared" si="25"/>
        <v>12.949200000000001</v>
      </c>
      <c r="AH38" s="31">
        <f t="shared" si="25"/>
        <v>13.428800000000001</v>
      </c>
      <c r="AI38" s="31">
        <f t="shared" si="25"/>
        <v>13.9084</v>
      </c>
      <c r="AJ38" s="31">
        <f t="shared" si="25"/>
        <v>14.388000000000002</v>
      </c>
      <c r="AK38" s="31">
        <f t="shared" si="25"/>
        <v>14.867600000000001</v>
      </c>
      <c r="AL38" s="31">
        <f t="shared" si="25"/>
        <v>15.347200000000001</v>
      </c>
      <c r="AM38" s="31">
        <f t="shared" si="25"/>
        <v>15.8268</v>
      </c>
      <c r="AN38" s="31">
        <f t="shared" si="25"/>
        <v>16.3064</v>
      </c>
      <c r="AO38" s="31">
        <f t="shared" si="25"/>
        <v>16.786000000000001</v>
      </c>
      <c r="AP38" s="31">
        <f t="shared" si="25"/>
        <v>17.265599999999999</v>
      </c>
      <c r="AQ38" s="31">
        <f t="shared" si="25"/>
        <v>17.745200000000001</v>
      </c>
      <c r="AR38" s="31">
        <f t="shared" si="25"/>
        <v>18.224800000000002</v>
      </c>
      <c r="AS38" s="31">
        <f t="shared" si="25"/>
        <v>18.7044</v>
      </c>
      <c r="AT38" s="31">
        <f t="shared" si="25"/>
        <v>19.184000000000001</v>
      </c>
      <c r="AU38" s="31">
        <f t="shared" si="25"/>
        <v>19.663600000000002</v>
      </c>
      <c r="AV38" s="31">
        <f t="shared" si="25"/>
        <v>20.1432</v>
      </c>
      <c r="AW38" s="31">
        <f t="shared" si="25"/>
        <v>20.622800000000002</v>
      </c>
      <c r="AX38" s="31">
        <f t="shared" si="25"/>
        <v>21.102400000000003</v>
      </c>
      <c r="AY38" s="31">
        <f t="shared" si="25"/>
        <v>21.582000000000001</v>
      </c>
      <c r="AZ38" s="31">
        <f t="shared" si="25"/>
        <v>22.061600000000002</v>
      </c>
      <c r="BA38" s="31">
        <f t="shared" si="25"/>
        <v>22.5412</v>
      </c>
      <c r="BB38" s="31">
        <f t="shared" si="25"/>
        <v>23.020800000000001</v>
      </c>
      <c r="BC38" s="31">
        <f t="shared" si="25"/>
        <v>23.500400000000003</v>
      </c>
      <c r="BD38" s="31">
        <f t="shared" si="25"/>
        <v>23.98</v>
      </c>
      <c r="BE38" s="31">
        <f t="shared" si="25"/>
        <v>24.459600000000002</v>
      </c>
      <c r="BF38" s="31">
        <f t="shared" si="25"/>
        <v>24.9392</v>
      </c>
      <c r="BG38" s="31">
        <f t="shared" si="25"/>
        <v>25.418800000000001</v>
      </c>
      <c r="BH38" s="31">
        <f t="shared" si="25"/>
        <v>25.898400000000002</v>
      </c>
      <c r="BI38" s="31">
        <f t="shared" si="25"/>
        <v>26.378</v>
      </c>
      <c r="BJ38" s="31">
        <f t="shared" si="25"/>
        <v>26.857600000000001</v>
      </c>
      <c r="BK38" s="31">
        <f t="shared" si="25"/>
        <v>27.337200000000003</v>
      </c>
      <c r="BL38" s="31">
        <f t="shared" si="25"/>
        <v>27.816800000000001</v>
      </c>
      <c r="BM38" s="31">
        <f t="shared" si="25"/>
        <v>28.296400000000002</v>
      </c>
      <c r="BN38" s="31">
        <f t="shared" si="25"/>
        <v>28.776000000000003</v>
      </c>
      <c r="BO38" s="31">
        <f t="shared" si="25"/>
        <v>29.255600000000001</v>
      </c>
      <c r="BP38" s="31">
        <f t="shared" si="25"/>
        <v>29.735200000000003</v>
      </c>
      <c r="BQ38" s="31">
        <f t="shared" si="25"/>
        <v>30.2148</v>
      </c>
      <c r="BR38" s="31">
        <f t="shared" si="25"/>
        <v>30.694400000000002</v>
      </c>
      <c r="BS38" s="31">
        <f t="shared" si="25"/>
        <v>31.174000000000003</v>
      </c>
      <c r="BT38" s="31">
        <f t="shared" si="25"/>
        <v>31.653600000000001</v>
      </c>
      <c r="BU38" s="31">
        <f t="shared" ref="BU38:CU38" si="26">$G$38*BU34</f>
        <v>32.133200000000002</v>
      </c>
      <c r="BV38" s="31">
        <f t="shared" si="26"/>
        <v>32.6128</v>
      </c>
      <c r="BW38" s="31">
        <f t="shared" si="26"/>
        <v>33.092400000000005</v>
      </c>
      <c r="BX38" s="31">
        <f t="shared" si="26"/>
        <v>33.572000000000003</v>
      </c>
      <c r="BY38" s="31">
        <f t="shared" si="26"/>
        <v>34.051600000000001</v>
      </c>
      <c r="BZ38" s="31">
        <f t="shared" si="26"/>
        <v>34.531199999999998</v>
      </c>
      <c r="CA38" s="31">
        <f t="shared" si="26"/>
        <v>35.010800000000003</v>
      </c>
      <c r="CB38" s="31">
        <f t="shared" si="26"/>
        <v>35.490400000000001</v>
      </c>
      <c r="CC38" s="31">
        <f t="shared" si="26"/>
        <v>35.97</v>
      </c>
      <c r="CD38" s="31">
        <f t="shared" si="26"/>
        <v>36.449600000000004</v>
      </c>
      <c r="CE38" s="31">
        <f t="shared" si="26"/>
        <v>36.929200000000002</v>
      </c>
      <c r="CF38" s="31">
        <f t="shared" si="26"/>
        <v>37.408799999999999</v>
      </c>
      <c r="CG38" s="31">
        <f t="shared" si="26"/>
        <v>37.888400000000004</v>
      </c>
      <c r="CH38" s="31">
        <f t="shared" si="26"/>
        <v>38.368000000000002</v>
      </c>
      <c r="CI38" s="31">
        <f t="shared" si="26"/>
        <v>38.8476</v>
      </c>
      <c r="CJ38" s="31">
        <f t="shared" si="26"/>
        <v>39.327200000000005</v>
      </c>
      <c r="CK38" s="31">
        <f t="shared" si="26"/>
        <v>39.806800000000003</v>
      </c>
      <c r="CL38" s="31">
        <f t="shared" si="26"/>
        <v>40.2864</v>
      </c>
      <c r="CM38" s="31">
        <f t="shared" si="26"/>
        <v>40.766000000000005</v>
      </c>
      <c r="CN38" s="31">
        <f t="shared" si="26"/>
        <v>41.245600000000003</v>
      </c>
      <c r="CO38" s="31">
        <f t="shared" si="26"/>
        <v>41.725200000000001</v>
      </c>
      <c r="CP38" s="31">
        <f t="shared" si="26"/>
        <v>42.204800000000006</v>
      </c>
      <c r="CQ38" s="31">
        <f t="shared" si="26"/>
        <v>42.684400000000004</v>
      </c>
      <c r="CR38" s="31">
        <f t="shared" si="26"/>
        <v>43.164000000000001</v>
      </c>
      <c r="CS38" s="31">
        <f t="shared" si="26"/>
        <v>43.643599999999999</v>
      </c>
      <c r="CT38" s="31">
        <f t="shared" si="26"/>
        <v>44.123200000000004</v>
      </c>
      <c r="CU38" s="31">
        <f t="shared" si="26"/>
        <v>44.602800000000002</v>
      </c>
      <c r="CV38" s="31">
        <f t="shared" ref="CV38:DQ38" si="27">$G$38*CV34</f>
        <v>45.0824</v>
      </c>
      <c r="CW38" s="31">
        <f t="shared" si="27"/>
        <v>45.562000000000005</v>
      </c>
      <c r="CX38" s="31">
        <f t="shared" si="27"/>
        <v>46.041600000000003</v>
      </c>
      <c r="CY38" s="31">
        <f t="shared" si="27"/>
        <v>46.5212</v>
      </c>
      <c r="CZ38" s="31">
        <f t="shared" si="27"/>
        <v>47.000800000000005</v>
      </c>
      <c r="DA38" s="31">
        <f t="shared" si="27"/>
        <v>47.480400000000003</v>
      </c>
      <c r="DB38" s="31">
        <f t="shared" si="27"/>
        <v>47.96</v>
      </c>
      <c r="DC38" s="31">
        <f t="shared" si="27"/>
        <v>48.439600000000006</v>
      </c>
      <c r="DD38" s="31">
        <f t="shared" si="27"/>
        <v>48.919200000000004</v>
      </c>
      <c r="DE38" s="31">
        <f t="shared" si="27"/>
        <v>49.398800000000001</v>
      </c>
      <c r="DF38" s="31">
        <f t="shared" si="27"/>
        <v>49.878399999999999</v>
      </c>
      <c r="DG38" s="31">
        <f t="shared" si="27"/>
        <v>50.358000000000004</v>
      </c>
      <c r="DH38" s="31">
        <f t="shared" si="27"/>
        <v>50.837600000000002</v>
      </c>
      <c r="DI38" s="31">
        <f t="shared" si="27"/>
        <v>51.3172</v>
      </c>
      <c r="DJ38" s="31">
        <f t="shared" si="27"/>
        <v>51.796800000000005</v>
      </c>
      <c r="DK38" s="31">
        <f t="shared" si="27"/>
        <v>52.276400000000002</v>
      </c>
      <c r="DL38" s="31">
        <f t="shared" si="27"/>
        <v>52.756</v>
      </c>
      <c r="DM38" s="31">
        <f t="shared" si="27"/>
        <v>53.235600000000005</v>
      </c>
      <c r="DN38" s="31">
        <f t="shared" si="27"/>
        <v>53.715200000000003</v>
      </c>
      <c r="DO38" s="31">
        <f t="shared" si="27"/>
        <v>54.194800000000001</v>
      </c>
      <c r="DP38" s="31">
        <f t="shared" si="27"/>
        <v>54.674400000000006</v>
      </c>
      <c r="DQ38" s="31">
        <f t="shared" si="27"/>
        <v>55.154000000000003</v>
      </c>
      <c r="DR38" s="31">
        <f t="shared" ref="DR38:GC38" si="28">$G$38*DR34</f>
        <v>55.633600000000001</v>
      </c>
      <c r="DS38" s="31">
        <f t="shared" si="28"/>
        <v>56.113200000000006</v>
      </c>
      <c r="DT38" s="31">
        <f t="shared" si="28"/>
        <v>56.592800000000004</v>
      </c>
      <c r="DU38" s="31">
        <f t="shared" si="28"/>
        <v>57.072400000000002</v>
      </c>
      <c r="DV38" s="31">
        <f t="shared" si="28"/>
        <v>57.552000000000007</v>
      </c>
      <c r="DW38" s="31">
        <f t="shared" si="28"/>
        <v>58.031600000000005</v>
      </c>
      <c r="DX38" s="31">
        <f t="shared" si="28"/>
        <v>58.511200000000002</v>
      </c>
      <c r="DY38" s="31">
        <f t="shared" si="28"/>
        <v>58.9908</v>
      </c>
      <c r="DZ38" s="31">
        <f t="shared" si="28"/>
        <v>59.470400000000005</v>
      </c>
      <c r="EA38" s="31">
        <f t="shared" si="28"/>
        <v>59.95</v>
      </c>
      <c r="EB38" s="31">
        <f t="shared" si="28"/>
        <v>60.429600000000001</v>
      </c>
      <c r="EC38" s="31">
        <f t="shared" si="28"/>
        <v>60.909200000000006</v>
      </c>
      <c r="ED38" s="31">
        <f t="shared" si="28"/>
        <v>61.388800000000003</v>
      </c>
      <c r="EE38" s="31">
        <f t="shared" si="28"/>
        <v>61.868400000000001</v>
      </c>
      <c r="EF38" s="31">
        <f t="shared" si="28"/>
        <v>62.348000000000006</v>
      </c>
      <c r="EG38" s="31">
        <f t="shared" si="28"/>
        <v>62.827600000000004</v>
      </c>
      <c r="EH38" s="31">
        <f t="shared" si="28"/>
        <v>63.307200000000002</v>
      </c>
      <c r="EI38" s="31">
        <f t="shared" si="28"/>
        <v>63.786800000000007</v>
      </c>
      <c r="EJ38" s="31">
        <f t="shared" si="28"/>
        <v>64.266400000000004</v>
      </c>
      <c r="EK38" s="31">
        <f t="shared" si="28"/>
        <v>64.746000000000009</v>
      </c>
      <c r="EL38" s="31">
        <f t="shared" si="28"/>
        <v>65.2256</v>
      </c>
      <c r="EM38" s="31">
        <f t="shared" si="28"/>
        <v>65.705200000000005</v>
      </c>
      <c r="EN38" s="31">
        <f t="shared" si="28"/>
        <v>66.18480000000001</v>
      </c>
      <c r="EO38" s="31">
        <f t="shared" si="28"/>
        <v>66.664400000000001</v>
      </c>
      <c r="EP38" s="31">
        <f t="shared" si="28"/>
        <v>67.144000000000005</v>
      </c>
      <c r="EQ38" s="31">
        <f t="shared" si="28"/>
        <v>67.62360000000001</v>
      </c>
      <c r="ER38" s="31">
        <f t="shared" si="28"/>
        <v>68.103200000000001</v>
      </c>
      <c r="ES38" s="31">
        <f t="shared" si="28"/>
        <v>68.582800000000006</v>
      </c>
      <c r="ET38" s="31">
        <f t="shared" si="28"/>
        <v>69.062399999999997</v>
      </c>
      <c r="EU38" s="31">
        <f t="shared" si="28"/>
        <v>69.542000000000002</v>
      </c>
      <c r="EV38" s="31">
        <f t="shared" si="28"/>
        <v>70.021600000000007</v>
      </c>
      <c r="EW38" s="31">
        <f t="shared" si="28"/>
        <v>70.501199999999997</v>
      </c>
      <c r="EX38" s="31">
        <f t="shared" si="28"/>
        <v>70.980800000000002</v>
      </c>
      <c r="EY38" s="31">
        <f t="shared" si="28"/>
        <v>71.460400000000007</v>
      </c>
      <c r="EZ38" s="31">
        <f t="shared" si="28"/>
        <v>71.94</v>
      </c>
      <c r="FA38" s="31">
        <f t="shared" si="28"/>
        <v>72.419600000000003</v>
      </c>
      <c r="FB38" s="31">
        <f t="shared" si="28"/>
        <v>72.899200000000008</v>
      </c>
      <c r="FC38" s="31">
        <f t="shared" si="28"/>
        <v>73.378799999999998</v>
      </c>
      <c r="FD38" s="31">
        <f t="shared" si="28"/>
        <v>73.858400000000003</v>
      </c>
      <c r="FE38" s="31">
        <f t="shared" si="28"/>
        <v>74.338000000000008</v>
      </c>
      <c r="FF38" s="31">
        <f t="shared" si="28"/>
        <v>74.817599999999999</v>
      </c>
      <c r="FG38" s="31">
        <f t="shared" si="28"/>
        <v>75.297200000000004</v>
      </c>
      <c r="FH38" s="31">
        <f t="shared" si="28"/>
        <v>75.776800000000009</v>
      </c>
      <c r="FI38" s="31">
        <f t="shared" si="28"/>
        <v>76.256399999999999</v>
      </c>
      <c r="FJ38" s="31">
        <f t="shared" si="28"/>
        <v>76.736000000000004</v>
      </c>
      <c r="FK38" s="31">
        <f t="shared" si="28"/>
        <v>77.215600000000009</v>
      </c>
      <c r="FL38" s="31">
        <f t="shared" si="28"/>
        <v>77.6952</v>
      </c>
      <c r="FM38" s="31">
        <f t="shared" si="28"/>
        <v>78.174800000000005</v>
      </c>
      <c r="FN38" s="31">
        <f t="shared" si="28"/>
        <v>78.65440000000001</v>
      </c>
      <c r="FO38" s="31">
        <f t="shared" si="28"/>
        <v>79.134</v>
      </c>
      <c r="FP38" s="31">
        <f t="shared" si="28"/>
        <v>79.613600000000005</v>
      </c>
      <c r="FQ38" s="31">
        <f t="shared" si="28"/>
        <v>80.09320000000001</v>
      </c>
      <c r="FR38" s="31">
        <f t="shared" si="28"/>
        <v>80.572800000000001</v>
      </c>
      <c r="FS38" s="31">
        <f t="shared" si="28"/>
        <v>81.052400000000006</v>
      </c>
      <c r="FT38" s="31">
        <f t="shared" si="28"/>
        <v>81.532000000000011</v>
      </c>
      <c r="FU38" s="31">
        <f t="shared" si="28"/>
        <v>82.011600000000001</v>
      </c>
      <c r="FV38" s="31">
        <f t="shared" si="28"/>
        <v>82.491200000000006</v>
      </c>
      <c r="FW38" s="31">
        <f t="shared" si="28"/>
        <v>82.970800000000011</v>
      </c>
      <c r="FX38" s="31">
        <f t="shared" si="28"/>
        <v>83.450400000000002</v>
      </c>
      <c r="FY38" s="31">
        <f t="shared" si="28"/>
        <v>83.93</v>
      </c>
      <c r="FZ38" s="31">
        <f t="shared" si="28"/>
        <v>84.409600000000012</v>
      </c>
      <c r="GA38" s="31">
        <f t="shared" si="28"/>
        <v>84.889200000000002</v>
      </c>
      <c r="GB38" s="31">
        <f t="shared" si="28"/>
        <v>85.368800000000007</v>
      </c>
      <c r="GC38" s="31">
        <f t="shared" si="28"/>
        <v>85.848399999999998</v>
      </c>
      <c r="GD38" s="31">
        <f t="shared" ref="GD38:GI38" si="29">$G$38*GD34</f>
        <v>86.328000000000003</v>
      </c>
      <c r="GE38" s="31">
        <f t="shared" si="29"/>
        <v>86.807600000000008</v>
      </c>
      <c r="GF38" s="31">
        <f t="shared" si="29"/>
        <v>87.287199999999999</v>
      </c>
      <c r="GG38" s="31">
        <f t="shared" si="29"/>
        <v>87.766800000000003</v>
      </c>
      <c r="GH38" s="31">
        <f t="shared" si="29"/>
        <v>88.246400000000008</v>
      </c>
      <c r="GI38" s="31">
        <f t="shared" si="29"/>
        <v>88.725999999999999</v>
      </c>
    </row>
    <row r="39" spans="1:191">
      <c r="C39" t="s">
        <v>129</v>
      </c>
      <c r="D39" s="94">
        <f>Parts!M71</f>
        <v>3.0465500000000003E-2</v>
      </c>
      <c r="E39">
        <f>(A35*2)+E35+E36+(2*E37)</f>
        <v>15</v>
      </c>
      <c r="G39" s="31">
        <f>$D$39</f>
        <v>3.0465500000000003E-2</v>
      </c>
      <c r="H39" s="31">
        <f>$G$39*H34</f>
        <v>6.0931000000000006E-2</v>
      </c>
      <c r="I39" s="31">
        <f t="shared" ref="I39:BT39" si="30">$G$39*I34</f>
        <v>9.1396500000000006E-2</v>
      </c>
      <c r="J39" s="31">
        <f t="shared" si="30"/>
        <v>0.12186200000000001</v>
      </c>
      <c r="K39" s="31">
        <f t="shared" si="30"/>
        <v>0.1523275</v>
      </c>
      <c r="L39" s="31">
        <f t="shared" si="30"/>
        <v>0.18279300000000001</v>
      </c>
      <c r="M39" s="31">
        <f t="shared" si="30"/>
        <v>0.21325850000000002</v>
      </c>
      <c r="N39" s="31">
        <f t="shared" si="30"/>
        <v>0.24372400000000002</v>
      </c>
      <c r="O39" s="31">
        <f t="shared" si="30"/>
        <v>0.27418950000000003</v>
      </c>
      <c r="P39" s="31">
        <f t="shared" si="30"/>
        <v>0.30465500000000001</v>
      </c>
      <c r="Q39" s="31">
        <f t="shared" si="30"/>
        <v>0.33512050000000004</v>
      </c>
      <c r="R39" s="31">
        <f t="shared" si="30"/>
        <v>0.36558600000000002</v>
      </c>
      <c r="S39" s="31">
        <f t="shared" si="30"/>
        <v>0.39605150000000006</v>
      </c>
      <c r="T39" s="31">
        <f t="shared" si="30"/>
        <v>0.42651700000000003</v>
      </c>
      <c r="U39" s="31">
        <f t="shared" si="30"/>
        <v>0.45698250000000007</v>
      </c>
      <c r="V39" s="31">
        <f t="shared" si="30"/>
        <v>0.48744800000000005</v>
      </c>
      <c r="W39" s="31">
        <f t="shared" si="30"/>
        <v>0.51791350000000003</v>
      </c>
      <c r="X39" s="31">
        <f t="shared" si="30"/>
        <v>0.54837900000000006</v>
      </c>
      <c r="Y39" s="31">
        <f t="shared" si="30"/>
        <v>0.5788445000000001</v>
      </c>
      <c r="Z39" s="31">
        <f t="shared" si="30"/>
        <v>0.60931000000000002</v>
      </c>
      <c r="AA39" s="31">
        <f t="shared" si="30"/>
        <v>0.63977550000000005</v>
      </c>
      <c r="AB39" s="31">
        <f t="shared" si="30"/>
        <v>0.67024100000000009</v>
      </c>
      <c r="AC39" s="31">
        <f t="shared" si="30"/>
        <v>0.70070650000000012</v>
      </c>
      <c r="AD39" s="31">
        <f t="shared" si="30"/>
        <v>0.73117200000000004</v>
      </c>
      <c r="AE39" s="31">
        <f t="shared" si="30"/>
        <v>0.76163750000000008</v>
      </c>
      <c r="AF39" s="31">
        <f t="shared" si="30"/>
        <v>0.79210300000000011</v>
      </c>
      <c r="AG39" s="31">
        <f t="shared" si="30"/>
        <v>0.82256850000000004</v>
      </c>
      <c r="AH39" s="31">
        <f t="shared" si="30"/>
        <v>0.85303400000000007</v>
      </c>
      <c r="AI39" s="31">
        <f t="shared" si="30"/>
        <v>0.8834995000000001</v>
      </c>
      <c r="AJ39" s="31">
        <f t="shared" si="30"/>
        <v>0.91396500000000014</v>
      </c>
      <c r="AK39" s="31">
        <f t="shared" si="30"/>
        <v>0.94443050000000006</v>
      </c>
      <c r="AL39" s="31">
        <f t="shared" si="30"/>
        <v>0.9748960000000001</v>
      </c>
      <c r="AM39" s="31">
        <f t="shared" si="30"/>
        <v>1.0053615</v>
      </c>
      <c r="AN39" s="31">
        <f t="shared" si="30"/>
        <v>1.0358270000000001</v>
      </c>
      <c r="AO39" s="31">
        <f t="shared" si="30"/>
        <v>1.0662925000000001</v>
      </c>
      <c r="AP39" s="31">
        <f t="shared" si="30"/>
        <v>1.0967580000000001</v>
      </c>
      <c r="AQ39" s="31">
        <f t="shared" si="30"/>
        <v>1.1272235000000002</v>
      </c>
      <c r="AR39" s="31">
        <f t="shared" si="30"/>
        <v>1.1576890000000002</v>
      </c>
      <c r="AS39" s="31">
        <f t="shared" si="30"/>
        <v>1.1881545000000002</v>
      </c>
      <c r="AT39" s="31">
        <f t="shared" si="30"/>
        <v>1.21862</v>
      </c>
      <c r="AU39" s="31">
        <f t="shared" si="30"/>
        <v>1.2490855000000001</v>
      </c>
      <c r="AV39" s="31">
        <f t="shared" si="30"/>
        <v>1.2795510000000001</v>
      </c>
      <c r="AW39" s="31">
        <f t="shared" si="30"/>
        <v>1.3100165000000001</v>
      </c>
      <c r="AX39" s="31">
        <f t="shared" si="30"/>
        <v>1.3404820000000002</v>
      </c>
      <c r="AY39" s="31">
        <f t="shared" si="30"/>
        <v>1.3709475000000002</v>
      </c>
      <c r="AZ39" s="31">
        <f t="shared" si="30"/>
        <v>1.4014130000000002</v>
      </c>
      <c r="BA39" s="31">
        <f t="shared" si="30"/>
        <v>1.4318785000000001</v>
      </c>
      <c r="BB39" s="31">
        <f t="shared" si="30"/>
        <v>1.4623440000000001</v>
      </c>
      <c r="BC39" s="31">
        <f t="shared" si="30"/>
        <v>1.4928095000000001</v>
      </c>
      <c r="BD39" s="31">
        <f t="shared" si="30"/>
        <v>1.5232750000000002</v>
      </c>
      <c r="BE39" s="31">
        <f t="shared" si="30"/>
        <v>1.5537405000000002</v>
      </c>
      <c r="BF39" s="31">
        <f t="shared" si="30"/>
        <v>1.5842060000000002</v>
      </c>
      <c r="BG39" s="31">
        <f t="shared" si="30"/>
        <v>1.6146715000000003</v>
      </c>
      <c r="BH39" s="31">
        <f t="shared" si="30"/>
        <v>1.6451370000000001</v>
      </c>
      <c r="BI39" s="31">
        <f t="shared" si="30"/>
        <v>1.6756025000000001</v>
      </c>
      <c r="BJ39" s="31">
        <f t="shared" si="30"/>
        <v>1.7060680000000001</v>
      </c>
      <c r="BK39" s="31">
        <f t="shared" si="30"/>
        <v>1.7365335000000002</v>
      </c>
      <c r="BL39" s="31">
        <f t="shared" si="30"/>
        <v>1.7669990000000002</v>
      </c>
      <c r="BM39" s="31">
        <f t="shared" si="30"/>
        <v>1.7974645000000002</v>
      </c>
      <c r="BN39" s="31">
        <f t="shared" si="30"/>
        <v>1.8279300000000003</v>
      </c>
      <c r="BO39" s="31">
        <f t="shared" si="30"/>
        <v>1.8583955000000001</v>
      </c>
      <c r="BP39" s="31">
        <f t="shared" si="30"/>
        <v>1.8888610000000001</v>
      </c>
      <c r="BQ39" s="31">
        <f t="shared" si="30"/>
        <v>1.9193265000000002</v>
      </c>
      <c r="BR39" s="31">
        <f t="shared" si="30"/>
        <v>1.9497920000000002</v>
      </c>
      <c r="BS39" s="31">
        <f t="shared" si="30"/>
        <v>1.9802575000000002</v>
      </c>
      <c r="BT39" s="31">
        <f t="shared" si="30"/>
        <v>2.010723</v>
      </c>
      <c r="BU39" s="31">
        <f t="shared" ref="BU39:CU39" si="31">$G$39*BU34</f>
        <v>2.0411885000000001</v>
      </c>
      <c r="BV39" s="31">
        <f t="shared" si="31"/>
        <v>2.0716540000000001</v>
      </c>
      <c r="BW39" s="31">
        <f t="shared" si="31"/>
        <v>2.1021195000000001</v>
      </c>
      <c r="BX39" s="31">
        <f t="shared" si="31"/>
        <v>2.1325850000000002</v>
      </c>
      <c r="BY39" s="31">
        <f t="shared" si="31"/>
        <v>2.1630505000000002</v>
      </c>
      <c r="BZ39" s="31">
        <f t="shared" si="31"/>
        <v>2.1935160000000002</v>
      </c>
      <c r="CA39" s="31">
        <f t="shared" si="31"/>
        <v>2.2239815000000003</v>
      </c>
      <c r="CB39" s="31">
        <f t="shared" si="31"/>
        <v>2.2544470000000003</v>
      </c>
      <c r="CC39" s="31">
        <f t="shared" si="31"/>
        <v>2.2849125000000003</v>
      </c>
      <c r="CD39" s="31">
        <f t="shared" si="31"/>
        <v>2.3153780000000004</v>
      </c>
      <c r="CE39" s="31">
        <f t="shared" si="31"/>
        <v>2.3458435000000004</v>
      </c>
      <c r="CF39" s="31">
        <f t="shared" si="31"/>
        <v>2.3763090000000004</v>
      </c>
      <c r="CG39" s="31">
        <f t="shared" si="31"/>
        <v>2.4067745</v>
      </c>
      <c r="CH39" s="31">
        <f t="shared" si="31"/>
        <v>2.4372400000000001</v>
      </c>
      <c r="CI39" s="31">
        <f t="shared" si="31"/>
        <v>2.4677055000000001</v>
      </c>
      <c r="CJ39" s="31">
        <f t="shared" si="31"/>
        <v>2.4981710000000001</v>
      </c>
      <c r="CK39" s="31">
        <f t="shared" si="31"/>
        <v>2.5286365000000002</v>
      </c>
      <c r="CL39" s="31">
        <f t="shared" si="31"/>
        <v>2.5591020000000002</v>
      </c>
      <c r="CM39" s="31">
        <f t="shared" si="31"/>
        <v>2.5895675000000002</v>
      </c>
      <c r="CN39" s="31">
        <f t="shared" si="31"/>
        <v>2.6200330000000003</v>
      </c>
      <c r="CO39" s="31">
        <f t="shared" si="31"/>
        <v>2.6504985000000003</v>
      </c>
      <c r="CP39" s="31">
        <f t="shared" si="31"/>
        <v>2.6809640000000003</v>
      </c>
      <c r="CQ39" s="31">
        <f t="shared" si="31"/>
        <v>2.7114295000000004</v>
      </c>
      <c r="CR39" s="31">
        <f t="shared" si="31"/>
        <v>2.7418950000000004</v>
      </c>
      <c r="CS39" s="31">
        <f t="shared" si="31"/>
        <v>2.7723605000000004</v>
      </c>
      <c r="CT39" s="31">
        <f t="shared" si="31"/>
        <v>2.8028260000000005</v>
      </c>
      <c r="CU39" s="31">
        <f t="shared" si="31"/>
        <v>2.8332915000000001</v>
      </c>
      <c r="CV39" s="31">
        <f t="shared" ref="CV39:DQ39" si="32">$G$39*CV34</f>
        <v>2.8637570000000001</v>
      </c>
      <c r="CW39" s="31">
        <f t="shared" si="32"/>
        <v>2.8942225000000001</v>
      </c>
      <c r="CX39" s="31">
        <f t="shared" si="32"/>
        <v>2.9246880000000002</v>
      </c>
      <c r="CY39" s="31">
        <f t="shared" si="32"/>
        <v>2.9551535000000002</v>
      </c>
      <c r="CZ39" s="31">
        <f t="shared" si="32"/>
        <v>2.9856190000000002</v>
      </c>
      <c r="DA39" s="31">
        <f t="shared" si="32"/>
        <v>3.0160845000000003</v>
      </c>
      <c r="DB39" s="31">
        <f t="shared" si="32"/>
        <v>3.0465500000000003</v>
      </c>
      <c r="DC39" s="31">
        <f t="shared" si="32"/>
        <v>3.0770155000000003</v>
      </c>
      <c r="DD39" s="31">
        <f t="shared" si="32"/>
        <v>3.1074810000000004</v>
      </c>
      <c r="DE39" s="31">
        <f t="shared" si="32"/>
        <v>3.1379465000000004</v>
      </c>
      <c r="DF39" s="31">
        <f t="shared" si="32"/>
        <v>3.1684120000000005</v>
      </c>
      <c r="DG39" s="31">
        <f t="shared" si="32"/>
        <v>3.1988775000000005</v>
      </c>
      <c r="DH39" s="31">
        <f t="shared" si="32"/>
        <v>3.2293430000000005</v>
      </c>
      <c r="DI39" s="31">
        <f t="shared" si="32"/>
        <v>3.2598085000000001</v>
      </c>
      <c r="DJ39" s="31">
        <f t="shared" si="32"/>
        <v>3.2902740000000001</v>
      </c>
      <c r="DK39" s="31">
        <f t="shared" si="32"/>
        <v>3.3207395000000002</v>
      </c>
      <c r="DL39" s="31">
        <f t="shared" si="32"/>
        <v>3.3512050000000002</v>
      </c>
      <c r="DM39" s="31">
        <f t="shared" si="32"/>
        <v>3.3816705000000002</v>
      </c>
      <c r="DN39" s="31">
        <f t="shared" si="32"/>
        <v>3.4121360000000003</v>
      </c>
      <c r="DO39" s="31">
        <f t="shared" si="32"/>
        <v>3.4426015000000003</v>
      </c>
      <c r="DP39" s="31">
        <f t="shared" si="32"/>
        <v>3.4730670000000003</v>
      </c>
      <c r="DQ39" s="31">
        <f t="shared" si="32"/>
        <v>3.5035325000000004</v>
      </c>
      <c r="DR39" s="31">
        <f t="shared" ref="DR39:GC39" si="33">$G$39*DR34</f>
        <v>3.5339980000000004</v>
      </c>
      <c r="DS39" s="31">
        <f t="shared" si="33"/>
        <v>3.5644635000000005</v>
      </c>
      <c r="DT39" s="31">
        <f t="shared" si="33"/>
        <v>3.5949290000000005</v>
      </c>
      <c r="DU39" s="31">
        <f t="shared" si="33"/>
        <v>3.6253945000000005</v>
      </c>
      <c r="DV39" s="31">
        <f t="shared" si="33"/>
        <v>3.6558600000000006</v>
      </c>
      <c r="DW39" s="31">
        <f t="shared" si="33"/>
        <v>3.6863255000000001</v>
      </c>
      <c r="DX39" s="31">
        <f t="shared" si="33"/>
        <v>3.7167910000000002</v>
      </c>
      <c r="DY39" s="31">
        <f t="shared" si="33"/>
        <v>3.7472565000000002</v>
      </c>
      <c r="DZ39" s="31">
        <f t="shared" si="33"/>
        <v>3.7777220000000002</v>
      </c>
      <c r="EA39" s="31">
        <f t="shared" si="33"/>
        <v>3.8081875000000003</v>
      </c>
      <c r="EB39" s="31">
        <f t="shared" si="33"/>
        <v>3.8386530000000003</v>
      </c>
      <c r="EC39" s="31">
        <f t="shared" si="33"/>
        <v>3.8691185000000003</v>
      </c>
      <c r="ED39" s="31">
        <f t="shared" si="33"/>
        <v>3.8995840000000004</v>
      </c>
      <c r="EE39" s="31">
        <f t="shared" si="33"/>
        <v>3.9300495000000004</v>
      </c>
      <c r="EF39" s="31">
        <f t="shared" si="33"/>
        <v>3.9605150000000005</v>
      </c>
      <c r="EG39" s="31">
        <f t="shared" si="33"/>
        <v>3.9909805000000005</v>
      </c>
      <c r="EH39" s="31">
        <f t="shared" si="33"/>
        <v>4.0214460000000001</v>
      </c>
      <c r="EI39" s="31">
        <f t="shared" si="33"/>
        <v>4.0519115000000001</v>
      </c>
      <c r="EJ39" s="31">
        <f t="shared" si="33"/>
        <v>4.0823770000000001</v>
      </c>
      <c r="EK39" s="31">
        <f t="shared" si="33"/>
        <v>4.1128425000000002</v>
      </c>
      <c r="EL39" s="31">
        <f t="shared" si="33"/>
        <v>4.1433080000000002</v>
      </c>
      <c r="EM39" s="31">
        <f t="shared" si="33"/>
        <v>4.1737735000000002</v>
      </c>
      <c r="EN39" s="31">
        <f t="shared" si="33"/>
        <v>4.2042390000000003</v>
      </c>
      <c r="EO39" s="31">
        <f t="shared" si="33"/>
        <v>4.2347045000000003</v>
      </c>
      <c r="EP39" s="31">
        <f t="shared" si="33"/>
        <v>4.2651700000000003</v>
      </c>
      <c r="EQ39" s="31">
        <f t="shared" si="33"/>
        <v>4.2956355000000004</v>
      </c>
      <c r="ER39" s="31">
        <f t="shared" si="33"/>
        <v>4.3261010000000004</v>
      </c>
      <c r="ES39" s="31">
        <f t="shared" si="33"/>
        <v>4.3565665000000005</v>
      </c>
      <c r="ET39" s="31">
        <f t="shared" si="33"/>
        <v>4.3870320000000005</v>
      </c>
      <c r="EU39" s="31">
        <f t="shared" si="33"/>
        <v>4.4174975000000005</v>
      </c>
      <c r="EV39" s="31">
        <f t="shared" si="33"/>
        <v>4.4479630000000006</v>
      </c>
      <c r="EW39" s="31">
        <f t="shared" si="33"/>
        <v>4.4784285000000006</v>
      </c>
      <c r="EX39" s="31">
        <f t="shared" si="33"/>
        <v>4.5088940000000006</v>
      </c>
      <c r="EY39" s="31">
        <f t="shared" si="33"/>
        <v>4.5393595000000007</v>
      </c>
      <c r="EZ39" s="31">
        <f t="shared" si="33"/>
        <v>4.5698250000000007</v>
      </c>
      <c r="FA39" s="31">
        <f t="shared" si="33"/>
        <v>4.6002905000000007</v>
      </c>
      <c r="FB39" s="31">
        <f t="shared" si="33"/>
        <v>4.6307560000000008</v>
      </c>
      <c r="FC39" s="31">
        <f t="shared" si="33"/>
        <v>4.6612215000000008</v>
      </c>
      <c r="FD39" s="31">
        <f t="shared" si="33"/>
        <v>4.6916870000000008</v>
      </c>
      <c r="FE39" s="31">
        <f t="shared" si="33"/>
        <v>4.7221525000000009</v>
      </c>
      <c r="FF39" s="31">
        <f t="shared" si="33"/>
        <v>4.7526180000000009</v>
      </c>
      <c r="FG39" s="31">
        <f t="shared" si="33"/>
        <v>4.7830835</v>
      </c>
      <c r="FH39" s="31">
        <f t="shared" si="33"/>
        <v>4.8135490000000001</v>
      </c>
      <c r="FI39" s="31">
        <f t="shared" si="33"/>
        <v>4.8440145000000001</v>
      </c>
      <c r="FJ39" s="31">
        <f t="shared" si="33"/>
        <v>4.8744800000000001</v>
      </c>
      <c r="FK39" s="31">
        <f t="shared" si="33"/>
        <v>4.9049455000000002</v>
      </c>
      <c r="FL39" s="31">
        <f t="shared" si="33"/>
        <v>4.9354110000000002</v>
      </c>
      <c r="FM39" s="31">
        <f t="shared" si="33"/>
        <v>4.9658765000000002</v>
      </c>
      <c r="FN39" s="31">
        <f t="shared" si="33"/>
        <v>4.9963420000000003</v>
      </c>
      <c r="FO39" s="31">
        <f t="shared" si="33"/>
        <v>5.0268075000000003</v>
      </c>
      <c r="FP39" s="31">
        <f t="shared" si="33"/>
        <v>5.0572730000000004</v>
      </c>
      <c r="FQ39" s="31">
        <f t="shared" si="33"/>
        <v>5.0877385000000004</v>
      </c>
      <c r="FR39" s="31">
        <f t="shared" si="33"/>
        <v>5.1182040000000004</v>
      </c>
      <c r="FS39" s="31">
        <f t="shared" si="33"/>
        <v>5.1486695000000005</v>
      </c>
      <c r="FT39" s="31">
        <f t="shared" si="33"/>
        <v>5.1791350000000005</v>
      </c>
      <c r="FU39" s="31">
        <f t="shared" si="33"/>
        <v>5.2096005000000005</v>
      </c>
      <c r="FV39" s="31">
        <f t="shared" si="33"/>
        <v>5.2400660000000006</v>
      </c>
      <c r="FW39" s="31">
        <f t="shared" si="33"/>
        <v>5.2705315000000006</v>
      </c>
      <c r="FX39" s="31">
        <f t="shared" si="33"/>
        <v>5.3009970000000006</v>
      </c>
      <c r="FY39" s="31">
        <f t="shared" si="33"/>
        <v>5.3314625000000007</v>
      </c>
      <c r="FZ39" s="31">
        <f t="shared" si="33"/>
        <v>5.3619280000000007</v>
      </c>
      <c r="GA39" s="31">
        <f t="shared" si="33"/>
        <v>5.3923935000000007</v>
      </c>
      <c r="GB39" s="31">
        <f t="shared" si="33"/>
        <v>5.4228590000000008</v>
      </c>
      <c r="GC39" s="31">
        <f t="shared" si="33"/>
        <v>5.4533245000000008</v>
      </c>
      <c r="GD39" s="31">
        <f t="shared" ref="GD39:GI39" si="34">$G$39*GD34</f>
        <v>5.4837900000000008</v>
      </c>
      <c r="GE39" s="31">
        <f t="shared" si="34"/>
        <v>5.5142555000000009</v>
      </c>
      <c r="GF39" s="31">
        <f t="shared" si="34"/>
        <v>5.5447210000000009</v>
      </c>
      <c r="GG39" s="31">
        <f t="shared" si="34"/>
        <v>5.5751865000000009</v>
      </c>
      <c r="GH39" s="31">
        <f t="shared" si="34"/>
        <v>5.605652000000001</v>
      </c>
      <c r="GI39" s="31">
        <f t="shared" si="34"/>
        <v>5.6361175000000001</v>
      </c>
    </row>
    <row r="40" spans="1:191">
      <c r="C40" t="s">
        <v>130</v>
      </c>
      <c r="D40" s="94">
        <f>Parts!M67</f>
        <v>0.87200000000000011</v>
      </c>
      <c r="E40">
        <v>8</v>
      </c>
      <c r="G40" s="31">
        <f>$D$40</f>
        <v>0.87200000000000011</v>
      </c>
      <c r="H40" s="31">
        <f t="shared" ref="H40:L40" si="35">$D$40</f>
        <v>0.87200000000000011</v>
      </c>
      <c r="I40" s="31">
        <f t="shared" si="35"/>
        <v>0.87200000000000011</v>
      </c>
      <c r="J40" s="31">
        <f t="shared" si="35"/>
        <v>0.87200000000000011</v>
      </c>
      <c r="K40" s="31">
        <f t="shared" si="35"/>
        <v>0.87200000000000011</v>
      </c>
      <c r="L40" s="31">
        <f t="shared" si="35"/>
        <v>0.87200000000000011</v>
      </c>
      <c r="M40" s="31">
        <f>$D$40*2</f>
        <v>1.7440000000000002</v>
      </c>
      <c r="N40" s="31">
        <f t="shared" ref="N40:R40" si="36">$D$40*2</f>
        <v>1.7440000000000002</v>
      </c>
      <c r="O40" s="31">
        <f t="shared" si="36"/>
        <v>1.7440000000000002</v>
      </c>
      <c r="P40" s="31">
        <f t="shared" si="36"/>
        <v>1.7440000000000002</v>
      </c>
      <c r="Q40" s="31">
        <f t="shared" si="36"/>
        <v>1.7440000000000002</v>
      </c>
      <c r="R40" s="31">
        <f t="shared" si="36"/>
        <v>1.7440000000000002</v>
      </c>
      <c r="S40" s="31">
        <f>$D$40*3</f>
        <v>2.6160000000000005</v>
      </c>
      <c r="T40" s="31">
        <f t="shared" ref="T40:X40" si="37">$D$40*3</f>
        <v>2.6160000000000005</v>
      </c>
      <c r="U40" s="31">
        <f t="shared" si="37"/>
        <v>2.6160000000000005</v>
      </c>
      <c r="V40" s="31">
        <f t="shared" si="37"/>
        <v>2.6160000000000005</v>
      </c>
      <c r="W40" s="31">
        <f t="shared" si="37"/>
        <v>2.6160000000000005</v>
      </c>
      <c r="X40" s="31">
        <f t="shared" si="37"/>
        <v>2.6160000000000005</v>
      </c>
      <c r="Y40" s="31">
        <f>$D$40*4</f>
        <v>3.4880000000000004</v>
      </c>
      <c r="Z40" s="31">
        <f t="shared" ref="Z40:AD40" si="38">$D$40*4</f>
        <v>3.4880000000000004</v>
      </c>
      <c r="AA40" s="31">
        <f t="shared" si="38"/>
        <v>3.4880000000000004</v>
      </c>
      <c r="AB40" s="31">
        <f t="shared" si="38"/>
        <v>3.4880000000000004</v>
      </c>
      <c r="AC40" s="31">
        <f t="shared" si="38"/>
        <v>3.4880000000000004</v>
      </c>
      <c r="AD40" s="31">
        <f t="shared" si="38"/>
        <v>3.4880000000000004</v>
      </c>
      <c r="AE40" s="31">
        <f>$D$40*5</f>
        <v>4.3600000000000003</v>
      </c>
      <c r="AF40" s="31">
        <f t="shared" ref="AF40:CQ40" si="39">$D$40*5</f>
        <v>4.3600000000000003</v>
      </c>
      <c r="AG40" s="31">
        <f t="shared" si="39"/>
        <v>4.3600000000000003</v>
      </c>
      <c r="AH40" s="31">
        <f t="shared" si="39"/>
        <v>4.3600000000000003</v>
      </c>
      <c r="AI40" s="31">
        <f t="shared" si="39"/>
        <v>4.3600000000000003</v>
      </c>
      <c r="AJ40" s="31">
        <f t="shared" si="39"/>
        <v>4.3600000000000003</v>
      </c>
      <c r="AK40" s="31">
        <f t="shared" si="39"/>
        <v>4.3600000000000003</v>
      </c>
      <c r="AL40" s="31">
        <f t="shared" si="39"/>
        <v>4.3600000000000003</v>
      </c>
      <c r="AM40" s="31">
        <f t="shared" si="39"/>
        <v>4.3600000000000003</v>
      </c>
      <c r="AN40" s="31">
        <f t="shared" si="39"/>
        <v>4.3600000000000003</v>
      </c>
      <c r="AO40" s="31">
        <f t="shared" si="39"/>
        <v>4.3600000000000003</v>
      </c>
      <c r="AP40" s="31">
        <f t="shared" si="39"/>
        <v>4.3600000000000003</v>
      </c>
      <c r="AQ40" s="31">
        <f t="shared" si="39"/>
        <v>4.3600000000000003</v>
      </c>
      <c r="AR40" s="31">
        <f t="shared" si="39"/>
        <v>4.3600000000000003</v>
      </c>
      <c r="AS40" s="31">
        <f t="shared" si="39"/>
        <v>4.3600000000000003</v>
      </c>
      <c r="AT40" s="31">
        <f t="shared" si="39"/>
        <v>4.3600000000000003</v>
      </c>
      <c r="AU40" s="31">
        <f t="shared" si="39"/>
        <v>4.3600000000000003</v>
      </c>
      <c r="AV40" s="31">
        <f t="shared" si="39"/>
        <v>4.3600000000000003</v>
      </c>
      <c r="AW40" s="31">
        <f t="shared" si="39"/>
        <v>4.3600000000000003</v>
      </c>
      <c r="AX40" s="31">
        <f t="shared" si="39"/>
        <v>4.3600000000000003</v>
      </c>
      <c r="AY40" s="31">
        <f t="shared" si="39"/>
        <v>4.3600000000000003</v>
      </c>
      <c r="AZ40" s="31">
        <f t="shared" si="39"/>
        <v>4.3600000000000003</v>
      </c>
      <c r="BA40" s="31">
        <f t="shared" si="39"/>
        <v>4.3600000000000003</v>
      </c>
      <c r="BB40" s="31">
        <f t="shared" si="39"/>
        <v>4.3600000000000003</v>
      </c>
      <c r="BC40" s="31">
        <f t="shared" si="39"/>
        <v>4.3600000000000003</v>
      </c>
      <c r="BD40" s="31">
        <f t="shared" si="39"/>
        <v>4.3600000000000003</v>
      </c>
      <c r="BE40" s="31">
        <f t="shared" si="39"/>
        <v>4.3600000000000003</v>
      </c>
      <c r="BF40" s="31">
        <f t="shared" si="39"/>
        <v>4.3600000000000003</v>
      </c>
      <c r="BG40" s="31">
        <f t="shared" si="39"/>
        <v>4.3600000000000003</v>
      </c>
      <c r="BH40" s="31">
        <f t="shared" si="39"/>
        <v>4.3600000000000003</v>
      </c>
      <c r="BI40" s="31">
        <f t="shared" si="39"/>
        <v>4.3600000000000003</v>
      </c>
      <c r="BJ40" s="31">
        <f t="shared" si="39"/>
        <v>4.3600000000000003</v>
      </c>
      <c r="BK40" s="31">
        <f t="shared" si="39"/>
        <v>4.3600000000000003</v>
      </c>
      <c r="BL40" s="31">
        <f t="shared" si="39"/>
        <v>4.3600000000000003</v>
      </c>
      <c r="BM40" s="31">
        <f t="shared" si="39"/>
        <v>4.3600000000000003</v>
      </c>
      <c r="BN40" s="31">
        <f t="shared" si="39"/>
        <v>4.3600000000000003</v>
      </c>
      <c r="BO40" s="31">
        <f t="shared" si="39"/>
        <v>4.3600000000000003</v>
      </c>
      <c r="BP40" s="31">
        <f t="shared" si="39"/>
        <v>4.3600000000000003</v>
      </c>
      <c r="BQ40" s="31">
        <f t="shared" si="39"/>
        <v>4.3600000000000003</v>
      </c>
      <c r="BR40" s="31">
        <f t="shared" si="39"/>
        <v>4.3600000000000003</v>
      </c>
      <c r="BS40" s="31">
        <f t="shared" si="39"/>
        <v>4.3600000000000003</v>
      </c>
      <c r="BT40" s="31">
        <f t="shared" si="39"/>
        <v>4.3600000000000003</v>
      </c>
      <c r="BU40" s="31">
        <f t="shared" si="39"/>
        <v>4.3600000000000003</v>
      </c>
      <c r="BV40" s="31">
        <f t="shared" si="39"/>
        <v>4.3600000000000003</v>
      </c>
      <c r="BW40" s="31">
        <f t="shared" si="39"/>
        <v>4.3600000000000003</v>
      </c>
      <c r="BX40" s="31">
        <f t="shared" si="39"/>
        <v>4.3600000000000003</v>
      </c>
      <c r="BY40" s="31">
        <f t="shared" si="39"/>
        <v>4.3600000000000003</v>
      </c>
      <c r="BZ40" s="31">
        <f t="shared" si="39"/>
        <v>4.3600000000000003</v>
      </c>
      <c r="CA40" s="31">
        <f t="shared" si="39"/>
        <v>4.3600000000000003</v>
      </c>
      <c r="CB40" s="31">
        <f t="shared" si="39"/>
        <v>4.3600000000000003</v>
      </c>
      <c r="CC40" s="31">
        <f t="shared" si="39"/>
        <v>4.3600000000000003</v>
      </c>
      <c r="CD40" s="31">
        <f t="shared" si="39"/>
        <v>4.3600000000000003</v>
      </c>
      <c r="CE40" s="31">
        <f t="shared" si="39"/>
        <v>4.3600000000000003</v>
      </c>
      <c r="CF40" s="31">
        <f t="shared" si="39"/>
        <v>4.3600000000000003</v>
      </c>
      <c r="CG40" s="31">
        <f t="shared" si="39"/>
        <v>4.3600000000000003</v>
      </c>
      <c r="CH40" s="31">
        <f t="shared" si="39"/>
        <v>4.3600000000000003</v>
      </c>
      <c r="CI40" s="31">
        <f t="shared" si="39"/>
        <v>4.3600000000000003</v>
      </c>
      <c r="CJ40" s="31">
        <f t="shared" si="39"/>
        <v>4.3600000000000003</v>
      </c>
      <c r="CK40" s="31">
        <f t="shared" si="39"/>
        <v>4.3600000000000003</v>
      </c>
      <c r="CL40" s="31">
        <f t="shared" si="39"/>
        <v>4.3600000000000003</v>
      </c>
      <c r="CM40" s="31">
        <f t="shared" si="39"/>
        <v>4.3600000000000003</v>
      </c>
      <c r="CN40" s="31">
        <f t="shared" si="39"/>
        <v>4.3600000000000003</v>
      </c>
      <c r="CO40" s="31">
        <f t="shared" si="39"/>
        <v>4.3600000000000003</v>
      </c>
      <c r="CP40" s="31">
        <f t="shared" si="39"/>
        <v>4.3600000000000003</v>
      </c>
      <c r="CQ40" s="31">
        <f t="shared" si="39"/>
        <v>4.3600000000000003</v>
      </c>
      <c r="CR40" s="31">
        <f t="shared" ref="CR40:FC40" si="40">$D$40*5</f>
        <v>4.3600000000000003</v>
      </c>
      <c r="CS40" s="31">
        <f t="shared" si="40"/>
        <v>4.3600000000000003</v>
      </c>
      <c r="CT40" s="31">
        <f t="shared" si="40"/>
        <v>4.3600000000000003</v>
      </c>
      <c r="CU40" s="31">
        <f t="shared" si="40"/>
        <v>4.3600000000000003</v>
      </c>
      <c r="CV40" s="31">
        <f t="shared" si="40"/>
        <v>4.3600000000000003</v>
      </c>
      <c r="CW40" s="31">
        <f t="shared" si="40"/>
        <v>4.3600000000000003</v>
      </c>
      <c r="CX40" s="31">
        <f t="shared" si="40"/>
        <v>4.3600000000000003</v>
      </c>
      <c r="CY40" s="31">
        <f t="shared" si="40"/>
        <v>4.3600000000000003</v>
      </c>
      <c r="CZ40" s="31">
        <f t="shared" si="40"/>
        <v>4.3600000000000003</v>
      </c>
      <c r="DA40" s="31">
        <f t="shared" si="40"/>
        <v>4.3600000000000003</v>
      </c>
      <c r="DB40" s="31">
        <f t="shared" si="40"/>
        <v>4.3600000000000003</v>
      </c>
      <c r="DC40" s="31">
        <f t="shared" si="40"/>
        <v>4.3600000000000003</v>
      </c>
      <c r="DD40" s="31">
        <f t="shared" si="40"/>
        <v>4.3600000000000003</v>
      </c>
      <c r="DE40" s="31">
        <f t="shared" si="40"/>
        <v>4.3600000000000003</v>
      </c>
      <c r="DF40" s="31">
        <f t="shared" si="40"/>
        <v>4.3600000000000003</v>
      </c>
      <c r="DG40" s="31">
        <f t="shared" si="40"/>
        <v>4.3600000000000003</v>
      </c>
      <c r="DH40" s="31">
        <f t="shared" si="40"/>
        <v>4.3600000000000003</v>
      </c>
      <c r="DI40" s="31">
        <f t="shared" si="40"/>
        <v>4.3600000000000003</v>
      </c>
      <c r="DJ40" s="31">
        <f t="shared" si="40"/>
        <v>4.3600000000000003</v>
      </c>
      <c r="DK40" s="31">
        <f t="shared" si="40"/>
        <v>4.3600000000000003</v>
      </c>
      <c r="DL40" s="31">
        <f t="shared" si="40"/>
        <v>4.3600000000000003</v>
      </c>
      <c r="DM40" s="31">
        <f t="shared" si="40"/>
        <v>4.3600000000000003</v>
      </c>
      <c r="DN40" s="31">
        <f t="shared" si="40"/>
        <v>4.3600000000000003</v>
      </c>
      <c r="DO40" s="31">
        <f t="shared" si="40"/>
        <v>4.3600000000000003</v>
      </c>
      <c r="DP40" s="31">
        <f t="shared" si="40"/>
        <v>4.3600000000000003</v>
      </c>
      <c r="DQ40" s="31">
        <f t="shared" si="40"/>
        <v>4.3600000000000003</v>
      </c>
      <c r="DR40" s="31">
        <f t="shared" si="40"/>
        <v>4.3600000000000003</v>
      </c>
      <c r="DS40" s="31">
        <f t="shared" si="40"/>
        <v>4.3600000000000003</v>
      </c>
      <c r="DT40" s="31">
        <f t="shared" si="40"/>
        <v>4.3600000000000003</v>
      </c>
      <c r="DU40" s="31">
        <f t="shared" si="40"/>
        <v>4.3600000000000003</v>
      </c>
      <c r="DV40" s="31">
        <f t="shared" si="40"/>
        <v>4.3600000000000003</v>
      </c>
      <c r="DW40" s="31">
        <f t="shared" si="40"/>
        <v>4.3600000000000003</v>
      </c>
      <c r="DX40" s="31">
        <f t="shared" si="40"/>
        <v>4.3600000000000003</v>
      </c>
      <c r="DY40" s="31">
        <f t="shared" si="40"/>
        <v>4.3600000000000003</v>
      </c>
      <c r="DZ40" s="31">
        <f t="shared" si="40"/>
        <v>4.3600000000000003</v>
      </c>
      <c r="EA40" s="31">
        <f t="shared" si="40"/>
        <v>4.3600000000000003</v>
      </c>
      <c r="EB40" s="31">
        <f t="shared" si="40"/>
        <v>4.3600000000000003</v>
      </c>
      <c r="EC40" s="31">
        <f t="shared" si="40"/>
        <v>4.3600000000000003</v>
      </c>
      <c r="ED40" s="31">
        <f t="shared" si="40"/>
        <v>4.3600000000000003</v>
      </c>
      <c r="EE40" s="31">
        <f t="shared" si="40"/>
        <v>4.3600000000000003</v>
      </c>
      <c r="EF40" s="31">
        <f t="shared" si="40"/>
        <v>4.3600000000000003</v>
      </c>
      <c r="EG40" s="31">
        <f t="shared" si="40"/>
        <v>4.3600000000000003</v>
      </c>
      <c r="EH40" s="31">
        <f t="shared" si="40"/>
        <v>4.3600000000000003</v>
      </c>
      <c r="EI40" s="31">
        <f t="shared" si="40"/>
        <v>4.3600000000000003</v>
      </c>
      <c r="EJ40" s="31">
        <f t="shared" si="40"/>
        <v>4.3600000000000003</v>
      </c>
      <c r="EK40" s="31">
        <f t="shared" si="40"/>
        <v>4.3600000000000003</v>
      </c>
      <c r="EL40" s="31">
        <f t="shared" si="40"/>
        <v>4.3600000000000003</v>
      </c>
      <c r="EM40" s="31">
        <f t="shared" si="40"/>
        <v>4.3600000000000003</v>
      </c>
      <c r="EN40" s="31">
        <f t="shared" si="40"/>
        <v>4.3600000000000003</v>
      </c>
      <c r="EO40" s="31">
        <f t="shared" si="40"/>
        <v>4.3600000000000003</v>
      </c>
      <c r="EP40" s="31">
        <f t="shared" si="40"/>
        <v>4.3600000000000003</v>
      </c>
      <c r="EQ40" s="31">
        <f t="shared" si="40"/>
        <v>4.3600000000000003</v>
      </c>
      <c r="ER40" s="31">
        <f t="shared" si="40"/>
        <v>4.3600000000000003</v>
      </c>
      <c r="ES40" s="31">
        <f t="shared" si="40"/>
        <v>4.3600000000000003</v>
      </c>
      <c r="ET40" s="31">
        <f t="shared" si="40"/>
        <v>4.3600000000000003</v>
      </c>
      <c r="EU40" s="31">
        <f t="shared" si="40"/>
        <v>4.3600000000000003</v>
      </c>
      <c r="EV40" s="31">
        <f t="shared" si="40"/>
        <v>4.3600000000000003</v>
      </c>
      <c r="EW40" s="31">
        <f t="shared" si="40"/>
        <v>4.3600000000000003</v>
      </c>
      <c r="EX40" s="31">
        <f t="shared" si="40"/>
        <v>4.3600000000000003</v>
      </c>
      <c r="EY40" s="31">
        <f t="shared" si="40"/>
        <v>4.3600000000000003</v>
      </c>
      <c r="EZ40" s="31">
        <f t="shared" si="40"/>
        <v>4.3600000000000003</v>
      </c>
      <c r="FA40" s="31">
        <f t="shared" si="40"/>
        <v>4.3600000000000003</v>
      </c>
      <c r="FB40" s="31">
        <f t="shared" si="40"/>
        <v>4.3600000000000003</v>
      </c>
      <c r="FC40" s="31">
        <f t="shared" si="40"/>
        <v>4.3600000000000003</v>
      </c>
      <c r="FD40" s="31">
        <f t="shared" ref="FD40:GI40" si="41">$D$40*5</f>
        <v>4.3600000000000003</v>
      </c>
      <c r="FE40" s="31">
        <f t="shared" si="41"/>
        <v>4.3600000000000003</v>
      </c>
      <c r="FF40" s="31">
        <f t="shared" si="41"/>
        <v>4.3600000000000003</v>
      </c>
      <c r="FG40" s="31">
        <f t="shared" si="41"/>
        <v>4.3600000000000003</v>
      </c>
      <c r="FH40" s="31">
        <f t="shared" si="41"/>
        <v>4.3600000000000003</v>
      </c>
      <c r="FI40" s="31">
        <f t="shared" si="41"/>
        <v>4.3600000000000003</v>
      </c>
      <c r="FJ40" s="31">
        <f t="shared" si="41"/>
        <v>4.3600000000000003</v>
      </c>
      <c r="FK40" s="31">
        <f t="shared" si="41"/>
        <v>4.3600000000000003</v>
      </c>
      <c r="FL40" s="31">
        <f t="shared" si="41"/>
        <v>4.3600000000000003</v>
      </c>
      <c r="FM40" s="31">
        <f t="shared" si="41"/>
        <v>4.3600000000000003</v>
      </c>
      <c r="FN40" s="31">
        <f t="shared" si="41"/>
        <v>4.3600000000000003</v>
      </c>
      <c r="FO40" s="31">
        <f t="shared" si="41"/>
        <v>4.3600000000000003</v>
      </c>
      <c r="FP40" s="31">
        <f t="shared" si="41"/>
        <v>4.3600000000000003</v>
      </c>
      <c r="FQ40" s="31">
        <f t="shared" si="41"/>
        <v>4.3600000000000003</v>
      </c>
      <c r="FR40" s="31">
        <f t="shared" si="41"/>
        <v>4.3600000000000003</v>
      </c>
      <c r="FS40" s="31">
        <f t="shared" si="41"/>
        <v>4.3600000000000003</v>
      </c>
      <c r="FT40" s="31">
        <f t="shared" si="41"/>
        <v>4.3600000000000003</v>
      </c>
      <c r="FU40" s="31">
        <f t="shared" si="41"/>
        <v>4.3600000000000003</v>
      </c>
      <c r="FV40" s="31">
        <f t="shared" si="41"/>
        <v>4.3600000000000003</v>
      </c>
      <c r="FW40" s="31">
        <f t="shared" si="41"/>
        <v>4.3600000000000003</v>
      </c>
      <c r="FX40" s="31">
        <f t="shared" si="41"/>
        <v>4.3600000000000003</v>
      </c>
      <c r="FY40" s="31">
        <f t="shared" si="41"/>
        <v>4.3600000000000003</v>
      </c>
      <c r="FZ40" s="31">
        <f t="shared" si="41"/>
        <v>4.3600000000000003</v>
      </c>
      <c r="GA40" s="31">
        <f t="shared" si="41"/>
        <v>4.3600000000000003</v>
      </c>
      <c r="GB40" s="31">
        <f t="shared" si="41"/>
        <v>4.3600000000000003</v>
      </c>
      <c r="GC40" s="31">
        <f t="shared" si="41"/>
        <v>4.3600000000000003</v>
      </c>
      <c r="GD40" s="31">
        <f t="shared" si="41"/>
        <v>4.3600000000000003</v>
      </c>
      <c r="GE40" s="31">
        <f t="shared" si="41"/>
        <v>4.3600000000000003</v>
      </c>
      <c r="GF40" s="31">
        <f t="shared" si="41"/>
        <v>4.3600000000000003</v>
      </c>
      <c r="GG40" s="31">
        <f t="shared" si="41"/>
        <v>4.3600000000000003</v>
      </c>
      <c r="GH40" s="31">
        <f t="shared" si="41"/>
        <v>4.3600000000000003</v>
      </c>
      <c r="GI40" s="31">
        <f t="shared" si="41"/>
        <v>4.3600000000000003</v>
      </c>
    </row>
    <row r="41" spans="1:191">
      <c r="C41" t="s">
        <v>131</v>
      </c>
      <c r="D41" s="94">
        <f>0.07*2</f>
        <v>0.14000000000000001</v>
      </c>
      <c r="E41">
        <f>A35</f>
        <v>4.5</v>
      </c>
      <c r="G41" s="31">
        <f>$D$41</f>
        <v>0.14000000000000001</v>
      </c>
      <c r="H41" s="31">
        <f>$G$41*H34</f>
        <v>0.28000000000000003</v>
      </c>
      <c r="I41" s="31">
        <f t="shared" ref="I41:BT41" si="42">$G$41*I34</f>
        <v>0.42000000000000004</v>
      </c>
      <c r="J41" s="31">
        <f t="shared" si="42"/>
        <v>0.56000000000000005</v>
      </c>
      <c r="K41" s="31">
        <f t="shared" si="42"/>
        <v>0.70000000000000007</v>
      </c>
      <c r="L41" s="31">
        <f t="shared" si="42"/>
        <v>0.84000000000000008</v>
      </c>
      <c r="M41" s="31">
        <f t="shared" si="42"/>
        <v>0.98000000000000009</v>
      </c>
      <c r="N41" s="31">
        <f t="shared" si="42"/>
        <v>1.1200000000000001</v>
      </c>
      <c r="O41" s="31">
        <f t="shared" si="42"/>
        <v>1.2600000000000002</v>
      </c>
      <c r="P41" s="31">
        <f t="shared" si="42"/>
        <v>1.4000000000000001</v>
      </c>
      <c r="Q41" s="31">
        <f t="shared" si="42"/>
        <v>1.54</v>
      </c>
      <c r="R41" s="31">
        <f t="shared" si="42"/>
        <v>1.6800000000000002</v>
      </c>
      <c r="S41" s="31">
        <f t="shared" si="42"/>
        <v>1.8200000000000003</v>
      </c>
      <c r="T41" s="31">
        <f t="shared" si="42"/>
        <v>1.9600000000000002</v>
      </c>
      <c r="U41" s="31">
        <f t="shared" si="42"/>
        <v>2.1</v>
      </c>
      <c r="V41" s="31">
        <f t="shared" si="42"/>
        <v>2.2400000000000002</v>
      </c>
      <c r="W41" s="31">
        <f t="shared" si="42"/>
        <v>2.3800000000000003</v>
      </c>
      <c r="X41" s="31">
        <f t="shared" si="42"/>
        <v>2.5200000000000005</v>
      </c>
      <c r="Y41" s="31">
        <f t="shared" si="42"/>
        <v>2.66</v>
      </c>
      <c r="Z41" s="31">
        <f t="shared" si="42"/>
        <v>2.8000000000000003</v>
      </c>
      <c r="AA41" s="31">
        <f t="shared" si="42"/>
        <v>2.9400000000000004</v>
      </c>
      <c r="AB41" s="31">
        <f t="shared" si="42"/>
        <v>3.08</v>
      </c>
      <c r="AC41" s="31">
        <f t="shared" si="42"/>
        <v>3.22</v>
      </c>
      <c r="AD41" s="31">
        <f t="shared" si="42"/>
        <v>3.3600000000000003</v>
      </c>
      <c r="AE41" s="31">
        <f t="shared" si="42"/>
        <v>3.5000000000000004</v>
      </c>
      <c r="AF41" s="31">
        <f t="shared" si="42"/>
        <v>3.6400000000000006</v>
      </c>
      <c r="AG41" s="31">
        <f t="shared" si="42"/>
        <v>3.7800000000000002</v>
      </c>
      <c r="AH41" s="31">
        <f t="shared" si="42"/>
        <v>3.9200000000000004</v>
      </c>
      <c r="AI41" s="31">
        <f t="shared" si="42"/>
        <v>4.0600000000000005</v>
      </c>
      <c r="AJ41" s="31">
        <f t="shared" si="42"/>
        <v>4.2</v>
      </c>
      <c r="AK41" s="31">
        <f t="shared" si="42"/>
        <v>4.3400000000000007</v>
      </c>
      <c r="AL41" s="31">
        <f t="shared" si="42"/>
        <v>4.4800000000000004</v>
      </c>
      <c r="AM41" s="31">
        <f t="shared" si="42"/>
        <v>4.62</v>
      </c>
      <c r="AN41" s="31">
        <f t="shared" si="42"/>
        <v>4.7600000000000007</v>
      </c>
      <c r="AO41" s="31">
        <f t="shared" si="42"/>
        <v>4.9000000000000004</v>
      </c>
      <c r="AP41" s="31">
        <f t="shared" si="42"/>
        <v>5.0400000000000009</v>
      </c>
      <c r="AQ41" s="31">
        <f t="shared" si="42"/>
        <v>5.1800000000000006</v>
      </c>
      <c r="AR41" s="31">
        <f t="shared" si="42"/>
        <v>5.32</v>
      </c>
      <c r="AS41" s="31">
        <f t="shared" si="42"/>
        <v>5.4600000000000009</v>
      </c>
      <c r="AT41" s="31">
        <f t="shared" si="42"/>
        <v>5.6000000000000005</v>
      </c>
      <c r="AU41" s="31">
        <f t="shared" si="42"/>
        <v>5.74</v>
      </c>
      <c r="AV41" s="31">
        <f t="shared" si="42"/>
        <v>5.8800000000000008</v>
      </c>
      <c r="AW41" s="31">
        <f t="shared" si="42"/>
        <v>6.0200000000000005</v>
      </c>
      <c r="AX41" s="31">
        <f t="shared" si="42"/>
        <v>6.16</v>
      </c>
      <c r="AY41" s="31">
        <f t="shared" si="42"/>
        <v>6.3000000000000007</v>
      </c>
      <c r="AZ41" s="31">
        <f t="shared" si="42"/>
        <v>6.44</v>
      </c>
      <c r="BA41" s="31">
        <f t="shared" si="42"/>
        <v>6.580000000000001</v>
      </c>
      <c r="BB41" s="31">
        <f t="shared" si="42"/>
        <v>6.7200000000000006</v>
      </c>
      <c r="BC41" s="31">
        <f t="shared" si="42"/>
        <v>6.86</v>
      </c>
      <c r="BD41" s="31">
        <f t="shared" si="42"/>
        <v>7.0000000000000009</v>
      </c>
      <c r="BE41" s="31">
        <f t="shared" si="42"/>
        <v>7.1400000000000006</v>
      </c>
      <c r="BF41" s="31">
        <f t="shared" si="42"/>
        <v>7.2800000000000011</v>
      </c>
      <c r="BG41" s="31">
        <f t="shared" si="42"/>
        <v>7.4200000000000008</v>
      </c>
      <c r="BH41" s="31">
        <f t="shared" si="42"/>
        <v>7.5600000000000005</v>
      </c>
      <c r="BI41" s="31">
        <f t="shared" si="42"/>
        <v>7.7000000000000011</v>
      </c>
      <c r="BJ41" s="31">
        <f t="shared" si="42"/>
        <v>7.8400000000000007</v>
      </c>
      <c r="BK41" s="31">
        <f t="shared" si="42"/>
        <v>7.98</v>
      </c>
      <c r="BL41" s="31">
        <f t="shared" si="42"/>
        <v>8.120000000000001</v>
      </c>
      <c r="BM41" s="31">
        <f t="shared" si="42"/>
        <v>8.2600000000000016</v>
      </c>
      <c r="BN41" s="31">
        <f t="shared" si="42"/>
        <v>8.4</v>
      </c>
      <c r="BO41" s="31">
        <f t="shared" si="42"/>
        <v>8.5400000000000009</v>
      </c>
      <c r="BP41" s="31">
        <f t="shared" si="42"/>
        <v>8.6800000000000015</v>
      </c>
      <c r="BQ41" s="31">
        <f t="shared" si="42"/>
        <v>8.82</v>
      </c>
      <c r="BR41" s="31">
        <f t="shared" si="42"/>
        <v>8.9600000000000009</v>
      </c>
      <c r="BS41" s="31">
        <f t="shared" si="42"/>
        <v>9.1000000000000014</v>
      </c>
      <c r="BT41" s="31">
        <f t="shared" si="42"/>
        <v>9.24</v>
      </c>
      <c r="BU41" s="31">
        <f t="shared" ref="BU41:CU41" si="43">$G$41*BU34</f>
        <v>9.3800000000000008</v>
      </c>
      <c r="BV41" s="31">
        <f t="shared" si="43"/>
        <v>9.5200000000000014</v>
      </c>
      <c r="BW41" s="31">
        <f t="shared" si="43"/>
        <v>9.66</v>
      </c>
      <c r="BX41" s="31">
        <f t="shared" si="43"/>
        <v>9.8000000000000007</v>
      </c>
      <c r="BY41" s="31">
        <f t="shared" si="43"/>
        <v>9.9400000000000013</v>
      </c>
      <c r="BZ41" s="31">
        <f t="shared" si="43"/>
        <v>10.080000000000002</v>
      </c>
      <c r="CA41" s="31">
        <f t="shared" si="43"/>
        <v>10.220000000000001</v>
      </c>
      <c r="CB41" s="31">
        <f t="shared" si="43"/>
        <v>10.360000000000001</v>
      </c>
      <c r="CC41" s="31">
        <f t="shared" si="43"/>
        <v>10.500000000000002</v>
      </c>
      <c r="CD41" s="31">
        <f t="shared" si="43"/>
        <v>10.64</v>
      </c>
      <c r="CE41" s="31">
        <f t="shared" si="43"/>
        <v>10.780000000000001</v>
      </c>
      <c r="CF41" s="31">
        <f t="shared" si="43"/>
        <v>10.920000000000002</v>
      </c>
      <c r="CG41" s="31">
        <f t="shared" si="43"/>
        <v>11.06</v>
      </c>
      <c r="CH41" s="31">
        <f t="shared" si="43"/>
        <v>11.200000000000001</v>
      </c>
      <c r="CI41" s="31">
        <f t="shared" si="43"/>
        <v>11.340000000000002</v>
      </c>
      <c r="CJ41" s="31">
        <f t="shared" si="43"/>
        <v>11.48</v>
      </c>
      <c r="CK41" s="31">
        <f t="shared" si="43"/>
        <v>11.620000000000001</v>
      </c>
      <c r="CL41" s="31">
        <f t="shared" si="43"/>
        <v>11.760000000000002</v>
      </c>
      <c r="CM41" s="31">
        <f t="shared" si="43"/>
        <v>11.9</v>
      </c>
      <c r="CN41" s="31">
        <f t="shared" si="43"/>
        <v>12.040000000000001</v>
      </c>
      <c r="CO41" s="31">
        <f t="shared" si="43"/>
        <v>12.180000000000001</v>
      </c>
      <c r="CP41" s="31">
        <f t="shared" si="43"/>
        <v>12.32</v>
      </c>
      <c r="CQ41" s="31">
        <f t="shared" si="43"/>
        <v>12.46</v>
      </c>
      <c r="CR41" s="31">
        <f t="shared" si="43"/>
        <v>12.600000000000001</v>
      </c>
      <c r="CS41" s="31">
        <f t="shared" si="43"/>
        <v>12.740000000000002</v>
      </c>
      <c r="CT41" s="31">
        <f t="shared" si="43"/>
        <v>12.88</v>
      </c>
      <c r="CU41" s="31">
        <f t="shared" si="43"/>
        <v>13.020000000000001</v>
      </c>
      <c r="CV41" s="31">
        <f t="shared" ref="CV41:DQ41" si="44">$G$41*CV34</f>
        <v>13.160000000000002</v>
      </c>
      <c r="CW41" s="31">
        <f t="shared" si="44"/>
        <v>13.3</v>
      </c>
      <c r="CX41" s="31">
        <f t="shared" si="44"/>
        <v>13.440000000000001</v>
      </c>
      <c r="CY41" s="31">
        <f t="shared" si="44"/>
        <v>13.580000000000002</v>
      </c>
      <c r="CZ41" s="31">
        <f t="shared" si="44"/>
        <v>13.72</v>
      </c>
      <c r="DA41" s="31">
        <f t="shared" si="44"/>
        <v>13.860000000000001</v>
      </c>
      <c r="DB41" s="31">
        <f t="shared" si="44"/>
        <v>14.000000000000002</v>
      </c>
      <c r="DC41" s="31">
        <f t="shared" si="44"/>
        <v>14.14</v>
      </c>
      <c r="DD41" s="31">
        <f t="shared" si="44"/>
        <v>14.280000000000001</v>
      </c>
      <c r="DE41" s="31">
        <f t="shared" si="44"/>
        <v>14.420000000000002</v>
      </c>
      <c r="DF41" s="31">
        <f t="shared" si="44"/>
        <v>14.560000000000002</v>
      </c>
      <c r="DG41" s="31">
        <f t="shared" si="44"/>
        <v>14.700000000000001</v>
      </c>
      <c r="DH41" s="31">
        <f t="shared" si="44"/>
        <v>14.840000000000002</v>
      </c>
      <c r="DI41" s="31">
        <f t="shared" si="44"/>
        <v>14.980000000000002</v>
      </c>
      <c r="DJ41" s="31">
        <f t="shared" si="44"/>
        <v>15.120000000000001</v>
      </c>
      <c r="DK41" s="31">
        <f t="shared" si="44"/>
        <v>15.260000000000002</v>
      </c>
      <c r="DL41" s="31">
        <f t="shared" si="44"/>
        <v>15.400000000000002</v>
      </c>
      <c r="DM41" s="31">
        <f t="shared" si="44"/>
        <v>15.540000000000001</v>
      </c>
      <c r="DN41" s="31">
        <f t="shared" si="44"/>
        <v>15.680000000000001</v>
      </c>
      <c r="DO41" s="31">
        <f t="shared" si="44"/>
        <v>15.820000000000002</v>
      </c>
      <c r="DP41" s="31">
        <f t="shared" si="44"/>
        <v>15.96</v>
      </c>
      <c r="DQ41" s="31">
        <f t="shared" si="44"/>
        <v>16.100000000000001</v>
      </c>
      <c r="DR41" s="31">
        <f t="shared" ref="DR41:GC41" si="45">$G$41*DR34</f>
        <v>16.240000000000002</v>
      </c>
      <c r="DS41" s="31">
        <f t="shared" si="45"/>
        <v>16.380000000000003</v>
      </c>
      <c r="DT41" s="31">
        <f t="shared" si="45"/>
        <v>16.520000000000003</v>
      </c>
      <c r="DU41" s="31">
        <f t="shared" si="45"/>
        <v>16.66</v>
      </c>
      <c r="DV41" s="31">
        <f t="shared" si="45"/>
        <v>16.8</v>
      </c>
      <c r="DW41" s="31">
        <f t="shared" si="45"/>
        <v>16.940000000000001</v>
      </c>
      <c r="DX41" s="31">
        <f t="shared" si="45"/>
        <v>17.080000000000002</v>
      </c>
      <c r="DY41" s="31">
        <f t="shared" si="45"/>
        <v>17.220000000000002</v>
      </c>
      <c r="DZ41" s="31">
        <f t="shared" si="45"/>
        <v>17.360000000000003</v>
      </c>
      <c r="EA41" s="31">
        <f t="shared" si="45"/>
        <v>17.5</v>
      </c>
      <c r="EB41" s="31">
        <f t="shared" si="45"/>
        <v>17.64</v>
      </c>
      <c r="EC41" s="31">
        <f t="shared" si="45"/>
        <v>17.78</v>
      </c>
      <c r="ED41" s="31">
        <f t="shared" si="45"/>
        <v>17.920000000000002</v>
      </c>
      <c r="EE41" s="31">
        <f t="shared" si="45"/>
        <v>18.060000000000002</v>
      </c>
      <c r="EF41" s="31">
        <f t="shared" si="45"/>
        <v>18.200000000000003</v>
      </c>
      <c r="EG41" s="31">
        <f t="shared" si="45"/>
        <v>18.340000000000003</v>
      </c>
      <c r="EH41" s="31">
        <f t="shared" si="45"/>
        <v>18.48</v>
      </c>
      <c r="EI41" s="31">
        <f t="shared" si="45"/>
        <v>18.62</v>
      </c>
      <c r="EJ41" s="31">
        <f t="shared" si="45"/>
        <v>18.760000000000002</v>
      </c>
      <c r="EK41" s="31">
        <f t="shared" si="45"/>
        <v>18.900000000000002</v>
      </c>
      <c r="EL41" s="31">
        <f t="shared" si="45"/>
        <v>19.040000000000003</v>
      </c>
      <c r="EM41" s="31">
        <f t="shared" si="45"/>
        <v>19.180000000000003</v>
      </c>
      <c r="EN41" s="31">
        <f t="shared" si="45"/>
        <v>19.32</v>
      </c>
      <c r="EO41" s="31">
        <f t="shared" si="45"/>
        <v>19.46</v>
      </c>
      <c r="EP41" s="31">
        <f t="shared" si="45"/>
        <v>19.600000000000001</v>
      </c>
      <c r="EQ41" s="31">
        <f t="shared" si="45"/>
        <v>19.740000000000002</v>
      </c>
      <c r="ER41" s="31">
        <f t="shared" si="45"/>
        <v>19.880000000000003</v>
      </c>
      <c r="ES41" s="31">
        <f t="shared" si="45"/>
        <v>20.020000000000003</v>
      </c>
      <c r="ET41" s="31">
        <f t="shared" si="45"/>
        <v>20.160000000000004</v>
      </c>
      <c r="EU41" s="31">
        <f t="shared" si="45"/>
        <v>20.3</v>
      </c>
      <c r="EV41" s="31">
        <f t="shared" si="45"/>
        <v>20.440000000000001</v>
      </c>
      <c r="EW41" s="31">
        <f t="shared" si="45"/>
        <v>20.580000000000002</v>
      </c>
      <c r="EX41" s="31">
        <f t="shared" si="45"/>
        <v>20.720000000000002</v>
      </c>
      <c r="EY41" s="31">
        <f t="shared" si="45"/>
        <v>20.860000000000003</v>
      </c>
      <c r="EZ41" s="31">
        <f t="shared" si="45"/>
        <v>21.000000000000004</v>
      </c>
      <c r="FA41" s="31">
        <f t="shared" si="45"/>
        <v>21.14</v>
      </c>
      <c r="FB41" s="31">
        <f t="shared" si="45"/>
        <v>21.28</v>
      </c>
      <c r="FC41" s="31">
        <f t="shared" si="45"/>
        <v>21.42</v>
      </c>
      <c r="FD41" s="31">
        <f t="shared" si="45"/>
        <v>21.560000000000002</v>
      </c>
      <c r="FE41" s="31">
        <f t="shared" si="45"/>
        <v>21.700000000000003</v>
      </c>
      <c r="FF41" s="31">
        <f t="shared" si="45"/>
        <v>21.840000000000003</v>
      </c>
      <c r="FG41" s="31">
        <f t="shared" si="45"/>
        <v>21.98</v>
      </c>
      <c r="FH41" s="31">
        <f t="shared" si="45"/>
        <v>22.12</v>
      </c>
      <c r="FI41" s="31">
        <f t="shared" si="45"/>
        <v>22.26</v>
      </c>
      <c r="FJ41" s="31">
        <f t="shared" si="45"/>
        <v>22.400000000000002</v>
      </c>
      <c r="FK41" s="31">
        <f t="shared" si="45"/>
        <v>22.540000000000003</v>
      </c>
      <c r="FL41" s="31">
        <f t="shared" si="45"/>
        <v>22.680000000000003</v>
      </c>
      <c r="FM41" s="31">
        <f t="shared" si="45"/>
        <v>22.820000000000004</v>
      </c>
      <c r="FN41" s="31">
        <f t="shared" si="45"/>
        <v>22.96</v>
      </c>
      <c r="FO41" s="31">
        <f t="shared" si="45"/>
        <v>23.1</v>
      </c>
      <c r="FP41" s="31">
        <f t="shared" si="45"/>
        <v>23.240000000000002</v>
      </c>
      <c r="FQ41" s="31">
        <f t="shared" si="45"/>
        <v>23.380000000000003</v>
      </c>
      <c r="FR41" s="31">
        <f t="shared" si="45"/>
        <v>23.520000000000003</v>
      </c>
      <c r="FS41" s="31">
        <f t="shared" si="45"/>
        <v>23.660000000000004</v>
      </c>
      <c r="FT41" s="31">
        <f t="shared" si="45"/>
        <v>23.8</v>
      </c>
      <c r="FU41" s="31">
        <f t="shared" si="45"/>
        <v>23.94</v>
      </c>
      <c r="FV41" s="31">
        <f t="shared" si="45"/>
        <v>24.080000000000002</v>
      </c>
      <c r="FW41" s="31">
        <f t="shared" si="45"/>
        <v>24.220000000000002</v>
      </c>
      <c r="FX41" s="31">
        <f t="shared" si="45"/>
        <v>24.360000000000003</v>
      </c>
      <c r="FY41" s="31">
        <f t="shared" si="45"/>
        <v>24.500000000000004</v>
      </c>
      <c r="FZ41" s="31">
        <f t="shared" si="45"/>
        <v>24.64</v>
      </c>
      <c r="GA41" s="31">
        <f t="shared" si="45"/>
        <v>24.78</v>
      </c>
      <c r="GB41" s="31">
        <f t="shared" si="45"/>
        <v>24.92</v>
      </c>
      <c r="GC41" s="31">
        <f t="shared" si="45"/>
        <v>25.060000000000002</v>
      </c>
      <c r="GD41" s="31">
        <f t="shared" ref="GD41:GI41" si="46">$G$41*GD34</f>
        <v>25.200000000000003</v>
      </c>
      <c r="GE41" s="31">
        <f t="shared" si="46"/>
        <v>25.340000000000003</v>
      </c>
      <c r="GF41" s="31">
        <f t="shared" si="46"/>
        <v>25.480000000000004</v>
      </c>
      <c r="GG41" s="31">
        <f t="shared" si="46"/>
        <v>25.62</v>
      </c>
      <c r="GH41" s="31">
        <f t="shared" si="46"/>
        <v>25.76</v>
      </c>
      <c r="GI41" s="31">
        <f t="shared" si="46"/>
        <v>25.900000000000002</v>
      </c>
    </row>
    <row r="42" spans="1:191">
      <c r="C42" t="s">
        <v>132</v>
      </c>
      <c r="D42" s="94">
        <f>Parts!M55*Screen!A35</f>
        <v>12.753000000000002</v>
      </c>
      <c r="E42">
        <v>1</v>
      </c>
      <c r="G42" s="31" t="s">
        <v>113</v>
      </c>
      <c r="H42" s="31" t="s">
        <v>113</v>
      </c>
      <c r="I42" s="31" t="s">
        <v>113</v>
      </c>
      <c r="J42" s="31" t="s">
        <v>113</v>
      </c>
      <c r="K42" s="31" t="s">
        <v>113</v>
      </c>
      <c r="L42" s="31">
        <f>$D$42*1</f>
        <v>12.753000000000002</v>
      </c>
      <c r="M42" s="31">
        <f t="shared" ref="M42:Q42" si="47">$D$42*1</f>
        <v>12.753000000000002</v>
      </c>
      <c r="N42" s="31">
        <f t="shared" si="47"/>
        <v>12.753000000000002</v>
      </c>
      <c r="O42" s="31">
        <f t="shared" si="47"/>
        <v>12.753000000000002</v>
      </c>
      <c r="P42" s="31">
        <f t="shared" si="47"/>
        <v>12.753000000000002</v>
      </c>
      <c r="Q42" s="31">
        <f t="shared" si="47"/>
        <v>12.753000000000002</v>
      </c>
      <c r="R42" s="31">
        <f>$D$42*2</f>
        <v>25.506000000000004</v>
      </c>
      <c r="S42" s="31">
        <f t="shared" ref="S42:X42" si="48">$D$42*2</f>
        <v>25.506000000000004</v>
      </c>
      <c r="T42" s="31">
        <f t="shared" si="48"/>
        <v>25.506000000000004</v>
      </c>
      <c r="U42" s="31">
        <f t="shared" si="48"/>
        <v>25.506000000000004</v>
      </c>
      <c r="V42" s="31">
        <f t="shared" si="48"/>
        <v>25.506000000000004</v>
      </c>
      <c r="W42" s="31">
        <f t="shared" si="48"/>
        <v>25.506000000000004</v>
      </c>
      <c r="X42" s="31">
        <f t="shared" si="48"/>
        <v>25.506000000000004</v>
      </c>
      <c r="Y42" s="31">
        <f>$D$42*3</f>
        <v>38.259000000000007</v>
      </c>
      <c r="Z42" s="31">
        <f t="shared" ref="Z42:AD42" si="49">$D$42*3</f>
        <v>38.259000000000007</v>
      </c>
      <c r="AA42" s="31">
        <f t="shared" si="49"/>
        <v>38.259000000000007</v>
      </c>
      <c r="AB42" s="31">
        <f t="shared" si="49"/>
        <v>38.259000000000007</v>
      </c>
      <c r="AC42" s="31">
        <f t="shared" si="49"/>
        <v>38.259000000000007</v>
      </c>
      <c r="AD42" s="31">
        <f t="shared" si="49"/>
        <v>38.259000000000007</v>
      </c>
      <c r="AE42" s="31">
        <f>$D$42*4</f>
        <v>51.012000000000008</v>
      </c>
      <c r="AF42" s="31">
        <f t="shared" ref="AF42:CQ42" si="50">$D$42*4</f>
        <v>51.012000000000008</v>
      </c>
      <c r="AG42" s="31">
        <f t="shared" si="50"/>
        <v>51.012000000000008</v>
      </c>
      <c r="AH42" s="31">
        <f t="shared" si="50"/>
        <v>51.012000000000008</v>
      </c>
      <c r="AI42" s="31">
        <f t="shared" si="50"/>
        <v>51.012000000000008</v>
      </c>
      <c r="AJ42" s="31">
        <f t="shared" si="50"/>
        <v>51.012000000000008</v>
      </c>
      <c r="AK42" s="31">
        <f t="shared" si="50"/>
        <v>51.012000000000008</v>
      </c>
      <c r="AL42" s="31">
        <f t="shared" si="50"/>
        <v>51.012000000000008</v>
      </c>
      <c r="AM42" s="31">
        <f t="shared" si="50"/>
        <v>51.012000000000008</v>
      </c>
      <c r="AN42" s="31">
        <f t="shared" si="50"/>
        <v>51.012000000000008</v>
      </c>
      <c r="AO42" s="31">
        <f t="shared" si="50"/>
        <v>51.012000000000008</v>
      </c>
      <c r="AP42" s="31">
        <f t="shared" si="50"/>
        <v>51.012000000000008</v>
      </c>
      <c r="AQ42" s="31">
        <f t="shared" si="50"/>
        <v>51.012000000000008</v>
      </c>
      <c r="AR42" s="31">
        <f t="shared" si="50"/>
        <v>51.012000000000008</v>
      </c>
      <c r="AS42" s="31">
        <f t="shared" si="50"/>
        <v>51.012000000000008</v>
      </c>
      <c r="AT42" s="31">
        <f t="shared" si="50"/>
        <v>51.012000000000008</v>
      </c>
      <c r="AU42" s="31">
        <f t="shared" si="50"/>
        <v>51.012000000000008</v>
      </c>
      <c r="AV42" s="31">
        <f t="shared" si="50"/>
        <v>51.012000000000008</v>
      </c>
      <c r="AW42" s="31">
        <f t="shared" si="50"/>
        <v>51.012000000000008</v>
      </c>
      <c r="AX42" s="31">
        <f t="shared" si="50"/>
        <v>51.012000000000008</v>
      </c>
      <c r="AY42" s="31">
        <f t="shared" si="50"/>
        <v>51.012000000000008</v>
      </c>
      <c r="AZ42" s="31">
        <f t="shared" si="50"/>
        <v>51.012000000000008</v>
      </c>
      <c r="BA42" s="31">
        <f t="shared" si="50"/>
        <v>51.012000000000008</v>
      </c>
      <c r="BB42" s="31">
        <f t="shared" si="50"/>
        <v>51.012000000000008</v>
      </c>
      <c r="BC42" s="31">
        <f t="shared" si="50"/>
        <v>51.012000000000008</v>
      </c>
      <c r="BD42" s="31">
        <f t="shared" si="50"/>
        <v>51.012000000000008</v>
      </c>
      <c r="BE42" s="31">
        <f t="shared" si="50"/>
        <v>51.012000000000008</v>
      </c>
      <c r="BF42" s="31">
        <f t="shared" si="50"/>
        <v>51.012000000000008</v>
      </c>
      <c r="BG42" s="31">
        <f t="shared" si="50"/>
        <v>51.012000000000008</v>
      </c>
      <c r="BH42" s="31">
        <f t="shared" si="50"/>
        <v>51.012000000000008</v>
      </c>
      <c r="BI42" s="31">
        <f t="shared" si="50"/>
        <v>51.012000000000008</v>
      </c>
      <c r="BJ42" s="31">
        <f t="shared" si="50"/>
        <v>51.012000000000008</v>
      </c>
      <c r="BK42" s="31">
        <f t="shared" si="50"/>
        <v>51.012000000000008</v>
      </c>
      <c r="BL42" s="31">
        <f t="shared" si="50"/>
        <v>51.012000000000008</v>
      </c>
      <c r="BM42" s="31">
        <f t="shared" si="50"/>
        <v>51.012000000000008</v>
      </c>
      <c r="BN42" s="31">
        <f t="shared" si="50"/>
        <v>51.012000000000008</v>
      </c>
      <c r="BO42" s="31">
        <f t="shared" si="50"/>
        <v>51.012000000000008</v>
      </c>
      <c r="BP42" s="31">
        <f t="shared" si="50"/>
        <v>51.012000000000008</v>
      </c>
      <c r="BQ42" s="31">
        <f t="shared" si="50"/>
        <v>51.012000000000008</v>
      </c>
      <c r="BR42" s="31">
        <f t="shared" si="50"/>
        <v>51.012000000000008</v>
      </c>
      <c r="BS42" s="31">
        <f t="shared" si="50"/>
        <v>51.012000000000008</v>
      </c>
      <c r="BT42" s="31">
        <f t="shared" si="50"/>
        <v>51.012000000000008</v>
      </c>
      <c r="BU42" s="31">
        <f t="shared" si="50"/>
        <v>51.012000000000008</v>
      </c>
      <c r="BV42" s="31">
        <f t="shared" si="50"/>
        <v>51.012000000000008</v>
      </c>
      <c r="BW42" s="31">
        <f t="shared" si="50"/>
        <v>51.012000000000008</v>
      </c>
      <c r="BX42" s="31">
        <f t="shared" si="50"/>
        <v>51.012000000000008</v>
      </c>
      <c r="BY42" s="31">
        <f t="shared" si="50"/>
        <v>51.012000000000008</v>
      </c>
      <c r="BZ42" s="31">
        <f t="shared" si="50"/>
        <v>51.012000000000008</v>
      </c>
      <c r="CA42" s="31">
        <f t="shared" si="50"/>
        <v>51.012000000000008</v>
      </c>
      <c r="CB42" s="31">
        <f t="shared" si="50"/>
        <v>51.012000000000008</v>
      </c>
      <c r="CC42" s="31">
        <f t="shared" si="50"/>
        <v>51.012000000000008</v>
      </c>
      <c r="CD42" s="31">
        <f t="shared" si="50"/>
        <v>51.012000000000008</v>
      </c>
      <c r="CE42" s="31">
        <f t="shared" si="50"/>
        <v>51.012000000000008</v>
      </c>
      <c r="CF42" s="31">
        <f t="shared" si="50"/>
        <v>51.012000000000008</v>
      </c>
      <c r="CG42" s="31">
        <f t="shared" si="50"/>
        <v>51.012000000000008</v>
      </c>
      <c r="CH42" s="31">
        <f t="shared" si="50"/>
        <v>51.012000000000008</v>
      </c>
      <c r="CI42" s="31">
        <f t="shared" si="50"/>
        <v>51.012000000000008</v>
      </c>
      <c r="CJ42" s="31">
        <f t="shared" si="50"/>
        <v>51.012000000000008</v>
      </c>
      <c r="CK42" s="31">
        <f t="shared" si="50"/>
        <v>51.012000000000008</v>
      </c>
      <c r="CL42" s="31">
        <f t="shared" si="50"/>
        <v>51.012000000000008</v>
      </c>
      <c r="CM42" s="31">
        <f t="shared" si="50"/>
        <v>51.012000000000008</v>
      </c>
      <c r="CN42" s="31">
        <f t="shared" si="50"/>
        <v>51.012000000000008</v>
      </c>
      <c r="CO42" s="31">
        <f t="shared" si="50"/>
        <v>51.012000000000008</v>
      </c>
      <c r="CP42" s="31">
        <f t="shared" si="50"/>
        <v>51.012000000000008</v>
      </c>
      <c r="CQ42" s="31">
        <f t="shared" si="50"/>
        <v>51.012000000000008</v>
      </c>
      <c r="CR42" s="31">
        <f t="shared" ref="CR42:FC42" si="51">$D$42*4</f>
        <v>51.012000000000008</v>
      </c>
      <c r="CS42" s="31">
        <f t="shared" si="51"/>
        <v>51.012000000000008</v>
      </c>
      <c r="CT42" s="31">
        <f t="shared" si="51"/>
        <v>51.012000000000008</v>
      </c>
      <c r="CU42" s="31">
        <f t="shared" si="51"/>
        <v>51.012000000000008</v>
      </c>
      <c r="CV42" s="31">
        <f t="shared" si="51"/>
        <v>51.012000000000008</v>
      </c>
      <c r="CW42" s="31">
        <f t="shared" si="51"/>
        <v>51.012000000000008</v>
      </c>
      <c r="CX42" s="31">
        <f t="shared" si="51"/>
        <v>51.012000000000008</v>
      </c>
      <c r="CY42" s="31">
        <f t="shared" si="51"/>
        <v>51.012000000000008</v>
      </c>
      <c r="CZ42" s="31">
        <f t="shared" si="51"/>
        <v>51.012000000000008</v>
      </c>
      <c r="DA42" s="31">
        <f t="shared" si="51"/>
        <v>51.012000000000008</v>
      </c>
      <c r="DB42" s="31">
        <f t="shared" si="51"/>
        <v>51.012000000000008</v>
      </c>
      <c r="DC42" s="31">
        <f t="shared" si="51"/>
        <v>51.012000000000008</v>
      </c>
      <c r="DD42" s="31">
        <f t="shared" si="51"/>
        <v>51.012000000000008</v>
      </c>
      <c r="DE42" s="31">
        <f t="shared" si="51"/>
        <v>51.012000000000008</v>
      </c>
      <c r="DF42" s="31">
        <f t="shared" si="51"/>
        <v>51.012000000000008</v>
      </c>
      <c r="DG42" s="31">
        <f t="shared" si="51"/>
        <v>51.012000000000008</v>
      </c>
      <c r="DH42" s="31">
        <f t="shared" si="51"/>
        <v>51.012000000000008</v>
      </c>
      <c r="DI42" s="31">
        <f t="shared" si="51"/>
        <v>51.012000000000008</v>
      </c>
      <c r="DJ42" s="31">
        <f t="shared" si="51"/>
        <v>51.012000000000008</v>
      </c>
      <c r="DK42" s="31">
        <f t="shared" si="51"/>
        <v>51.012000000000008</v>
      </c>
      <c r="DL42" s="31">
        <f t="shared" si="51"/>
        <v>51.012000000000008</v>
      </c>
      <c r="DM42" s="31">
        <f t="shared" si="51"/>
        <v>51.012000000000008</v>
      </c>
      <c r="DN42" s="31">
        <f t="shared" si="51"/>
        <v>51.012000000000008</v>
      </c>
      <c r="DO42" s="31">
        <f t="shared" si="51"/>
        <v>51.012000000000008</v>
      </c>
      <c r="DP42" s="31">
        <f t="shared" si="51"/>
        <v>51.012000000000008</v>
      </c>
      <c r="DQ42" s="31">
        <f t="shared" si="51"/>
        <v>51.012000000000008</v>
      </c>
      <c r="DR42" s="31">
        <f t="shared" si="51"/>
        <v>51.012000000000008</v>
      </c>
      <c r="DS42" s="31">
        <f t="shared" si="51"/>
        <v>51.012000000000008</v>
      </c>
      <c r="DT42" s="31">
        <f t="shared" si="51"/>
        <v>51.012000000000008</v>
      </c>
      <c r="DU42" s="31">
        <f t="shared" si="51"/>
        <v>51.012000000000008</v>
      </c>
      <c r="DV42" s="31">
        <f t="shared" si="51"/>
        <v>51.012000000000008</v>
      </c>
      <c r="DW42" s="31">
        <f t="shared" si="51"/>
        <v>51.012000000000008</v>
      </c>
      <c r="DX42" s="31">
        <f t="shared" si="51"/>
        <v>51.012000000000008</v>
      </c>
      <c r="DY42" s="31">
        <f t="shared" si="51"/>
        <v>51.012000000000008</v>
      </c>
      <c r="DZ42" s="31">
        <f t="shared" si="51"/>
        <v>51.012000000000008</v>
      </c>
      <c r="EA42" s="31">
        <f t="shared" si="51"/>
        <v>51.012000000000008</v>
      </c>
      <c r="EB42" s="31">
        <f t="shared" si="51"/>
        <v>51.012000000000008</v>
      </c>
      <c r="EC42" s="31">
        <f t="shared" si="51"/>
        <v>51.012000000000008</v>
      </c>
      <c r="ED42" s="31">
        <f t="shared" si="51"/>
        <v>51.012000000000008</v>
      </c>
      <c r="EE42" s="31">
        <f t="shared" si="51"/>
        <v>51.012000000000008</v>
      </c>
      <c r="EF42" s="31">
        <f t="shared" si="51"/>
        <v>51.012000000000008</v>
      </c>
      <c r="EG42" s="31">
        <f t="shared" si="51"/>
        <v>51.012000000000008</v>
      </c>
      <c r="EH42" s="31">
        <f t="shared" si="51"/>
        <v>51.012000000000008</v>
      </c>
      <c r="EI42" s="31">
        <f t="shared" si="51"/>
        <v>51.012000000000008</v>
      </c>
      <c r="EJ42" s="31">
        <f t="shared" si="51"/>
        <v>51.012000000000008</v>
      </c>
      <c r="EK42" s="31">
        <f t="shared" si="51"/>
        <v>51.012000000000008</v>
      </c>
      <c r="EL42" s="31">
        <f t="shared" si="51"/>
        <v>51.012000000000008</v>
      </c>
      <c r="EM42" s="31">
        <f t="shared" si="51"/>
        <v>51.012000000000008</v>
      </c>
      <c r="EN42" s="31">
        <f t="shared" si="51"/>
        <v>51.012000000000008</v>
      </c>
      <c r="EO42" s="31">
        <f t="shared" si="51"/>
        <v>51.012000000000008</v>
      </c>
      <c r="EP42" s="31">
        <f t="shared" si="51"/>
        <v>51.012000000000008</v>
      </c>
      <c r="EQ42" s="31">
        <f t="shared" si="51"/>
        <v>51.012000000000008</v>
      </c>
      <c r="ER42" s="31">
        <f t="shared" si="51"/>
        <v>51.012000000000008</v>
      </c>
      <c r="ES42" s="31">
        <f t="shared" si="51"/>
        <v>51.012000000000008</v>
      </c>
      <c r="ET42" s="31">
        <f t="shared" si="51"/>
        <v>51.012000000000008</v>
      </c>
      <c r="EU42" s="31">
        <f t="shared" si="51"/>
        <v>51.012000000000008</v>
      </c>
      <c r="EV42" s="31">
        <f t="shared" si="51"/>
        <v>51.012000000000008</v>
      </c>
      <c r="EW42" s="31">
        <f t="shared" si="51"/>
        <v>51.012000000000008</v>
      </c>
      <c r="EX42" s="31">
        <f t="shared" si="51"/>
        <v>51.012000000000008</v>
      </c>
      <c r="EY42" s="31">
        <f t="shared" si="51"/>
        <v>51.012000000000008</v>
      </c>
      <c r="EZ42" s="31">
        <f t="shared" si="51"/>
        <v>51.012000000000008</v>
      </c>
      <c r="FA42" s="31">
        <f t="shared" si="51"/>
        <v>51.012000000000008</v>
      </c>
      <c r="FB42" s="31">
        <f t="shared" si="51"/>
        <v>51.012000000000008</v>
      </c>
      <c r="FC42" s="31">
        <f t="shared" si="51"/>
        <v>51.012000000000008</v>
      </c>
      <c r="FD42" s="31">
        <f t="shared" ref="FD42:GI42" si="52">$D$42*4</f>
        <v>51.012000000000008</v>
      </c>
      <c r="FE42" s="31">
        <f t="shared" si="52"/>
        <v>51.012000000000008</v>
      </c>
      <c r="FF42" s="31">
        <f t="shared" si="52"/>
        <v>51.012000000000008</v>
      </c>
      <c r="FG42" s="31">
        <f t="shared" si="52"/>
        <v>51.012000000000008</v>
      </c>
      <c r="FH42" s="31">
        <f t="shared" si="52"/>
        <v>51.012000000000008</v>
      </c>
      <c r="FI42" s="31">
        <f t="shared" si="52"/>
        <v>51.012000000000008</v>
      </c>
      <c r="FJ42" s="31">
        <f t="shared" si="52"/>
        <v>51.012000000000008</v>
      </c>
      <c r="FK42" s="31">
        <f t="shared" si="52"/>
        <v>51.012000000000008</v>
      </c>
      <c r="FL42" s="31">
        <f t="shared" si="52"/>
        <v>51.012000000000008</v>
      </c>
      <c r="FM42" s="31">
        <f t="shared" si="52"/>
        <v>51.012000000000008</v>
      </c>
      <c r="FN42" s="31">
        <f t="shared" si="52"/>
        <v>51.012000000000008</v>
      </c>
      <c r="FO42" s="31">
        <f t="shared" si="52"/>
        <v>51.012000000000008</v>
      </c>
      <c r="FP42" s="31">
        <f t="shared" si="52"/>
        <v>51.012000000000008</v>
      </c>
      <c r="FQ42" s="31">
        <f t="shared" si="52"/>
        <v>51.012000000000008</v>
      </c>
      <c r="FR42" s="31">
        <f t="shared" si="52"/>
        <v>51.012000000000008</v>
      </c>
      <c r="FS42" s="31">
        <f t="shared" si="52"/>
        <v>51.012000000000008</v>
      </c>
      <c r="FT42" s="31">
        <f t="shared" si="52"/>
        <v>51.012000000000008</v>
      </c>
      <c r="FU42" s="31">
        <f t="shared" si="52"/>
        <v>51.012000000000008</v>
      </c>
      <c r="FV42" s="31">
        <f t="shared" si="52"/>
        <v>51.012000000000008</v>
      </c>
      <c r="FW42" s="31">
        <f t="shared" si="52"/>
        <v>51.012000000000008</v>
      </c>
      <c r="FX42" s="31">
        <f t="shared" si="52"/>
        <v>51.012000000000008</v>
      </c>
      <c r="FY42" s="31">
        <f t="shared" si="52"/>
        <v>51.012000000000008</v>
      </c>
      <c r="FZ42" s="31">
        <f t="shared" si="52"/>
        <v>51.012000000000008</v>
      </c>
      <c r="GA42" s="31">
        <f t="shared" si="52"/>
        <v>51.012000000000008</v>
      </c>
      <c r="GB42" s="31">
        <f t="shared" si="52"/>
        <v>51.012000000000008</v>
      </c>
      <c r="GC42" s="31">
        <f t="shared" si="52"/>
        <v>51.012000000000008</v>
      </c>
      <c r="GD42" s="31">
        <f t="shared" si="52"/>
        <v>51.012000000000008</v>
      </c>
      <c r="GE42" s="31">
        <f t="shared" si="52"/>
        <v>51.012000000000008</v>
      </c>
      <c r="GF42" s="31">
        <f t="shared" si="52"/>
        <v>51.012000000000008</v>
      </c>
      <c r="GG42" s="31">
        <f t="shared" si="52"/>
        <v>51.012000000000008</v>
      </c>
      <c r="GH42" s="31">
        <f t="shared" si="52"/>
        <v>51.012000000000008</v>
      </c>
      <c r="GI42" s="31">
        <f t="shared" si="52"/>
        <v>51.012000000000008</v>
      </c>
    </row>
    <row r="43" spans="1:191">
      <c r="C43" t="s">
        <v>133</v>
      </c>
      <c r="D43" s="94">
        <f>SUM(D35:D42)*E43</f>
        <v>1.9194628950000006</v>
      </c>
      <c r="E43">
        <v>0.09</v>
      </c>
      <c r="G43" s="31">
        <f>$D$43*G34</f>
        <v>1.9194628950000006</v>
      </c>
      <c r="H43" s="31">
        <f t="shared" ref="H43:BS43" si="53">$D$43*H34</f>
        <v>3.8389257900000011</v>
      </c>
      <c r="I43" s="31">
        <f t="shared" si="53"/>
        <v>5.7583886850000017</v>
      </c>
      <c r="J43" s="31">
        <f t="shared" si="53"/>
        <v>7.6778515800000022</v>
      </c>
      <c r="K43" s="31">
        <f t="shared" si="53"/>
        <v>9.5973144750000028</v>
      </c>
      <c r="L43" s="31">
        <f t="shared" si="53"/>
        <v>11.516777370000003</v>
      </c>
      <c r="M43" s="31">
        <f t="shared" si="53"/>
        <v>13.436240265000004</v>
      </c>
      <c r="N43" s="31">
        <f t="shared" si="53"/>
        <v>15.355703160000004</v>
      </c>
      <c r="O43" s="31">
        <f t="shared" si="53"/>
        <v>17.275166055000007</v>
      </c>
      <c r="P43" s="31">
        <f t="shared" si="53"/>
        <v>19.194628950000006</v>
      </c>
      <c r="Q43" s="31">
        <f t="shared" si="53"/>
        <v>21.114091845000004</v>
      </c>
      <c r="R43" s="31">
        <f t="shared" si="53"/>
        <v>23.033554740000007</v>
      </c>
      <c r="S43" s="31">
        <f t="shared" si="53"/>
        <v>24.953017635000009</v>
      </c>
      <c r="T43" s="31">
        <f t="shared" si="53"/>
        <v>26.872480530000008</v>
      </c>
      <c r="U43" s="31">
        <f t="shared" si="53"/>
        <v>28.791943425000007</v>
      </c>
      <c r="V43" s="31">
        <f t="shared" si="53"/>
        <v>30.711406320000009</v>
      </c>
      <c r="W43" s="31">
        <f t="shared" si="53"/>
        <v>32.630869215000011</v>
      </c>
      <c r="X43" s="31">
        <f t="shared" si="53"/>
        <v>34.550332110000014</v>
      </c>
      <c r="Y43" s="31">
        <f t="shared" si="53"/>
        <v>36.469795005000009</v>
      </c>
      <c r="Z43" s="31">
        <f t="shared" si="53"/>
        <v>38.389257900000011</v>
      </c>
      <c r="AA43" s="31">
        <f t="shared" si="53"/>
        <v>40.308720795000013</v>
      </c>
      <c r="AB43" s="31">
        <f t="shared" si="53"/>
        <v>42.228183690000009</v>
      </c>
      <c r="AC43" s="31">
        <f t="shared" si="53"/>
        <v>44.147646585000011</v>
      </c>
      <c r="AD43" s="31">
        <f t="shared" si="53"/>
        <v>46.067109480000013</v>
      </c>
      <c r="AE43" s="31">
        <f t="shared" si="53"/>
        <v>47.986572375000016</v>
      </c>
      <c r="AF43" s="31">
        <f t="shared" si="53"/>
        <v>49.906035270000018</v>
      </c>
      <c r="AG43" s="31">
        <f t="shared" si="53"/>
        <v>51.825498165000013</v>
      </c>
      <c r="AH43" s="31">
        <f t="shared" si="53"/>
        <v>53.744961060000016</v>
      </c>
      <c r="AI43" s="31">
        <f t="shared" si="53"/>
        <v>55.664423955000018</v>
      </c>
      <c r="AJ43" s="31">
        <f t="shared" si="53"/>
        <v>57.583886850000013</v>
      </c>
      <c r="AK43" s="31">
        <f t="shared" si="53"/>
        <v>59.503349745000016</v>
      </c>
      <c r="AL43" s="31">
        <f t="shared" si="53"/>
        <v>61.422812640000018</v>
      </c>
      <c r="AM43" s="31">
        <f t="shared" si="53"/>
        <v>63.34227553500002</v>
      </c>
      <c r="AN43" s="31">
        <f t="shared" si="53"/>
        <v>65.261738430000023</v>
      </c>
      <c r="AO43" s="31">
        <f t="shared" si="53"/>
        <v>67.181201325000018</v>
      </c>
      <c r="AP43" s="31">
        <f t="shared" si="53"/>
        <v>69.100664220000027</v>
      </c>
      <c r="AQ43" s="31">
        <f t="shared" si="53"/>
        <v>71.020127115000022</v>
      </c>
      <c r="AR43" s="31">
        <f t="shared" si="53"/>
        <v>72.939590010000018</v>
      </c>
      <c r="AS43" s="31">
        <f t="shared" si="53"/>
        <v>74.859052905000027</v>
      </c>
      <c r="AT43" s="31">
        <f t="shared" si="53"/>
        <v>76.778515800000022</v>
      </c>
      <c r="AU43" s="31">
        <f t="shared" si="53"/>
        <v>78.697978695000018</v>
      </c>
      <c r="AV43" s="31">
        <f t="shared" si="53"/>
        <v>80.617441590000027</v>
      </c>
      <c r="AW43" s="31">
        <f t="shared" si="53"/>
        <v>82.536904485000022</v>
      </c>
      <c r="AX43" s="31">
        <f t="shared" si="53"/>
        <v>84.456367380000017</v>
      </c>
      <c r="AY43" s="31">
        <f t="shared" si="53"/>
        <v>86.375830275000027</v>
      </c>
      <c r="AZ43" s="31">
        <f t="shared" si="53"/>
        <v>88.295293170000022</v>
      </c>
      <c r="BA43" s="31">
        <f t="shared" si="53"/>
        <v>90.214756065000032</v>
      </c>
      <c r="BB43" s="31">
        <f t="shared" si="53"/>
        <v>92.134218960000027</v>
      </c>
      <c r="BC43" s="31">
        <f t="shared" si="53"/>
        <v>94.053681855000022</v>
      </c>
      <c r="BD43" s="31">
        <f t="shared" si="53"/>
        <v>95.973144750000031</v>
      </c>
      <c r="BE43" s="31">
        <f t="shared" si="53"/>
        <v>97.892607645000027</v>
      </c>
      <c r="BF43" s="31">
        <f t="shared" si="53"/>
        <v>99.812070540000036</v>
      </c>
      <c r="BG43" s="31">
        <f t="shared" si="53"/>
        <v>101.73153343500003</v>
      </c>
      <c r="BH43" s="31">
        <f t="shared" si="53"/>
        <v>103.65099633000003</v>
      </c>
      <c r="BI43" s="31">
        <f t="shared" si="53"/>
        <v>105.57045922500004</v>
      </c>
      <c r="BJ43" s="31">
        <f t="shared" si="53"/>
        <v>107.48992212000003</v>
      </c>
      <c r="BK43" s="31">
        <f t="shared" si="53"/>
        <v>109.40938501500003</v>
      </c>
      <c r="BL43" s="31">
        <f t="shared" si="53"/>
        <v>111.32884791000004</v>
      </c>
      <c r="BM43" s="31">
        <f t="shared" si="53"/>
        <v>113.24831080500003</v>
      </c>
      <c r="BN43" s="31">
        <f t="shared" si="53"/>
        <v>115.16777370000003</v>
      </c>
      <c r="BO43" s="31">
        <f t="shared" si="53"/>
        <v>117.08723659500004</v>
      </c>
      <c r="BP43" s="31">
        <f t="shared" si="53"/>
        <v>119.00669949000003</v>
      </c>
      <c r="BQ43" s="31">
        <f t="shared" si="53"/>
        <v>120.92616238500004</v>
      </c>
      <c r="BR43" s="31">
        <f t="shared" si="53"/>
        <v>122.84562528000004</v>
      </c>
      <c r="BS43" s="31">
        <f t="shared" si="53"/>
        <v>124.76508817500003</v>
      </c>
      <c r="BT43" s="31">
        <f t="shared" ref="BT43:CU43" si="54">$D$43*BT34</f>
        <v>126.68455107000004</v>
      </c>
      <c r="BU43" s="31">
        <f t="shared" si="54"/>
        <v>128.60401396500004</v>
      </c>
      <c r="BV43" s="31">
        <f t="shared" si="54"/>
        <v>130.52347686000005</v>
      </c>
      <c r="BW43" s="31">
        <f t="shared" si="54"/>
        <v>132.44293975500003</v>
      </c>
      <c r="BX43" s="31">
        <f t="shared" si="54"/>
        <v>134.36240265000004</v>
      </c>
      <c r="BY43" s="31">
        <f t="shared" si="54"/>
        <v>136.28186554500004</v>
      </c>
      <c r="BZ43" s="31">
        <f t="shared" si="54"/>
        <v>138.20132844000005</v>
      </c>
      <c r="CA43" s="31">
        <f t="shared" si="54"/>
        <v>140.12079133500004</v>
      </c>
      <c r="CB43" s="31">
        <f t="shared" si="54"/>
        <v>142.04025423000004</v>
      </c>
      <c r="CC43" s="31">
        <f t="shared" si="54"/>
        <v>143.95971712500005</v>
      </c>
      <c r="CD43" s="31">
        <f t="shared" si="54"/>
        <v>145.87918002000004</v>
      </c>
      <c r="CE43" s="31">
        <f t="shared" si="54"/>
        <v>147.79864291500004</v>
      </c>
      <c r="CF43" s="31">
        <f t="shared" si="54"/>
        <v>149.71810581000005</v>
      </c>
      <c r="CG43" s="31">
        <f t="shared" si="54"/>
        <v>151.63756870500004</v>
      </c>
      <c r="CH43" s="31">
        <f t="shared" si="54"/>
        <v>153.55703160000004</v>
      </c>
      <c r="CI43" s="31">
        <f t="shared" si="54"/>
        <v>155.47649449500005</v>
      </c>
      <c r="CJ43" s="31">
        <f t="shared" si="54"/>
        <v>157.39595739000004</v>
      </c>
      <c r="CK43" s="31">
        <f t="shared" si="54"/>
        <v>159.31542028500004</v>
      </c>
      <c r="CL43" s="31">
        <f t="shared" si="54"/>
        <v>161.23488318000005</v>
      </c>
      <c r="CM43" s="31">
        <f t="shared" si="54"/>
        <v>163.15434607500003</v>
      </c>
      <c r="CN43" s="31">
        <f t="shared" si="54"/>
        <v>165.07380897000004</v>
      </c>
      <c r="CO43" s="31">
        <f t="shared" si="54"/>
        <v>166.99327186500005</v>
      </c>
      <c r="CP43" s="31">
        <f t="shared" si="54"/>
        <v>168.91273476000003</v>
      </c>
      <c r="CQ43" s="31">
        <f t="shared" si="54"/>
        <v>170.83219765500004</v>
      </c>
      <c r="CR43" s="31">
        <f t="shared" si="54"/>
        <v>172.75166055000005</v>
      </c>
      <c r="CS43" s="31">
        <f t="shared" si="54"/>
        <v>174.67112344500006</v>
      </c>
      <c r="CT43" s="31">
        <f t="shared" si="54"/>
        <v>176.59058634000004</v>
      </c>
      <c r="CU43" s="31">
        <f t="shared" si="54"/>
        <v>178.51004923500005</v>
      </c>
      <c r="CV43" s="31">
        <f t="shared" ref="CV43:DQ43" si="55">$D$43*CV34</f>
        <v>180.42951213000006</v>
      </c>
      <c r="CW43" s="31">
        <f t="shared" si="55"/>
        <v>182.34897502500004</v>
      </c>
      <c r="CX43" s="31">
        <f t="shared" si="55"/>
        <v>184.26843792000005</v>
      </c>
      <c r="CY43" s="31">
        <f t="shared" si="55"/>
        <v>186.18790081500006</v>
      </c>
      <c r="CZ43" s="31">
        <f t="shared" si="55"/>
        <v>188.10736371000004</v>
      </c>
      <c r="DA43" s="31">
        <f t="shared" si="55"/>
        <v>190.02682660500005</v>
      </c>
      <c r="DB43" s="31">
        <f t="shared" si="55"/>
        <v>191.94628950000006</v>
      </c>
      <c r="DC43" s="31">
        <f t="shared" si="55"/>
        <v>193.86575239500004</v>
      </c>
      <c r="DD43" s="31">
        <f t="shared" si="55"/>
        <v>195.78521529000005</v>
      </c>
      <c r="DE43" s="31">
        <f t="shared" si="55"/>
        <v>197.70467818500006</v>
      </c>
      <c r="DF43" s="31">
        <f t="shared" si="55"/>
        <v>199.62414108000007</v>
      </c>
      <c r="DG43" s="31">
        <f t="shared" si="55"/>
        <v>201.54360397500005</v>
      </c>
      <c r="DH43" s="31">
        <f t="shared" si="55"/>
        <v>203.46306687000006</v>
      </c>
      <c r="DI43" s="31">
        <f t="shared" si="55"/>
        <v>205.38252976500007</v>
      </c>
      <c r="DJ43" s="31">
        <f t="shared" si="55"/>
        <v>207.30199266000005</v>
      </c>
      <c r="DK43" s="31">
        <f t="shared" si="55"/>
        <v>209.22145555500006</v>
      </c>
      <c r="DL43" s="31">
        <f t="shared" si="55"/>
        <v>211.14091845000007</v>
      </c>
      <c r="DM43" s="31">
        <f t="shared" si="55"/>
        <v>213.06038134500005</v>
      </c>
      <c r="DN43" s="31">
        <f t="shared" si="55"/>
        <v>214.97984424000006</v>
      </c>
      <c r="DO43" s="31">
        <f t="shared" si="55"/>
        <v>216.89930713500007</v>
      </c>
      <c r="DP43" s="31">
        <f t="shared" si="55"/>
        <v>218.81877003000005</v>
      </c>
      <c r="DQ43" s="31">
        <f t="shared" si="55"/>
        <v>220.73823292500006</v>
      </c>
      <c r="DR43" s="31">
        <f t="shared" ref="DR43:GC43" si="56">$D$43*DR34</f>
        <v>222.65769582000007</v>
      </c>
      <c r="DS43" s="31">
        <f t="shared" si="56"/>
        <v>224.57715871500005</v>
      </c>
      <c r="DT43" s="31">
        <f t="shared" si="56"/>
        <v>226.49662161000006</v>
      </c>
      <c r="DU43" s="31">
        <f t="shared" si="56"/>
        <v>228.41608450500007</v>
      </c>
      <c r="DV43" s="31">
        <f t="shared" si="56"/>
        <v>230.33554740000005</v>
      </c>
      <c r="DW43" s="31">
        <f t="shared" si="56"/>
        <v>232.25501029500006</v>
      </c>
      <c r="DX43" s="31">
        <f t="shared" si="56"/>
        <v>234.17447319000007</v>
      </c>
      <c r="DY43" s="31">
        <f t="shared" si="56"/>
        <v>236.09393608500008</v>
      </c>
      <c r="DZ43" s="31">
        <f t="shared" si="56"/>
        <v>238.01339898000006</v>
      </c>
      <c r="EA43" s="31">
        <f t="shared" si="56"/>
        <v>239.93286187500007</v>
      </c>
      <c r="EB43" s="31">
        <f t="shared" si="56"/>
        <v>241.85232477000008</v>
      </c>
      <c r="EC43" s="31">
        <f t="shared" si="56"/>
        <v>243.77178766500006</v>
      </c>
      <c r="ED43" s="31">
        <f t="shared" si="56"/>
        <v>245.69125056000007</v>
      </c>
      <c r="EE43" s="31">
        <f t="shared" si="56"/>
        <v>247.61071345500008</v>
      </c>
      <c r="EF43" s="31">
        <f t="shared" si="56"/>
        <v>249.53017635000006</v>
      </c>
      <c r="EG43" s="31">
        <f t="shared" si="56"/>
        <v>251.44963924500007</v>
      </c>
      <c r="EH43" s="31">
        <f t="shared" si="56"/>
        <v>253.36910214000008</v>
      </c>
      <c r="EI43" s="31">
        <f t="shared" si="56"/>
        <v>255.28856503500006</v>
      </c>
      <c r="EJ43" s="31">
        <f t="shared" si="56"/>
        <v>257.20802793000007</v>
      </c>
      <c r="EK43" s="31">
        <f t="shared" si="56"/>
        <v>259.12749082500005</v>
      </c>
      <c r="EL43" s="31">
        <f t="shared" si="56"/>
        <v>261.04695372000009</v>
      </c>
      <c r="EM43" s="31">
        <f t="shared" si="56"/>
        <v>262.96641661500007</v>
      </c>
      <c r="EN43" s="31">
        <f t="shared" si="56"/>
        <v>264.88587951000005</v>
      </c>
      <c r="EO43" s="31">
        <f t="shared" si="56"/>
        <v>266.80534240500009</v>
      </c>
      <c r="EP43" s="31">
        <f t="shared" si="56"/>
        <v>268.72480530000007</v>
      </c>
      <c r="EQ43" s="31">
        <f t="shared" si="56"/>
        <v>270.64426819500005</v>
      </c>
      <c r="ER43" s="31">
        <f t="shared" si="56"/>
        <v>272.56373109000009</v>
      </c>
      <c r="ES43" s="31">
        <f t="shared" si="56"/>
        <v>274.48319398500007</v>
      </c>
      <c r="ET43" s="31">
        <f t="shared" si="56"/>
        <v>276.40265688000011</v>
      </c>
      <c r="EU43" s="31">
        <f t="shared" si="56"/>
        <v>278.32211977500009</v>
      </c>
      <c r="EV43" s="31">
        <f t="shared" si="56"/>
        <v>280.24158267000007</v>
      </c>
      <c r="EW43" s="31">
        <f t="shared" si="56"/>
        <v>282.16104556500011</v>
      </c>
      <c r="EX43" s="31">
        <f t="shared" si="56"/>
        <v>284.08050846000009</v>
      </c>
      <c r="EY43" s="31">
        <f t="shared" si="56"/>
        <v>285.99997135500007</v>
      </c>
      <c r="EZ43" s="31">
        <f t="shared" si="56"/>
        <v>287.91943425000011</v>
      </c>
      <c r="FA43" s="31">
        <f t="shared" si="56"/>
        <v>289.83889714500009</v>
      </c>
      <c r="FB43" s="31">
        <f t="shared" si="56"/>
        <v>291.75836004000007</v>
      </c>
      <c r="FC43" s="31">
        <f t="shared" si="56"/>
        <v>293.67782293500011</v>
      </c>
      <c r="FD43" s="31">
        <f t="shared" si="56"/>
        <v>295.59728583000009</v>
      </c>
      <c r="FE43" s="31">
        <f t="shared" si="56"/>
        <v>297.51674872500007</v>
      </c>
      <c r="FF43" s="31">
        <f t="shared" si="56"/>
        <v>299.43621162000011</v>
      </c>
      <c r="FG43" s="31">
        <f t="shared" si="56"/>
        <v>301.35567451500009</v>
      </c>
      <c r="FH43" s="31">
        <f t="shared" si="56"/>
        <v>303.27513741000007</v>
      </c>
      <c r="FI43" s="31">
        <f t="shared" si="56"/>
        <v>305.19460030500011</v>
      </c>
      <c r="FJ43" s="31">
        <f t="shared" si="56"/>
        <v>307.11406320000009</v>
      </c>
      <c r="FK43" s="31">
        <f t="shared" si="56"/>
        <v>309.03352609500007</v>
      </c>
      <c r="FL43" s="31">
        <f t="shared" si="56"/>
        <v>310.95298899000011</v>
      </c>
      <c r="FM43" s="31">
        <f t="shared" si="56"/>
        <v>312.87245188500009</v>
      </c>
      <c r="FN43" s="31">
        <f t="shared" si="56"/>
        <v>314.79191478000007</v>
      </c>
      <c r="FO43" s="31">
        <f t="shared" si="56"/>
        <v>316.71137767500011</v>
      </c>
      <c r="FP43" s="31">
        <f t="shared" si="56"/>
        <v>318.63084057000009</v>
      </c>
      <c r="FQ43" s="31">
        <f t="shared" si="56"/>
        <v>320.55030346500007</v>
      </c>
      <c r="FR43" s="31">
        <f t="shared" si="56"/>
        <v>322.46976636000011</v>
      </c>
      <c r="FS43" s="31">
        <f t="shared" si="56"/>
        <v>324.38922925500009</v>
      </c>
      <c r="FT43" s="31">
        <f t="shared" si="56"/>
        <v>326.30869215000007</v>
      </c>
      <c r="FU43" s="31">
        <f t="shared" si="56"/>
        <v>328.22815504500011</v>
      </c>
      <c r="FV43" s="31">
        <f t="shared" si="56"/>
        <v>330.14761794000009</v>
      </c>
      <c r="FW43" s="31">
        <f t="shared" si="56"/>
        <v>332.06708083500007</v>
      </c>
      <c r="FX43" s="31">
        <f t="shared" si="56"/>
        <v>333.98654373000011</v>
      </c>
      <c r="FY43" s="31">
        <f t="shared" si="56"/>
        <v>335.90600662500009</v>
      </c>
      <c r="FZ43" s="31">
        <f t="shared" si="56"/>
        <v>337.82546952000007</v>
      </c>
      <c r="GA43" s="31">
        <f t="shared" si="56"/>
        <v>339.74493241500011</v>
      </c>
      <c r="GB43" s="31">
        <f t="shared" si="56"/>
        <v>341.66439531000009</v>
      </c>
      <c r="GC43" s="31">
        <f t="shared" si="56"/>
        <v>343.58385820500013</v>
      </c>
      <c r="GD43" s="31">
        <f t="shared" ref="GD43:GI43" si="57">$D$43*GD34</f>
        <v>345.50332110000011</v>
      </c>
      <c r="GE43" s="31">
        <f t="shared" si="57"/>
        <v>347.42278399500009</v>
      </c>
      <c r="GF43" s="31">
        <f t="shared" si="57"/>
        <v>349.34224689000013</v>
      </c>
      <c r="GG43" s="31">
        <f t="shared" si="57"/>
        <v>351.26170978500011</v>
      </c>
      <c r="GH43" s="31">
        <f t="shared" si="57"/>
        <v>353.18117268000009</v>
      </c>
      <c r="GI43" s="31">
        <f t="shared" si="57"/>
        <v>355.10063557500013</v>
      </c>
    </row>
    <row r="44" spans="1:191">
      <c r="C44" s="29" t="s">
        <v>134</v>
      </c>
      <c r="D44" s="94">
        <f>A35*G34*E44</f>
        <v>6.75</v>
      </c>
      <c r="E44">
        <v>1.5</v>
      </c>
      <c r="G44" s="31">
        <f>$D$44</f>
        <v>6.75</v>
      </c>
      <c r="H44" s="31">
        <f>$G$44*H34</f>
        <v>13.5</v>
      </c>
      <c r="I44" s="31">
        <f t="shared" ref="I44:BT44" si="58">$G$44*I34</f>
        <v>20.25</v>
      </c>
      <c r="J44" s="31">
        <f t="shared" si="58"/>
        <v>27</v>
      </c>
      <c r="K44" s="31">
        <f t="shared" si="58"/>
        <v>33.75</v>
      </c>
      <c r="L44" s="31">
        <f t="shared" si="58"/>
        <v>40.5</v>
      </c>
      <c r="M44" s="31">
        <f t="shared" si="58"/>
        <v>47.25</v>
      </c>
      <c r="N44" s="31">
        <f t="shared" si="58"/>
        <v>54</v>
      </c>
      <c r="O44" s="31">
        <f t="shared" si="58"/>
        <v>60.75</v>
      </c>
      <c r="P44" s="31">
        <f t="shared" si="58"/>
        <v>67.5</v>
      </c>
      <c r="Q44" s="31">
        <f t="shared" si="58"/>
        <v>74.25</v>
      </c>
      <c r="R44" s="31">
        <f t="shared" si="58"/>
        <v>81</v>
      </c>
      <c r="S44" s="31">
        <f t="shared" si="58"/>
        <v>87.75</v>
      </c>
      <c r="T44" s="31">
        <f t="shared" si="58"/>
        <v>94.5</v>
      </c>
      <c r="U44" s="31">
        <f t="shared" si="58"/>
        <v>101.25</v>
      </c>
      <c r="V44" s="31">
        <f t="shared" si="58"/>
        <v>108</v>
      </c>
      <c r="W44" s="31">
        <f t="shared" si="58"/>
        <v>114.75</v>
      </c>
      <c r="X44" s="31">
        <f t="shared" si="58"/>
        <v>121.5</v>
      </c>
      <c r="Y44" s="31">
        <f t="shared" si="58"/>
        <v>128.25</v>
      </c>
      <c r="Z44" s="31">
        <f t="shared" si="58"/>
        <v>135</v>
      </c>
      <c r="AA44" s="31">
        <f t="shared" si="58"/>
        <v>141.75</v>
      </c>
      <c r="AB44" s="31">
        <f t="shared" si="58"/>
        <v>148.5</v>
      </c>
      <c r="AC44" s="31">
        <f t="shared" si="58"/>
        <v>155.25</v>
      </c>
      <c r="AD44" s="31">
        <f t="shared" si="58"/>
        <v>162</v>
      </c>
      <c r="AE44" s="31">
        <f t="shared" si="58"/>
        <v>168.75</v>
      </c>
      <c r="AF44" s="31">
        <f t="shared" si="58"/>
        <v>175.5</v>
      </c>
      <c r="AG44" s="31">
        <f t="shared" si="58"/>
        <v>182.25</v>
      </c>
      <c r="AH44" s="31">
        <f t="shared" si="58"/>
        <v>189</v>
      </c>
      <c r="AI44" s="31">
        <f t="shared" si="58"/>
        <v>195.75</v>
      </c>
      <c r="AJ44" s="31">
        <f t="shared" si="58"/>
        <v>202.5</v>
      </c>
      <c r="AK44" s="31">
        <f t="shared" si="58"/>
        <v>209.25</v>
      </c>
      <c r="AL44" s="31">
        <f t="shared" si="58"/>
        <v>216</v>
      </c>
      <c r="AM44" s="31">
        <f t="shared" si="58"/>
        <v>222.75</v>
      </c>
      <c r="AN44" s="31">
        <f t="shared" si="58"/>
        <v>229.5</v>
      </c>
      <c r="AO44" s="31">
        <f t="shared" si="58"/>
        <v>236.25</v>
      </c>
      <c r="AP44" s="31">
        <f t="shared" si="58"/>
        <v>243</v>
      </c>
      <c r="AQ44" s="31">
        <f t="shared" si="58"/>
        <v>249.75</v>
      </c>
      <c r="AR44" s="31">
        <f t="shared" si="58"/>
        <v>256.5</v>
      </c>
      <c r="AS44" s="31">
        <f t="shared" si="58"/>
        <v>263.25</v>
      </c>
      <c r="AT44" s="31">
        <f t="shared" si="58"/>
        <v>270</v>
      </c>
      <c r="AU44" s="31">
        <f t="shared" si="58"/>
        <v>276.75</v>
      </c>
      <c r="AV44" s="31">
        <f t="shared" si="58"/>
        <v>283.5</v>
      </c>
      <c r="AW44" s="31">
        <f t="shared" si="58"/>
        <v>290.25</v>
      </c>
      <c r="AX44" s="31">
        <f t="shared" si="58"/>
        <v>297</v>
      </c>
      <c r="AY44" s="31">
        <f t="shared" si="58"/>
        <v>303.75</v>
      </c>
      <c r="AZ44" s="31">
        <f t="shared" si="58"/>
        <v>310.5</v>
      </c>
      <c r="BA44" s="31">
        <f t="shared" si="58"/>
        <v>317.25</v>
      </c>
      <c r="BB44" s="31">
        <f t="shared" si="58"/>
        <v>324</v>
      </c>
      <c r="BC44" s="31">
        <f t="shared" si="58"/>
        <v>330.75</v>
      </c>
      <c r="BD44" s="31">
        <f t="shared" si="58"/>
        <v>337.5</v>
      </c>
      <c r="BE44" s="31">
        <f t="shared" si="58"/>
        <v>344.25</v>
      </c>
      <c r="BF44" s="31">
        <f t="shared" si="58"/>
        <v>351</v>
      </c>
      <c r="BG44" s="31">
        <f t="shared" si="58"/>
        <v>357.75</v>
      </c>
      <c r="BH44" s="31">
        <f t="shared" si="58"/>
        <v>364.5</v>
      </c>
      <c r="BI44" s="31">
        <f t="shared" si="58"/>
        <v>371.25</v>
      </c>
      <c r="BJ44" s="31">
        <f t="shared" si="58"/>
        <v>378</v>
      </c>
      <c r="BK44" s="31">
        <f t="shared" si="58"/>
        <v>384.75</v>
      </c>
      <c r="BL44" s="31">
        <f t="shared" si="58"/>
        <v>391.5</v>
      </c>
      <c r="BM44" s="31">
        <f t="shared" si="58"/>
        <v>398.25</v>
      </c>
      <c r="BN44" s="31">
        <f t="shared" si="58"/>
        <v>405</v>
      </c>
      <c r="BO44" s="31">
        <f t="shared" si="58"/>
        <v>411.75</v>
      </c>
      <c r="BP44" s="31">
        <f t="shared" si="58"/>
        <v>418.5</v>
      </c>
      <c r="BQ44" s="31">
        <f t="shared" si="58"/>
        <v>425.25</v>
      </c>
      <c r="BR44" s="31">
        <f t="shared" si="58"/>
        <v>432</v>
      </c>
      <c r="BS44" s="31">
        <f t="shared" si="58"/>
        <v>438.75</v>
      </c>
      <c r="BT44" s="31">
        <f t="shared" si="58"/>
        <v>445.5</v>
      </c>
      <c r="BU44" s="31">
        <f t="shared" ref="BU44:CU44" si="59">$G$44*BU34</f>
        <v>452.25</v>
      </c>
      <c r="BV44" s="31">
        <f t="shared" si="59"/>
        <v>459</v>
      </c>
      <c r="BW44" s="31">
        <f t="shared" si="59"/>
        <v>465.75</v>
      </c>
      <c r="BX44" s="31">
        <f t="shared" si="59"/>
        <v>472.5</v>
      </c>
      <c r="BY44" s="31">
        <f t="shared" si="59"/>
        <v>479.25</v>
      </c>
      <c r="BZ44" s="31">
        <f t="shared" si="59"/>
        <v>486</v>
      </c>
      <c r="CA44" s="31">
        <f t="shared" si="59"/>
        <v>492.75</v>
      </c>
      <c r="CB44" s="31">
        <f t="shared" si="59"/>
        <v>499.5</v>
      </c>
      <c r="CC44" s="31">
        <f t="shared" si="59"/>
        <v>506.25</v>
      </c>
      <c r="CD44" s="31">
        <f t="shared" si="59"/>
        <v>513</v>
      </c>
      <c r="CE44" s="31">
        <f t="shared" si="59"/>
        <v>519.75</v>
      </c>
      <c r="CF44" s="31">
        <f t="shared" si="59"/>
        <v>526.5</v>
      </c>
      <c r="CG44" s="31">
        <f t="shared" si="59"/>
        <v>533.25</v>
      </c>
      <c r="CH44" s="31">
        <f t="shared" si="59"/>
        <v>540</v>
      </c>
      <c r="CI44" s="31">
        <f t="shared" si="59"/>
        <v>546.75</v>
      </c>
      <c r="CJ44" s="31">
        <f t="shared" si="59"/>
        <v>553.5</v>
      </c>
      <c r="CK44" s="31">
        <f t="shared" si="59"/>
        <v>560.25</v>
      </c>
      <c r="CL44" s="31">
        <f t="shared" si="59"/>
        <v>567</v>
      </c>
      <c r="CM44" s="31">
        <f t="shared" si="59"/>
        <v>573.75</v>
      </c>
      <c r="CN44" s="31">
        <f t="shared" si="59"/>
        <v>580.5</v>
      </c>
      <c r="CO44" s="31">
        <f t="shared" si="59"/>
        <v>587.25</v>
      </c>
      <c r="CP44" s="31">
        <f t="shared" si="59"/>
        <v>594</v>
      </c>
      <c r="CQ44" s="31">
        <f t="shared" si="59"/>
        <v>600.75</v>
      </c>
      <c r="CR44" s="31">
        <f t="shared" si="59"/>
        <v>607.5</v>
      </c>
      <c r="CS44" s="31">
        <f t="shared" si="59"/>
        <v>614.25</v>
      </c>
      <c r="CT44" s="31">
        <f t="shared" si="59"/>
        <v>621</v>
      </c>
      <c r="CU44" s="31">
        <f t="shared" si="59"/>
        <v>627.75</v>
      </c>
      <c r="CV44" s="31">
        <f t="shared" ref="CV44:DQ44" si="60">$G$44*CV34</f>
        <v>634.5</v>
      </c>
      <c r="CW44" s="31">
        <f t="shared" si="60"/>
        <v>641.25</v>
      </c>
      <c r="CX44" s="31">
        <f t="shared" si="60"/>
        <v>648</v>
      </c>
      <c r="CY44" s="31">
        <f t="shared" si="60"/>
        <v>654.75</v>
      </c>
      <c r="CZ44" s="31">
        <f t="shared" si="60"/>
        <v>661.5</v>
      </c>
      <c r="DA44" s="31">
        <f t="shared" si="60"/>
        <v>668.25</v>
      </c>
      <c r="DB44" s="31">
        <f t="shared" si="60"/>
        <v>675</v>
      </c>
      <c r="DC44" s="31">
        <f t="shared" si="60"/>
        <v>681.75</v>
      </c>
      <c r="DD44" s="31">
        <f t="shared" si="60"/>
        <v>688.5</v>
      </c>
      <c r="DE44" s="31">
        <f t="shared" si="60"/>
        <v>695.25</v>
      </c>
      <c r="DF44" s="31">
        <f t="shared" si="60"/>
        <v>702</v>
      </c>
      <c r="DG44" s="31">
        <f t="shared" si="60"/>
        <v>708.75</v>
      </c>
      <c r="DH44" s="31">
        <f t="shared" si="60"/>
        <v>715.5</v>
      </c>
      <c r="DI44" s="31">
        <f t="shared" si="60"/>
        <v>722.25</v>
      </c>
      <c r="DJ44" s="31">
        <f t="shared" si="60"/>
        <v>729</v>
      </c>
      <c r="DK44" s="31">
        <f t="shared" si="60"/>
        <v>735.75</v>
      </c>
      <c r="DL44" s="31">
        <f t="shared" si="60"/>
        <v>742.5</v>
      </c>
      <c r="DM44" s="31">
        <f t="shared" si="60"/>
        <v>749.25</v>
      </c>
      <c r="DN44" s="31">
        <f t="shared" si="60"/>
        <v>756</v>
      </c>
      <c r="DO44" s="31">
        <f t="shared" si="60"/>
        <v>762.75</v>
      </c>
      <c r="DP44" s="31">
        <f t="shared" si="60"/>
        <v>769.5</v>
      </c>
      <c r="DQ44" s="31">
        <f t="shared" si="60"/>
        <v>776.25</v>
      </c>
      <c r="DR44" s="31">
        <f t="shared" ref="DR44:GC44" si="61">$G$44*DR34</f>
        <v>783</v>
      </c>
      <c r="DS44" s="31">
        <f t="shared" si="61"/>
        <v>789.75</v>
      </c>
      <c r="DT44" s="31">
        <f t="shared" si="61"/>
        <v>796.5</v>
      </c>
      <c r="DU44" s="31">
        <f t="shared" si="61"/>
        <v>803.25</v>
      </c>
      <c r="DV44" s="31">
        <f t="shared" si="61"/>
        <v>810</v>
      </c>
      <c r="DW44" s="31">
        <f t="shared" si="61"/>
        <v>816.75</v>
      </c>
      <c r="DX44" s="31">
        <f t="shared" si="61"/>
        <v>823.5</v>
      </c>
      <c r="DY44" s="31">
        <f t="shared" si="61"/>
        <v>830.25</v>
      </c>
      <c r="DZ44" s="31">
        <f t="shared" si="61"/>
        <v>837</v>
      </c>
      <c r="EA44" s="31">
        <f t="shared" si="61"/>
        <v>843.75</v>
      </c>
      <c r="EB44" s="31">
        <f t="shared" si="61"/>
        <v>850.5</v>
      </c>
      <c r="EC44" s="31">
        <f t="shared" si="61"/>
        <v>857.25</v>
      </c>
      <c r="ED44" s="31">
        <f t="shared" si="61"/>
        <v>864</v>
      </c>
      <c r="EE44" s="31">
        <f t="shared" si="61"/>
        <v>870.75</v>
      </c>
      <c r="EF44" s="31">
        <f t="shared" si="61"/>
        <v>877.5</v>
      </c>
      <c r="EG44" s="31">
        <f t="shared" si="61"/>
        <v>884.25</v>
      </c>
      <c r="EH44" s="31">
        <f t="shared" si="61"/>
        <v>891</v>
      </c>
      <c r="EI44" s="31">
        <f t="shared" si="61"/>
        <v>897.75</v>
      </c>
      <c r="EJ44" s="31">
        <f t="shared" si="61"/>
        <v>904.5</v>
      </c>
      <c r="EK44" s="31">
        <f t="shared" si="61"/>
        <v>911.25</v>
      </c>
      <c r="EL44" s="31">
        <f t="shared" si="61"/>
        <v>918</v>
      </c>
      <c r="EM44" s="31">
        <f t="shared" si="61"/>
        <v>924.75</v>
      </c>
      <c r="EN44" s="31">
        <f t="shared" si="61"/>
        <v>931.5</v>
      </c>
      <c r="EO44" s="31">
        <f t="shared" si="61"/>
        <v>938.25</v>
      </c>
      <c r="EP44" s="31">
        <f t="shared" si="61"/>
        <v>945</v>
      </c>
      <c r="EQ44" s="31">
        <f t="shared" si="61"/>
        <v>951.75</v>
      </c>
      <c r="ER44" s="31">
        <f t="shared" si="61"/>
        <v>958.5</v>
      </c>
      <c r="ES44" s="31">
        <f t="shared" si="61"/>
        <v>965.25</v>
      </c>
      <c r="ET44" s="31">
        <f t="shared" si="61"/>
        <v>972</v>
      </c>
      <c r="EU44" s="31">
        <f t="shared" si="61"/>
        <v>978.75</v>
      </c>
      <c r="EV44" s="31">
        <f t="shared" si="61"/>
        <v>985.5</v>
      </c>
      <c r="EW44" s="31">
        <f t="shared" si="61"/>
        <v>992.25</v>
      </c>
      <c r="EX44" s="31">
        <f t="shared" si="61"/>
        <v>999</v>
      </c>
      <c r="EY44" s="31">
        <f t="shared" si="61"/>
        <v>1005.75</v>
      </c>
      <c r="EZ44" s="31">
        <f t="shared" si="61"/>
        <v>1012.5</v>
      </c>
      <c r="FA44" s="31">
        <f t="shared" si="61"/>
        <v>1019.25</v>
      </c>
      <c r="FB44" s="31">
        <f t="shared" si="61"/>
        <v>1026</v>
      </c>
      <c r="FC44" s="31">
        <f t="shared" si="61"/>
        <v>1032.75</v>
      </c>
      <c r="FD44" s="31">
        <f t="shared" si="61"/>
        <v>1039.5</v>
      </c>
      <c r="FE44" s="31">
        <f t="shared" si="61"/>
        <v>1046.25</v>
      </c>
      <c r="FF44" s="31">
        <f t="shared" si="61"/>
        <v>1053</v>
      </c>
      <c r="FG44" s="31">
        <f t="shared" si="61"/>
        <v>1059.75</v>
      </c>
      <c r="FH44" s="31">
        <f t="shared" si="61"/>
        <v>1066.5</v>
      </c>
      <c r="FI44" s="31">
        <f t="shared" si="61"/>
        <v>1073.25</v>
      </c>
      <c r="FJ44" s="31">
        <f t="shared" si="61"/>
        <v>1080</v>
      </c>
      <c r="FK44" s="31">
        <f t="shared" si="61"/>
        <v>1086.75</v>
      </c>
      <c r="FL44" s="31">
        <f t="shared" si="61"/>
        <v>1093.5</v>
      </c>
      <c r="FM44" s="31">
        <f t="shared" si="61"/>
        <v>1100.25</v>
      </c>
      <c r="FN44" s="31">
        <f t="shared" si="61"/>
        <v>1107</v>
      </c>
      <c r="FO44" s="31">
        <f t="shared" si="61"/>
        <v>1113.75</v>
      </c>
      <c r="FP44" s="31">
        <f t="shared" si="61"/>
        <v>1120.5</v>
      </c>
      <c r="FQ44" s="31">
        <f t="shared" si="61"/>
        <v>1127.25</v>
      </c>
      <c r="FR44" s="31">
        <f t="shared" si="61"/>
        <v>1134</v>
      </c>
      <c r="FS44" s="31">
        <f t="shared" si="61"/>
        <v>1140.75</v>
      </c>
      <c r="FT44" s="31">
        <f t="shared" si="61"/>
        <v>1147.5</v>
      </c>
      <c r="FU44" s="31">
        <f t="shared" si="61"/>
        <v>1154.25</v>
      </c>
      <c r="FV44" s="31">
        <f t="shared" si="61"/>
        <v>1161</v>
      </c>
      <c r="FW44" s="31">
        <f t="shared" si="61"/>
        <v>1167.75</v>
      </c>
      <c r="FX44" s="31">
        <f t="shared" si="61"/>
        <v>1174.5</v>
      </c>
      <c r="FY44" s="31">
        <f t="shared" si="61"/>
        <v>1181.25</v>
      </c>
      <c r="FZ44" s="31">
        <f t="shared" si="61"/>
        <v>1188</v>
      </c>
      <c r="GA44" s="31">
        <f t="shared" si="61"/>
        <v>1194.75</v>
      </c>
      <c r="GB44" s="31">
        <f t="shared" si="61"/>
        <v>1201.5</v>
      </c>
      <c r="GC44" s="31">
        <f t="shared" si="61"/>
        <v>1208.25</v>
      </c>
      <c r="GD44" s="31">
        <f t="shared" ref="GD44:GI44" si="62">$G$44*GD34</f>
        <v>1215</v>
      </c>
      <c r="GE44" s="31">
        <f t="shared" si="62"/>
        <v>1221.75</v>
      </c>
      <c r="GF44" s="31">
        <f t="shared" si="62"/>
        <v>1228.5</v>
      </c>
      <c r="GG44" s="31">
        <f t="shared" si="62"/>
        <v>1235.25</v>
      </c>
      <c r="GH44" s="31">
        <f t="shared" si="62"/>
        <v>1242</v>
      </c>
      <c r="GI44" s="31">
        <f t="shared" si="62"/>
        <v>1248.75</v>
      </c>
    </row>
    <row r="45" spans="1:191"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</row>
    <row r="46" spans="1:191">
      <c r="A46" s="228" t="s">
        <v>135</v>
      </c>
      <c r="B46" s="229"/>
      <c r="C46" s="229"/>
      <c r="D46" s="229"/>
      <c r="E46" s="229"/>
      <c r="F46" s="229"/>
      <c r="G46" s="32">
        <f t="shared" ref="G46:AJ46" si="63">SUM(G35:G44)</f>
        <v>28.547128395000001</v>
      </c>
      <c r="H46" s="32">
        <f t="shared" si="63"/>
        <v>56.222256790000003</v>
      </c>
      <c r="I46" s="32">
        <f t="shared" si="63"/>
        <v>83.897385185000019</v>
      </c>
      <c r="J46" s="32">
        <f t="shared" si="63"/>
        <v>111.57251358000002</v>
      </c>
      <c r="K46" s="32">
        <f t="shared" si="63"/>
        <v>139.24764197500002</v>
      </c>
      <c r="L46" s="32">
        <f t="shared" si="63"/>
        <v>179.67577037000004</v>
      </c>
      <c r="M46" s="32">
        <f t="shared" si="63"/>
        <v>208.22289876500002</v>
      </c>
      <c r="N46" s="32">
        <f t="shared" si="63"/>
        <v>235.89802716000003</v>
      </c>
      <c r="O46" s="32">
        <f t="shared" si="63"/>
        <v>263.57315555500003</v>
      </c>
      <c r="P46" s="32">
        <f t="shared" si="63"/>
        <v>291.24828395000003</v>
      </c>
      <c r="Q46" s="32">
        <f t="shared" si="63"/>
        <v>318.92341234500003</v>
      </c>
      <c r="R46" s="32">
        <f t="shared" si="63"/>
        <v>359.35154074000008</v>
      </c>
      <c r="S46" s="32">
        <f t="shared" si="63"/>
        <v>387.89866913500009</v>
      </c>
      <c r="T46" s="32">
        <f t="shared" si="63"/>
        <v>415.57379753000004</v>
      </c>
      <c r="U46" s="32">
        <f t="shared" si="63"/>
        <v>443.24892592500004</v>
      </c>
      <c r="V46" s="32">
        <f t="shared" si="63"/>
        <v>470.9240543200001</v>
      </c>
      <c r="W46" s="32">
        <f t="shared" si="63"/>
        <v>498.5991827150001</v>
      </c>
      <c r="X46" s="32">
        <f t="shared" si="63"/>
        <v>526.2743111100001</v>
      </c>
      <c r="Y46" s="32">
        <f t="shared" si="63"/>
        <v>567.5744395050001</v>
      </c>
      <c r="Z46" s="32">
        <f t="shared" si="63"/>
        <v>595.2495679000001</v>
      </c>
      <c r="AA46" s="32">
        <f t="shared" si="63"/>
        <v>622.9246962950001</v>
      </c>
      <c r="AB46" s="32">
        <f t="shared" si="63"/>
        <v>650.59982468999999</v>
      </c>
      <c r="AC46" s="32">
        <f t="shared" si="63"/>
        <v>678.27495308500011</v>
      </c>
      <c r="AD46" s="32">
        <f t="shared" si="63"/>
        <v>705.95008148000011</v>
      </c>
      <c r="AE46" s="32">
        <f t="shared" si="63"/>
        <v>747.25020987500022</v>
      </c>
      <c r="AF46" s="32">
        <f>SUM(AF35:AF44)</f>
        <v>774.92533827000011</v>
      </c>
      <c r="AG46" s="32">
        <f t="shared" si="63"/>
        <v>802.60046666500011</v>
      </c>
      <c r="AH46" s="32">
        <f t="shared" si="63"/>
        <v>830.27559506000011</v>
      </c>
      <c r="AI46" s="32">
        <f t="shared" si="63"/>
        <v>857.95072345500012</v>
      </c>
      <c r="AJ46" s="32">
        <f t="shared" si="63"/>
        <v>885.62585185000012</v>
      </c>
      <c r="AK46" s="32">
        <f t="shared" ref="AK46:CU46" si="64">SUM(AK35:AK44)</f>
        <v>913.30098024500023</v>
      </c>
      <c r="AL46" s="32">
        <f t="shared" si="64"/>
        <v>940.97610864000012</v>
      </c>
      <c r="AM46" s="32">
        <f t="shared" si="64"/>
        <v>968.65123703500024</v>
      </c>
      <c r="AN46" s="32">
        <f t="shared" si="64"/>
        <v>996.32636543000024</v>
      </c>
      <c r="AO46" s="32">
        <f t="shared" si="64"/>
        <v>1024.0014938250004</v>
      </c>
      <c r="AP46" s="32">
        <f t="shared" si="64"/>
        <v>1051.6766222200001</v>
      </c>
      <c r="AQ46" s="32">
        <f t="shared" si="64"/>
        <v>1079.3517506150001</v>
      </c>
      <c r="AR46" s="32">
        <f t="shared" si="64"/>
        <v>1107.0268790100001</v>
      </c>
      <c r="AS46" s="32">
        <f t="shared" si="64"/>
        <v>1134.7020074050001</v>
      </c>
      <c r="AT46" s="32">
        <f t="shared" si="64"/>
        <v>1162.3771358000001</v>
      </c>
      <c r="AU46" s="32">
        <f t="shared" si="64"/>
        <v>1190.0522641950001</v>
      </c>
      <c r="AV46" s="32">
        <f t="shared" si="64"/>
        <v>1217.7273925900001</v>
      </c>
      <c r="AW46" s="32">
        <f t="shared" si="64"/>
        <v>1245.4025209850001</v>
      </c>
      <c r="AX46" s="32">
        <f t="shared" si="64"/>
        <v>1273.0776493800001</v>
      </c>
      <c r="AY46" s="32">
        <f t="shared" si="64"/>
        <v>1300.7527777750001</v>
      </c>
      <c r="AZ46" s="32">
        <f t="shared" si="64"/>
        <v>1328.4279061700004</v>
      </c>
      <c r="BA46" s="32">
        <f t="shared" si="64"/>
        <v>1356.1030345650004</v>
      </c>
      <c r="BB46" s="32">
        <f t="shared" si="64"/>
        <v>1383.7781629600004</v>
      </c>
      <c r="BC46" s="32">
        <f t="shared" si="64"/>
        <v>1411.4532913550001</v>
      </c>
      <c r="BD46" s="32">
        <f t="shared" si="64"/>
        <v>1439.1284197500004</v>
      </c>
      <c r="BE46" s="32">
        <f t="shared" si="64"/>
        <v>1466.8035481450001</v>
      </c>
      <c r="BF46" s="32">
        <f t="shared" si="64"/>
        <v>1494.4786765400004</v>
      </c>
      <c r="BG46" s="32">
        <f t="shared" si="64"/>
        <v>1522.1538049350002</v>
      </c>
      <c r="BH46" s="32">
        <f t="shared" si="64"/>
        <v>1549.8289333300002</v>
      </c>
      <c r="BI46" s="32">
        <f t="shared" si="64"/>
        <v>1577.5040617250002</v>
      </c>
      <c r="BJ46" s="32">
        <f t="shared" si="64"/>
        <v>1605.1791901199999</v>
      </c>
      <c r="BK46" s="32">
        <f t="shared" si="64"/>
        <v>1632.8543185149999</v>
      </c>
      <c r="BL46" s="32">
        <f t="shared" si="64"/>
        <v>1660.5294469099999</v>
      </c>
      <c r="BM46" s="32">
        <f t="shared" si="64"/>
        <v>1688.2045753049999</v>
      </c>
      <c r="BN46" s="32">
        <f t="shared" si="64"/>
        <v>1715.8797036999999</v>
      </c>
      <c r="BO46" s="32">
        <f t="shared" si="64"/>
        <v>1743.5548320949997</v>
      </c>
      <c r="BP46" s="32">
        <f t="shared" si="64"/>
        <v>1771.2299604900002</v>
      </c>
      <c r="BQ46" s="32">
        <f t="shared" si="64"/>
        <v>1798.9050888849999</v>
      </c>
      <c r="BR46" s="32">
        <f t="shared" si="64"/>
        <v>1826.5802172799999</v>
      </c>
      <c r="BS46" s="32">
        <f t="shared" si="64"/>
        <v>1854.2553456750002</v>
      </c>
      <c r="BT46" s="32">
        <f t="shared" si="64"/>
        <v>1881.9304740700002</v>
      </c>
      <c r="BU46" s="32">
        <f t="shared" si="64"/>
        <v>1909.6056024650002</v>
      </c>
      <c r="BV46" s="32">
        <f t="shared" si="64"/>
        <v>1937.2807308600002</v>
      </c>
      <c r="BW46" s="32">
        <f t="shared" si="64"/>
        <v>1964.9558592550002</v>
      </c>
      <c r="BX46" s="32">
        <f t="shared" si="64"/>
        <v>1992.6309876500004</v>
      </c>
      <c r="BY46" s="32">
        <f t="shared" si="64"/>
        <v>2020.3061160450002</v>
      </c>
      <c r="BZ46" s="32">
        <f t="shared" si="64"/>
        <v>2047.98124444</v>
      </c>
      <c r="CA46" s="32">
        <f t="shared" si="64"/>
        <v>2075.6563728350002</v>
      </c>
      <c r="CB46" s="32">
        <f t="shared" si="64"/>
        <v>2103.33150123</v>
      </c>
      <c r="CC46" s="32">
        <f t="shared" si="64"/>
        <v>2131.0066296249997</v>
      </c>
      <c r="CD46" s="32">
        <f t="shared" si="64"/>
        <v>2158.68175802</v>
      </c>
      <c r="CE46" s="32">
        <f t="shared" si="64"/>
        <v>2186.3568864150002</v>
      </c>
      <c r="CF46" s="32">
        <f t="shared" si="64"/>
        <v>2214.03201481</v>
      </c>
      <c r="CG46" s="32">
        <f t="shared" si="64"/>
        <v>2241.7071432050002</v>
      </c>
      <c r="CH46" s="32">
        <f t="shared" si="64"/>
        <v>2269.3822716</v>
      </c>
      <c r="CI46" s="32">
        <f t="shared" si="64"/>
        <v>2297.0573999950002</v>
      </c>
      <c r="CJ46" s="32">
        <f t="shared" si="64"/>
        <v>2324.73252839</v>
      </c>
      <c r="CK46" s="32">
        <f t="shared" si="64"/>
        <v>2352.4076567849997</v>
      </c>
      <c r="CL46" s="32">
        <f t="shared" si="64"/>
        <v>2380.08278518</v>
      </c>
      <c r="CM46" s="32">
        <f t="shared" si="64"/>
        <v>2407.7579135750002</v>
      </c>
      <c r="CN46" s="32">
        <f t="shared" si="64"/>
        <v>2435.43304197</v>
      </c>
      <c r="CO46" s="32">
        <f t="shared" si="64"/>
        <v>2463.1081703650002</v>
      </c>
      <c r="CP46" s="32">
        <f t="shared" si="64"/>
        <v>2490.78329876</v>
      </c>
      <c r="CQ46" s="32">
        <f t="shared" si="64"/>
        <v>2518.4584271550002</v>
      </c>
      <c r="CR46" s="32">
        <f t="shared" si="64"/>
        <v>2546.13355555</v>
      </c>
      <c r="CS46" s="32">
        <f t="shared" si="64"/>
        <v>2573.8086839450007</v>
      </c>
      <c r="CT46" s="32">
        <f t="shared" si="64"/>
        <v>2601.4838123400004</v>
      </c>
      <c r="CU46" s="32">
        <f t="shared" si="64"/>
        <v>2629.1589407350002</v>
      </c>
      <c r="CV46" s="32">
        <f t="shared" ref="CV46:DQ46" si="65">SUM(CV35:CV44)</f>
        <v>2656.8340691300004</v>
      </c>
      <c r="CW46" s="32">
        <f t="shared" si="65"/>
        <v>2684.5091975249998</v>
      </c>
      <c r="CX46" s="32">
        <f t="shared" si="65"/>
        <v>2712.1843259200004</v>
      </c>
      <c r="CY46" s="32">
        <f t="shared" si="65"/>
        <v>2739.8594543150002</v>
      </c>
      <c r="CZ46" s="32">
        <f t="shared" si="65"/>
        <v>2767.53458271</v>
      </c>
      <c r="DA46" s="32">
        <f t="shared" si="65"/>
        <v>2795.2097111050002</v>
      </c>
      <c r="DB46" s="32">
        <f t="shared" si="65"/>
        <v>2822.8848395000005</v>
      </c>
      <c r="DC46" s="32">
        <f t="shared" si="65"/>
        <v>2850.5599678950002</v>
      </c>
      <c r="DD46" s="32">
        <f t="shared" si="65"/>
        <v>2878.2350962900005</v>
      </c>
      <c r="DE46" s="32">
        <f t="shared" si="65"/>
        <v>2905.9102246850002</v>
      </c>
      <c r="DF46" s="32">
        <f t="shared" si="65"/>
        <v>2933.5853530800005</v>
      </c>
      <c r="DG46" s="32">
        <f t="shared" si="65"/>
        <v>2961.2604814750002</v>
      </c>
      <c r="DH46" s="32">
        <f t="shared" si="65"/>
        <v>2988.9356098700005</v>
      </c>
      <c r="DI46" s="32">
        <f t="shared" si="65"/>
        <v>3016.6107382650002</v>
      </c>
      <c r="DJ46" s="32">
        <f t="shared" si="65"/>
        <v>3044.2858666600005</v>
      </c>
      <c r="DK46" s="32">
        <f t="shared" si="65"/>
        <v>3071.9609950550007</v>
      </c>
      <c r="DL46" s="32">
        <f t="shared" si="65"/>
        <v>3099.6361234500009</v>
      </c>
      <c r="DM46" s="32">
        <f t="shared" si="65"/>
        <v>3127.3112518450007</v>
      </c>
      <c r="DN46" s="32">
        <f t="shared" si="65"/>
        <v>3154.9863802400005</v>
      </c>
      <c r="DO46" s="32">
        <f t="shared" si="65"/>
        <v>3182.6615086350012</v>
      </c>
      <c r="DP46" s="32">
        <f t="shared" si="65"/>
        <v>3210.3366370300005</v>
      </c>
      <c r="DQ46" s="32">
        <f t="shared" si="65"/>
        <v>3238.0117654250002</v>
      </c>
      <c r="DR46" s="32">
        <f t="shared" ref="DR46:GC46" si="66">SUM(DR35:DR44)</f>
        <v>3265.6868938200005</v>
      </c>
      <c r="DS46" s="32">
        <f t="shared" si="66"/>
        <v>3293.3620222150003</v>
      </c>
      <c r="DT46" s="32">
        <f t="shared" si="66"/>
        <v>3321.0371506100005</v>
      </c>
      <c r="DU46" s="32">
        <f t="shared" si="66"/>
        <v>3348.7122790050003</v>
      </c>
      <c r="DV46" s="32">
        <f t="shared" si="66"/>
        <v>3376.3874074000005</v>
      </c>
      <c r="DW46" s="32">
        <f t="shared" si="66"/>
        <v>3404.0625357950003</v>
      </c>
      <c r="DX46" s="32">
        <f t="shared" si="66"/>
        <v>3431.73766419</v>
      </c>
      <c r="DY46" s="32">
        <f t="shared" si="66"/>
        <v>3459.4127925850003</v>
      </c>
      <c r="DZ46" s="32">
        <f t="shared" si="66"/>
        <v>3487.0879209800009</v>
      </c>
      <c r="EA46" s="32">
        <f t="shared" si="66"/>
        <v>3514.7630493750003</v>
      </c>
      <c r="EB46" s="32">
        <f t="shared" si="66"/>
        <v>3542.4381777700005</v>
      </c>
      <c r="EC46" s="32">
        <f t="shared" si="66"/>
        <v>3570.1133061650007</v>
      </c>
      <c r="ED46" s="32">
        <f t="shared" si="66"/>
        <v>3597.7884345600005</v>
      </c>
      <c r="EE46" s="32">
        <f t="shared" si="66"/>
        <v>3625.4635629550007</v>
      </c>
      <c r="EF46" s="32">
        <f t="shared" si="66"/>
        <v>3653.138691350001</v>
      </c>
      <c r="EG46" s="32">
        <f t="shared" si="66"/>
        <v>3680.8138197450012</v>
      </c>
      <c r="EH46" s="32">
        <f t="shared" si="66"/>
        <v>3708.488948140001</v>
      </c>
      <c r="EI46" s="32">
        <f t="shared" si="66"/>
        <v>3736.1640765350007</v>
      </c>
      <c r="EJ46" s="32">
        <f t="shared" si="66"/>
        <v>3763.839204930001</v>
      </c>
      <c r="EK46" s="32">
        <f t="shared" si="66"/>
        <v>3791.5143333250012</v>
      </c>
      <c r="EL46" s="32">
        <f t="shared" si="66"/>
        <v>3819.189461720001</v>
      </c>
      <c r="EM46" s="32">
        <f t="shared" si="66"/>
        <v>3846.8645901150007</v>
      </c>
      <c r="EN46" s="32">
        <f t="shared" si="66"/>
        <v>3874.539718510001</v>
      </c>
      <c r="EO46" s="32">
        <f t="shared" si="66"/>
        <v>3902.2148469050007</v>
      </c>
      <c r="EP46" s="32">
        <f t="shared" si="66"/>
        <v>3929.8899753000014</v>
      </c>
      <c r="EQ46" s="32">
        <f t="shared" si="66"/>
        <v>3957.5651036950007</v>
      </c>
      <c r="ER46" s="32">
        <f t="shared" si="66"/>
        <v>3985.240232090001</v>
      </c>
      <c r="ES46" s="32">
        <f t="shared" si="66"/>
        <v>4012.9153604850012</v>
      </c>
      <c r="ET46" s="32">
        <f t="shared" si="66"/>
        <v>4040.5904888800005</v>
      </c>
      <c r="EU46" s="32">
        <f t="shared" si="66"/>
        <v>4068.2656172750003</v>
      </c>
      <c r="EV46" s="32">
        <f t="shared" si="66"/>
        <v>4095.940745670001</v>
      </c>
      <c r="EW46" s="32">
        <f t="shared" si="66"/>
        <v>4123.6158740650008</v>
      </c>
      <c r="EX46" s="32">
        <f t="shared" si="66"/>
        <v>4151.2910024600005</v>
      </c>
      <c r="EY46" s="32">
        <f t="shared" si="66"/>
        <v>4178.9661308550003</v>
      </c>
      <c r="EZ46" s="32">
        <f t="shared" si="66"/>
        <v>4206.6412592500001</v>
      </c>
      <c r="FA46" s="32">
        <f t="shared" si="66"/>
        <v>4234.3163876450008</v>
      </c>
      <c r="FB46" s="32">
        <f t="shared" si="66"/>
        <v>4261.9915160400005</v>
      </c>
      <c r="FC46" s="32">
        <f t="shared" si="66"/>
        <v>4289.6666444350012</v>
      </c>
      <c r="FD46" s="32">
        <f t="shared" si="66"/>
        <v>4317.341772830001</v>
      </c>
      <c r="FE46" s="32">
        <f t="shared" si="66"/>
        <v>4345.0169012250008</v>
      </c>
      <c r="FF46" s="32">
        <f t="shared" si="66"/>
        <v>4372.6920296200005</v>
      </c>
      <c r="FG46" s="32">
        <f t="shared" si="66"/>
        <v>4400.3671580150003</v>
      </c>
      <c r="FH46" s="32">
        <f t="shared" si="66"/>
        <v>4428.042286410001</v>
      </c>
      <c r="FI46" s="32">
        <f t="shared" si="66"/>
        <v>4455.7174148050017</v>
      </c>
      <c r="FJ46" s="32">
        <f t="shared" si="66"/>
        <v>4483.3925432000005</v>
      </c>
      <c r="FK46" s="32">
        <f t="shared" si="66"/>
        <v>4511.0676715950003</v>
      </c>
      <c r="FL46" s="32">
        <f t="shared" si="66"/>
        <v>4538.742799990001</v>
      </c>
      <c r="FM46" s="32">
        <f t="shared" si="66"/>
        <v>4566.4179283850008</v>
      </c>
      <c r="FN46" s="32">
        <f t="shared" si="66"/>
        <v>4594.0930567800006</v>
      </c>
      <c r="FO46" s="32">
        <f t="shared" si="66"/>
        <v>4621.7681851750003</v>
      </c>
      <c r="FP46" s="32">
        <f t="shared" si="66"/>
        <v>4649.4433135700001</v>
      </c>
      <c r="FQ46" s="32">
        <f t="shared" si="66"/>
        <v>4677.1184419650008</v>
      </c>
      <c r="FR46" s="32">
        <f t="shared" si="66"/>
        <v>4704.7935703600006</v>
      </c>
      <c r="FS46" s="32">
        <f t="shared" si="66"/>
        <v>4732.4686987550003</v>
      </c>
      <c r="FT46" s="32">
        <f t="shared" si="66"/>
        <v>4760.143827150001</v>
      </c>
      <c r="FU46" s="32">
        <f t="shared" si="66"/>
        <v>4787.8189555450008</v>
      </c>
      <c r="FV46" s="32">
        <f t="shared" si="66"/>
        <v>4815.4940839400006</v>
      </c>
      <c r="FW46" s="32">
        <f t="shared" si="66"/>
        <v>4843.1692123350003</v>
      </c>
      <c r="FX46" s="32">
        <f t="shared" si="66"/>
        <v>4870.844340730001</v>
      </c>
      <c r="FY46" s="32">
        <f t="shared" si="66"/>
        <v>4898.5194691250008</v>
      </c>
      <c r="FZ46" s="32">
        <f t="shared" si="66"/>
        <v>4926.1945975200006</v>
      </c>
      <c r="GA46" s="32">
        <f t="shared" si="66"/>
        <v>4953.8697259150013</v>
      </c>
      <c r="GB46" s="32">
        <f t="shared" si="66"/>
        <v>4981.544854310001</v>
      </c>
      <c r="GC46" s="32">
        <f t="shared" si="66"/>
        <v>5009.2199827050008</v>
      </c>
      <c r="GD46" s="32">
        <f t="shared" ref="GD46:GI46" si="67">SUM(GD35:GD44)</f>
        <v>5036.8951111000006</v>
      </c>
      <c r="GE46" s="32">
        <f t="shared" si="67"/>
        <v>5064.5702394950004</v>
      </c>
      <c r="GF46" s="32">
        <f t="shared" si="67"/>
        <v>5092.2453678900019</v>
      </c>
      <c r="GG46" s="32">
        <f t="shared" si="67"/>
        <v>5119.9204962850008</v>
      </c>
      <c r="GH46" s="32">
        <f t="shared" si="67"/>
        <v>5147.5956246800015</v>
      </c>
      <c r="GI46" s="32">
        <f t="shared" si="67"/>
        <v>5175.2707530750013</v>
      </c>
    </row>
    <row r="47" spans="1:191">
      <c r="A47" s="230" t="s">
        <v>136</v>
      </c>
      <c r="B47" s="231"/>
      <c r="C47" s="231"/>
      <c r="D47" s="231"/>
      <c r="E47" s="231"/>
      <c r="F47" s="231"/>
      <c r="G47" s="33">
        <f t="shared" ref="G47:BR47" si="68">G46/G34</f>
        <v>28.547128395000001</v>
      </c>
      <c r="H47" s="33">
        <f>H46/H34</f>
        <v>28.111128395000001</v>
      </c>
      <c r="I47" s="33">
        <f t="shared" si="68"/>
        <v>27.965795061666672</v>
      </c>
      <c r="J47" s="33">
        <f t="shared" si="68"/>
        <v>27.893128395000005</v>
      </c>
      <c r="K47" s="33">
        <f t="shared" si="68"/>
        <v>27.849528395000004</v>
      </c>
      <c r="L47" s="33">
        <f t="shared" si="68"/>
        <v>29.945961728333341</v>
      </c>
      <c r="M47" s="33">
        <f t="shared" si="68"/>
        <v>29.746128395000003</v>
      </c>
      <c r="N47" s="33">
        <f t="shared" si="68"/>
        <v>29.487253395000003</v>
      </c>
      <c r="O47" s="33">
        <f t="shared" si="68"/>
        <v>29.285906172777782</v>
      </c>
      <c r="P47" s="33">
        <f t="shared" si="68"/>
        <v>29.124828395000002</v>
      </c>
      <c r="Q47" s="33">
        <f t="shared" si="68"/>
        <v>28.993037485909095</v>
      </c>
      <c r="R47" s="33">
        <f t="shared" si="68"/>
        <v>29.945961728333341</v>
      </c>
      <c r="S47" s="33">
        <f t="shared" si="68"/>
        <v>29.838359164230777</v>
      </c>
      <c r="T47" s="33">
        <f t="shared" si="68"/>
        <v>29.683842680714289</v>
      </c>
      <c r="U47" s="33">
        <f t="shared" si="68"/>
        <v>29.549928395000002</v>
      </c>
      <c r="V47" s="33">
        <f t="shared" si="68"/>
        <v>29.432753395000006</v>
      </c>
      <c r="W47" s="33">
        <f t="shared" si="68"/>
        <v>29.329363689117653</v>
      </c>
      <c r="X47" s="33">
        <f t="shared" si="68"/>
        <v>29.23746172833334</v>
      </c>
      <c r="Y47" s="33">
        <f t="shared" si="68"/>
        <v>29.872338921315794</v>
      </c>
      <c r="Z47" s="33">
        <f t="shared" si="68"/>
        <v>29.762478395000006</v>
      </c>
      <c r="AA47" s="33">
        <f t="shared" si="68"/>
        <v>29.663080775952388</v>
      </c>
      <c r="AB47" s="33">
        <f t="shared" si="68"/>
        <v>29.57271930409091</v>
      </c>
      <c r="AC47" s="33">
        <f t="shared" si="68"/>
        <v>29.490215351521744</v>
      </c>
      <c r="AD47" s="33">
        <f t="shared" si="68"/>
        <v>29.414586728333337</v>
      </c>
      <c r="AE47" s="33">
        <f t="shared" si="68"/>
        <v>29.89000839500001</v>
      </c>
      <c r="AF47" s="33">
        <f t="shared" si="68"/>
        <v>29.804820702692311</v>
      </c>
      <c r="AG47" s="33">
        <f t="shared" si="68"/>
        <v>29.725943209814819</v>
      </c>
      <c r="AH47" s="33">
        <f t="shared" si="68"/>
        <v>29.652699823571432</v>
      </c>
      <c r="AI47" s="33">
        <f t="shared" si="68"/>
        <v>29.58450770534483</v>
      </c>
      <c r="AJ47" s="33">
        <f t="shared" si="68"/>
        <v>29.520861728333337</v>
      </c>
      <c r="AK47" s="33">
        <f t="shared" si="68"/>
        <v>29.461321943387105</v>
      </c>
      <c r="AL47" s="33">
        <f t="shared" si="68"/>
        <v>29.405503395000004</v>
      </c>
      <c r="AM47" s="33">
        <f t="shared" si="68"/>
        <v>29.353067788939402</v>
      </c>
      <c r="AN47" s="33">
        <f t="shared" si="68"/>
        <v>29.303716630294126</v>
      </c>
      <c r="AO47" s="33">
        <f t="shared" si="68"/>
        <v>29.257185537857154</v>
      </c>
      <c r="AP47" s="33">
        <f t="shared" si="68"/>
        <v>29.213239506111115</v>
      </c>
      <c r="AQ47" s="33">
        <f t="shared" si="68"/>
        <v>29.171668935540545</v>
      </c>
      <c r="AR47" s="33">
        <f t="shared" si="68"/>
        <v>29.132286289736847</v>
      </c>
      <c r="AS47" s="33">
        <f t="shared" si="68"/>
        <v>29.094923266794876</v>
      </c>
      <c r="AT47" s="33">
        <f t="shared" si="68"/>
        <v>29.059428395000005</v>
      </c>
      <c r="AU47" s="33">
        <f t="shared" si="68"/>
        <v>29.025664980365857</v>
      </c>
      <c r="AV47" s="33">
        <f t="shared" si="68"/>
        <v>28.993509347380957</v>
      </c>
      <c r="AW47" s="33">
        <f t="shared" si="68"/>
        <v>28.962849325232561</v>
      </c>
      <c r="AX47" s="33">
        <f t="shared" si="68"/>
        <v>28.933582940454549</v>
      </c>
      <c r="AY47" s="33">
        <f t="shared" si="68"/>
        <v>28.905617283888891</v>
      </c>
      <c r="AZ47" s="33">
        <f t="shared" si="68"/>
        <v>28.878867525434792</v>
      </c>
      <c r="BA47" s="33">
        <f t="shared" si="68"/>
        <v>28.853256054574477</v>
      </c>
      <c r="BB47" s="33">
        <f t="shared" si="68"/>
        <v>28.828711728333342</v>
      </c>
      <c r="BC47" s="33">
        <f t="shared" si="68"/>
        <v>28.805169211326533</v>
      </c>
      <c r="BD47" s="33">
        <f t="shared" si="68"/>
        <v>28.782568395000009</v>
      </c>
      <c r="BE47" s="33">
        <f t="shared" si="68"/>
        <v>28.760853885196081</v>
      </c>
      <c r="BF47" s="33">
        <f t="shared" si="68"/>
        <v>28.73997454884616</v>
      </c>
      <c r="BG47" s="33">
        <f t="shared" si="68"/>
        <v>28.719883111981137</v>
      </c>
      <c r="BH47" s="33">
        <f t="shared" si="68"/>
        <v>28.700535802407412</v>
      </c>
      <c r="BI47" s="33">
        <f t="shared" si="68"/>
        <v>28.681892031363638</v>
      </c>
      <c r="BJ47" s="33">
        <f t="shared" si="68"/>
        <v>28.663914109285713</v>
      </c>
      <c r="BK47" s="33">
        <f t="shared" si="68"/>
        <v>28.646566991491227</v>
      </c>
      <c r="BL47" s="33">
        <f t="shared" si="68"/>
        <v>28.629818050172414</v>
      </c>
      <c r="BM47" s="33">
        <f t="shared" si="68"/>
        <v>28.613636869576268</v>
      </c>
      <c r="BN47" s="33">
        <f t="shared" si="68"/>
        <v>28.597995061666666</v>
      </c>
      <c r="BO47" s="33">
        <f t="shared" si="68"/>
        <v>28.582866099918029</v>
      </c>
      <c r="BP47" s="33">
        <f t="shared" si="68"/>
        <v>28.56822516919355</v>
      </c>
      <c r="BQ47" s="33">
        <f t="shared" si="68"/>
        <v>28.554049029920634</v>
      </c>
      <c r="BR47" s="33">
        <f t="shared" si="68"/>
        <v>28.540315894999999</v>
      </c>
      <c r="BS47" s="33">
        <f t="shared" ref="BS47:CU47" si="69">BS46/BS34</f>
        <v>28.527005318076927</v>
      </c>
      <c r="BT47" s="33">
        <f t="shared" si="69"/>
        <v>28.5140980919697</v>
      </c>
      <c r="BU47" s="33">
        <f t="shared" si="69"/>
        <v>28.501576156194034</v>
      </c>
      <c r="BV47" s="33">
        <f t="shared" si="69"/>
        <v>28.48942251264706</v>
      </c>
      <c r="BW47" s="33">
        <f t="shared" si="69"/>
        <v>28.477621148623189</v>
      </c>
      <c r="BX47" s="33">
        <f t="shared" si="69"/>
        <v>28.466156966428578</v>
      </c>
      <c r="BY47" s="33">
        <f t="shared" si="69"/>
        <v>28.455015718943663</v>
      </c>
      <c r="BZ47" s="33">
        <f t="shared" si="69"/>
        <v>28.444183950555555</v>
      </c>
      <c r="CA47" s="33">
        <f t="shared" si="69"/>
        <v>28.433648942945208</v>
      </c>
      <c r="CB47" s="33">
        <f t="shared" si="69"/>
        <v>28.42339866527027</v>
      </c>
      <c r="CC47" s="33">
        <f t="shared" si="69"/>
        <v>28.413421728333329</v>
      </c>
      <c r="CD47" s="33">
        <f t="shared" si="69"/>
        <v>28.403707342368421</v>
      </c>
      <c r="CE47" s="33">
        <f t="shared" si="69"/>
        <v>28.394245278116884</v>
      </c>
      <c r="CF47" s="33">
        <f t="shared" si="69"/>
        <v>28.385025830897437</v>
      </c>
      <c r="CG47" s="33">
        <f t="shared" si="69"/>
        <v>28.376039787405066</v>
      </c>
      <c r="CH47" s="33">
        <f t="shared" si="69"/>
        <v>28.367278395</v>
      </c>
      <c r="CI47" s="33">
        <f t="shared" si="69"/>
        <v>28.358733333271609</v>
      </c>
      <c r="CJ47" s="33">
        <f t="shared" si="69"/>
        <v>28.350396687682927</v>
      </c>
      <c r="CK47" s="33">
        <f t="shared" si="69"/>
        <v>28.342260925120478</v>
      </c>
      <c r="CL47" s="33">
        <f t="shared" si="69"/>
        <v>28.334318871190476</v>
      </c>
      <c r="CM47" s="33">
        <f t="shared" si="69"/>
        <v>28.326563689117648</v>
      </c>
      <c r="CN47" s="33">
        <f t="shared" si="69"/>
        <v>28.318988860116278</v>
      </c>
      <c r="CO47" s="33">
        <f t="shared" si="69"/>
        <v>28.311588165114944</v>
      </c>
      <c r="CP47" s="33">
        <f t="shared" si="69"/>
        <v>28.304355667727272</v>
      </c>
      <c r="CQ47" s="33">
        <f t="shared" si="69"/>
        <v>28.297285698370789</v>
      </c>
      <c r="CR47" s="33">
        <f t="shared" si="69"/>
        <v>28.290372839444444</v>
      </c>
      <c r="CS47" s="33">
        <f t="shared" si="69"/>
        <v>28.283611911483522</v>
      </c>
      <c r="CT47" s="33">
        <f t="shared" si="69"/>
        <v>28.276997960217397</v>
      </c>
      <c r="CU47" s="33">
        <f t="shared" si="69"/>
        <v>28.270526244462367</v>
      </c>
      <c r="CV47" s="33">
        <f t="shared" ref="CV47:DQ47" si="70">CV46/CV34</f>
        <v>28.264192224787237</v>
      </c>
      <c r="CW47" s="33">
        <f t="shared" si="70"/>
        <v>28.257991552894733</v>
      </c>
      <c r="CX47" s="33">
        <f t="shared" si="70"/>
        <v>28.25192006166667</v>
      </c>
      <c r="CY47" s="33">
        <f t="shared" si="70"/>
        <v>28.245973755824746</v>
      </c>
      <c r="CZ47" s="33">
        <f t="shared" si="70"/>
        <v>28.240148803163265</v>
      </c>
      <c r="DA47" s="33">
        <f t="shared" si="70"/>
        <v>28.234441526313134</v>
      </c>
      <c r="DB47" s="33">
        <f t="shared" si="70"/>
        <v>28.228848395000004</v>
      </c>
      <c r="DC47" s="33">
        <f t="shared" si="70"/>
        <v>28.223366018762377</v>
      </c>
      <c r="DD47" s="33">
        <f t="shared" si="70"/>
        <v>28.217991140098043</v>
      </c>
      <c r="DE47" s="33">
        <f t="shared" si="70"/>
        <v>28.212720628009713</v>
      </c>
      <c r="DF47" s="33">
        <f t="shared" si="70"/>
        <v>28.207551471923082</v>
      </c>
      <c r="DG47" s="33">
        <f t="shared" si="70"/>
        <v>28.202480775952385</v>
      </c>
      <c r="DH47" s="33">
        <f t="shared" si="70"/>
        <v>28.197505753490571</v>
      </c>
      <c r="DI47" s="33">
        <f t="shared" si="70"/>
        <v>28.192623722102805</v>
      </c>
      <c r="DJ47" s="33">
        <f t="shared" si="70"/>
        <v>28.187832098703709</v>
      </c>
      <c r="DK47" s="33">
        <f t="shared" si="70"/>
        <v>28.183128395000008</v>
      </c>
      <c r="DL47" s="33">
        <f t="shared" si="70"/>
        <v>28.178510213181827</v>
      </c>
      <c r="DM47" s="33">
        <f t="shared" si="70"/>
        <v>28.173975241846854</v>
      </c>
      <c r="DN47" s="33">
        <f t="shared" si="70"/>
        <v>28.169521252142861</v>
      </c>
      <c r="DO47" s="33">
        <f t="shared" si="70"/>
        <v>28.165146094115055</v>
      </c>
      <c r="DP47" s="33">
        <f t="shared" si="70"/>
        <v>28.160847693245618</v>
      </c>
      <c r="DQ47" s="33">
        <f t="shared" si="70"/>
        <v>28.156624047173914</v>
      </c>
      <c r="DR47" s="33">
        <f t="shared" ref="DR47:GC47" si="71">DR46/DR34</f>
        <v>28.15247322258621</v>
      </c>
      <c r="DS47" s="33">
        <f t="shared" si="71"/>
        <v>28.148393352264961</v>
      </c>
      <c r="DT47" s="33">
        <f t="shared" si="71"/>
        <v>28.144382632288139</v>
      </c>
      <c r="DU47" s="33">
        <f t="shared" si="71"/>
        <v>28.140439319369751</v>
      </c>
      <c r="DV47" s="33">
        <f t="shared" si="71"/>
        <v>28.136561728333337</v>
      </c>
      <c r="DW47" s="33">
        <f t="shared" si="71"/>
        <v>28.132748229710746</v>
      </c>
      <c r="DX47" s="33">
        <f t="shared" si="71"/>
        <v>28.128997247459015</v>
      </c>
      <c r="DY47" s="33">
        <f t="shared" si="71"/>
        <v>28.12530725678862</v>
      </c>
      <c r="DZ47" s="33">
        <f t="shared" si="71"/>
        <v>28.121676782096781</v>
      </c>
      <c r="EA47" s="33">
        <f t="shared" si="71"/>
        <v>28.118104395000003</v>
      </c>
      <c r="EB47" s="33">
        <f t="shared" si="71"/>
        <v>28.114588712460321</v>
      </c>
      <c r="EC47" s="33">
        <f t="shared" si="71"/>
        <v>28.111128395000005</v>
      </c>
      <c r="ED47" s="33">
        <f t="shared" si="71"/>
        <v>28.107722145000004</v>
      </c>
      <c r="EE47" s="33">
        <f t="shared" si="71"/>
        <v>28.104368705077526</v>
      </c>
      <c r="EF47" s="33">
        <f t="shared" si="71"/>
        <v>28.10106685653847</v>
      </c>
      <c r="EG47" s="33">
        <f t="shared" si="71"/>
        <v>28.097815417900772</v>
      </c>
      <c r="EH47" s="33">
        <f t="shared" si="71"/>
        <v>28.094613243484854</v>
      </c>
      <c r="EI47" s="33">
        <f t="shared" si="71"/>
        <v>28.091459222067673</v>
      </c>
      <c r="EJ47" s="33">
        <f t="shared" si="71"/>
        <v>28.088352275597021</v>
      </c>
      <c r="EK47" s="33">
        <f t="shared" si="71"/>
        <v>28.085291357962973</v>
      </c>
      <c r="EL47" s="33">
        <f t="shared" si="71"/>
        <v>28.082275453823538</v>
      </c>
      <c r="EM47" s="33">
        <f t="shared" si="71"/>
        <v>28.079303577481756</v>
      </c>
      <c r="EN47" s="33">
        <f t="shared" si="71"/>
        <v>28.076374771811601</v>
      </c>
      <c r="EO47" s="33">
        <f t="shared" si="71"/>
        <v>28.073488107230222</v>
      </c>
      <c r="EP47" s="33">
        <f t="shared" si="71"/>
        <v>28.070642680714297</v>
      </c>
      <c r="EQ47" s="33">
        <f t="shared" si="71"/>
        <v>28.06783761485816</v>
      </c>
      <c r="ER47" s="33">
        <f t="shared" si="71"/>
        <v>28.065072056971839</v>
      </c>
      <c r="ES47" s="33">
        <f t="shared" si="71"/>
        <v>28.062345178216791</v>
      </c>
      <c r="ET47" s="33">
        <f t="shared" si="71"/>
        <v>28.059656172777782</v>
      </c>
      <c r="EU47" s="33">
        <f t="shared" si="71"/>
        <v>28.057004257068968</v>
      </c>
      <c r="EV47" s="33">
        <f t="shared" si="71"/>
        <v>28.05438866897261</v>
      </c>
      <c r="EW47" s="33">
        <f t="shared" si="71"/>
        <v>28.051808667108848</v>
      </c>
      <c r="EX47" s="33">
        <f t="shared" si="71"/>
        <v>28.049263530135139</v>
      </c>
      <c r="EY47" s="33">
        <f t="shared" si="71"/>
        <v>28.046752556073827</v>
      </c>
      <c r="EZ47" s="33">
        <f t="shared" si="71"/>
        <v>28.044275061666667</v>
      </c>
      <c r="FA47" s="33">
        <f t="shared" si="71"/>
        <v>28.041830381754973</v>
      </c>
      <c r="FB47" s="33">
        <f t="shared" si="71"/>
        <v>28.039417868684215</v>
      </c>
      <c r="FC47" s="33">
        <f t="shared" si="71"/>
        <v>28.037036891732033</v>
      </c>
      <c r="FD47" s="33">
        <f t="shared" si="71"/>
        <v>28.034686836558446</v>
      </c>
      <c r="FE47" s="33">
        <f t="shared" si="71"/>
        <v>28.032367104677423</v>
      </c>
      <c r="FF47" s="33">
        <f t="shared" si="71"/>
        <v>28.030077112948721</v>
      </c>
      <c r="FG47" s="33">
        <f t="shared" si="71"/>
        <v>28.027816293089174</v>
      </c>
      <c r="FH47" s="33">
        <f t="shared" si="71"/>
        <v>28.025584091202539</v>
      </c>
      <c r="FI47" s="33">
        <f t="shared" si="71"/>
        <v>28.023379967327056</v>
      </c>
      <c r="FJ47" s="33">
        <f t="shared" si="71"/>
        <v>28.021203395000004</v>
      </c>
      <c r="FK47" s="33">
        <f t="shared" si="71"/>
        <v>28.019053860838511</v>
      </c>
      <c r="FL47" s="33">
        <f t="shared" si="71"/>
        <v>28.016930864135809</v>
      </c>
      <c r="FM47" s="33">
        <f t="shared" si="71"/>
        <v>28.014833916472398</v>
      </c>
      <c r="FN47" s="33">
        <f t="shared" si="71"/>
        <v>28.012762541341466</v>
      </c>
      <c r="FO47" s="33">
        <f t="shared" si="71"/>
        <v>28.010716273787882</v>
      </c>
      <c r="FP47" s="33">
        <f t="shared" si="71"/>
        <v>28.008694660060243</v>
      </c>
      <c r="FQ47" s="33">
        <f t="shared" si="71"/>
        <v>28.006697257275455</v>
      </c>
      <c r="FR47" s="33">
        <f t="shared" si="71"/>
        <v>28.004723633095242</v>
      </c>
      <c r="FS47" s="33">
        <f t="shared" si="71"/>
        <v>28.002773365414203</v>
      </c>
      <c r="FT47" s="33">
        <f t="shared" si="71"/>
        <v>28.000846042058829</v>
      </c>
      <c r="FU47" s="33">
        <f t="shared" si="71"/>
        <v>27.99894126049708</v>
      </c>
      <c r="FV47" s="33">
        <f t="shared" si="71"/>
        <v>27.997058627558143</v>
      </c>
      <c r="FW47" s="33">
        <f t="shared" si="71"/>
        <v>27.995197759161851</v>
      </c>
      <c r="FX47" s="33">
        <f t="shared" si="71"/>
        <v>27.993358280057478</v>
      </c>
      <c r="FY47" s="33">
        <f t="shared" si="71"/>
        <v>27.991539823571433</v>
      </c>
      <c r="FZ47" s="33">
        <f t="shared" si="71"/>
        <v>27.98974203136364</v>
      </c>
      <c r="GA47" s="33">
        <f t="shared" si="71"/>
        <v>27.987964553192096</v>
      </c>
      <c r="GB47" s="33">
        <f t="shared" si="71"/>
        <v>27.986207046685401</v>
      </c>
      <c r="GC47" s="33">
        <f t="shared" si="71"/>
        <v>27.984469177122911</v>
      </c>
      <c r="GD47" s="33">
        <f t="shared" ref="GD47:GI47" si="72">GD46/GD34</f>
        <v>27.982750617222226</v>
      </c>
      <c r="GE47" s="33">
        <f t="shared" si="72"/>
        <v>27.981051046933704</v>
      </c>
      <c r="GF47" s="33">
        <f t="shared" si="72"/>
        <v>27.979370153241771</v>
      </c>
      <c r="GG47" s="33">
        <f t="shared" si="72"/>
        <v>27.977707629972681</v>
      </c>
      <c r="GH47" s="33">
        <f t="shared" si="72"/>
        <v>27.976063177608705</v>
      </c>
      <c r="GI47" s="33">
        <f t="shared" si="72"/>
        <v>27.974436503108116</v>
      </c>
    </row>
    <row r="48" spans="1:191">
      <c r="C48">
        <v>2</v>
      </c>
      <c r="AK48" s="2"/>
      <c r="AL48" s="2"/>
      <c r="AM48" s="2"/>
      <c r="AN48" s="2"/>
      <c r="AO48" s="2"/>
      <c r="AP48" s="2"/>
      <c r="AQ48" s="2"/>
      <c r="AR48" s="2"/>
      <c r="AS48" s="2"/>
      <c r="AT48" s="2"/>
    </row>
    <row r="49" spans="1:191">
      <c r="B49" s="30">
        <v>7</v>
      </c>
      <c r="C49" s="30">
        <f>B49+$C$48</f>
        <v>9</v>
      </c>
      <c r="G49" s="42">
        <f>$B$49*$A$35*G34</f>
        <v>31.5</v>
      </c>
      <c r="H49" s="42">
        <f t="shared" ref="H49:BS49" si="73">$B$49*$A$35*H34</f>
        <v>63</v>
      </c>
      <c r="I49" s="42">
        <f t="shared" si="73"/>
        <v>94.5</v>
      </c>
      <c r="J49" s="42">
        <f t="shared" si="73"/>
        <v>126</v>
      </c>
      <c r="K49" s="42">
        <f t="shared" si="73"/>
        <v>157.5</v>
      </c>
      <c r="L49" s="42">
        <f t="shared" si="73"/>
        <v>189</v>
      </c>
      <c r="M49" s="42">
        <f t="shared" si="73"/>
        <v>220.5</v>
      </c>
      <c r="N49" s="42">
        <f t="shared" si="73"/>
        <v>252</v>
      </c>
      <c r="O49" s="42">
        <f t="shared" si="73"/>
        <v>283.5</v>
      </c>
      <c r="P49" s="42">
        <f t="shared" si="73"/>
        <v>315</v>
      </c>
      <c r="Q49" s="42">
        <f t="shared" si="73"/>
        <v>346.5</v>
      </c>
      <c r="R49" s="42">
        <f t="shared" si="73"/>
        <v>378</v>
      </c>
      <c r="S49" s="42">
        <f t="shared" si="73"/>
        <v>409.5</v>
      </c>
      <c r="T49" s="42">
        <f t="shared" si="73"/>
        <v>441</v>
      </c>
      <c r="U49" s="42">
        <f t="shared" si="73"/>
        <v>472.5</v>
      </c>
      <c r="V49" s="42">
        <f t="shared" si="73"/>
        <v>504</v>
      </c>
      <c r="W49" s="42">
        <f t="shared" si="73"/>
        <v>535.5</v>
      </c>
      <c r="X49" s="42">
        <f t="shared" si="73"/>
        <v>567</v>
      </c>
      <c r="Y49" s="42">
        <f t="shared" si="73"/>
        <v>598.5</v>
      </c>
      <c r="Z49" s="42">
        <f t="shared" si="73"/>
        <v>630</v>
      </c>
      <c r="AA49" s="42">
        <f t="shared" si="73"/>
        <v>661.5</v>
      </c>
      <c r="AB49" s="42">
        <f t="shared" si="73"/>
        <v>693</v>
      </c>
      <c r="AC49" s="42">
        <f t="shared" si="73"/>
        <v>724.5</v>
      </c>
      <c r="AD49" s="42">
        <f t="shared" si="73"/>
        <v>756</v>
      </c>
      <c r="AE49" s="42">
        <f t="shared" si="73"/>
        <v>787.5</v>
      </c>
      <c r="AF49" s="42">
        <f t="shared" si="73"/>
        <v>819</v>
      </c>
      <c r="AG49" s="42">
        <f t="shared" si="73"/>
        <v>850.5</v>
      </c>
      <c r="AH49" s="42">
        <f t="shared" si="73"/>
        <v>882</v>
      </c>
      <c r="AI49" s="42">
        <f t="shared" si="73"/>
        <v>913.5</v>
      </c>
      <c r="AJ49" s="42">
        <f t="shared" si="73"/>
        <v>945</v>
      </c>
      <c r="AK49" s="42">
        <f t="shared" si="73"/>
        <v>976.5</v>
      </c>
      <c r="AL49" s="42">
        <f t="shared" si="73"/>
        <v>1008</v>
      </c>
      <c r="AM49" s="42">
        <f t="shared" si="73"/>
        <v>1039.5</v>
      </c>
      <c r="AN49" s="42">
        <f t="shared" si="73"/>
        <v>1071</v>
      </c>
      <c r="AO49" s="42">
        <f t="shared" si="73"/>
        <v>1102.5</v>
      </c>
      <c r="AP49" s="42">
        <f t="shared" si="73"/>
        <v>1134</v>
      </c>
      <c r="AQ49" s="42">
        <f t="shared" si="73"/>
        <v>1165.5</v>
      </c>
      <c r="AR49" s="42">
        <f t="shared" si="73"/>
        <v>1197</v>
      </c>
      <c r="AS49" s="42">
        <f t="shared" si="73"/>
        <v>1228.5</v>
      </c>
      <c r="AT49" s="42">
        <f t="shared" si="73"/>
        <v>1260</v>
      </c>
      <c r="AU49" s="42">
        <f t="shared" si="73"/>
        <v>1291.5</v>
      </c>
      <c r="AV49" s="42">
        <f t="shared" si="73"/>
        <v>1323</v>
      </c>
      <c r="AW49" s="42">
        <f t="shared" si="73"/>
        <v>1354.5</v>
      </c>
      <c r="AX49" s="42">
        <f t="shared" si="73"/>
        <v>1386</v>
      </c>
      <c r="AY49" s="42">
        <f t="shared" si="73"/>
        <v>1417.5</v>
      </c>
      <c r="AZ49" s="42">
        <f t="shared" si="73"/>
        <v>1449</v>
      </c>
      <c r="BA49" s="42">
        <f t="shared" si="73"/>
        <v>1480.5</v>
      </c>
      <c r="BB49" s="42">
        <f t="shared" si="73"/>
        <v>1512</v>
      </c>
      <c r="BC49" s="42">
        <f t="shared" si="73"/>
        <v>1543.5</v>
      </c>
      <c r="BD49" s="42">
        <f t="shared" si="73"/>
        <v>1575</v>
      </c>
      <c r="BE49" s="42">
        <f t="shared" si="73"/>
        <v>1606.5</v>
      </c>
      <c r="BF49" s="42">
        <f t="shared" si="73"/>
        <v>1638</v>
      </c>
      <c r="BG49" s="42">
        <f t="shared" si="73"/>
        <v>1669.5</v>
      </c>
      <c r="BH49" s="42">
        <f t="shared" si="73"/>
        <v>1701</v>
      </c>
      <c r="BI49" s="42">
        <f t="shared" si="73"/>
        <v>1732.5</v>
      </c>
      <c r="BJ49" s="42">
        <f t="shared" si="73"/>
        <v>1764</v>
      </c>
      <c r="BK49" s="42">
        <f t="shared" si="73"/>
        <v>1795.5</v>
      </c>
      <c r="BL49" s="42">
        <f t="shared" si="73"/>
        <v>1827</v>
      </c>
      <c r="BM49" s="42">
        <f t="shared" si="73"/>
        <v>1858.5</v>
      </c>
      <c r="BN49" s="42">
        <f t="shared" si="73"/>
        <v>1890</v>
      </c>
      <c r="BO49" s="42">
        <f t="shared" si="73"/>
        <v>1921.5</v>
      </c>
      <c r="BP49" s="42">
        <f t="shared" si="73"/>
        <v>1953</v>
      </c>
      <c r="BQ49" s="42">
        <f t="shared" si="73"/>
        <v>1984.5</v>
      </c>
      <c r="BR49" s="42">
        <f t="shared" si="73"/>
        <v>2016</v>
      </c>
      <c r="BS49" s="42">
        <f t="shared" si="73"/>
        <v>2047.5</v>
      </c>
      <c r="BT49" s="42">
        <f t="shared" ref="BT49:CU49" si="74">$B$49*$A$35*BT34</f>
        <v>2079</v>
      </c>
      <c r="BU49" s="42">
        <f t="shared" si="74"/>
        <v>2110.5</v>
      </c>
      <c r="BV49" s="42">
        <f t="shared" si="74"/>
        <v>2142</v>
      </c>
      <c r="BW49" s="42">
        <f t="shared" si="74"/>
        <v>2173.5</v>
      </c>
      <c r="BX49" s="42">
        <f t="shared" si="74"/>
        <v>2205</v>
      </c>
      <c r="BY49" s="42">
        <f t="shared" si="74"/>
        <v>2236.5</v>
      </c>
      <c r="BZ49" s="42">
        <f t="shared" si="74"/>
        <v>2268</v>
      </c>
      <c r="CA49" s="42">
        <f t="shared" si="74"/>
        <v>2299.5</v>
      </c>
      <c r="CB49" s="42">
        <f t="shared" si="74"/>
        <v>2331</v>
      </c>
      <c r="CC49" s="42">
        <f t="shared" si="74"/>
        <v>2362.5</v>
      </c>
      <c r="CD49" s="42">
        <f t="shared" si="74"/>
        <v>2394</v>
      </c>
      <c r="CE49" s="42">
        <f t="shared" si="74"/>
        <v>2425.5</v>
      </c>
      <c r="CF49" s="42">
        <f t="shared" si="74"/>
        <v>2457</v>
      </c>
      <c r="CG49" s="42">
        <f t="shared" si="74"/>
        <v>2488.5</v>
      </c>
      <c r="CH49" s="42">
        <f t="shared" si="74"/>
        <v>2520</v>
      </c>
      <c r="CI49" s="42">
        <f t="shared" si="74"/>
        <v>2551.5</v>
      </c>
      <c r="CJ49" s="42">
        <f t="shared" si="74"/>
        <v>2583</v>
      </c>
      <c r="CK49" s="42">
        <f t="shared" si="74"/>
        <v>2614.5</v>
      </c>
      <c r="CL49" s="42">
        <f t="shared" si="74"/>
        <v>2646</v>
      </c>
      <c r="CM49" s="42">
        <f t="shared" si="74"/>
        <v>2677.5</v>
      </c>
      <c r="CN49" s="42">
        <f t="shared" si="74"/>
        <v>2709</v>
      </c>
      <c r="CO49" s="42">
        <f t="shared" si="74"/>
        <v>2740.5</v>
      </c>
      <c r="CP49" s="42">
        <f t="shared" si="74"/>
        <v>2772</v>
      </c>
      <c r="CQ49" s="42">
        <f t="shared" si="74"/>
        <v>2803.5</v>
      </c>
      <c r="CR49" s="42">
        <f t="shared" si="74"/>
        <v>2835</v>
      </c>
      <c r="CS49" s="42">
        <f t="shared" si="74"/>
        <v>2866.5</v>
      </c>
      <c r="CT49" s="42">
        <f t="shared" si="74"/>
        <v>2898</v>
      </c>
      <c r="CU49" s="42">
        <f t="shared" si="74"/>
        <v>2929.5</v>
      </c>
      <c r="CV49" s="42">
        <f t="shared" ref="CV49:DQ49" si="75">$B$49*$A$35*CV34</f>
        <v>2961</v>
      </c>
      <c r="CW49" s="42">
        <f t="shared" si="75"/>
        <v>2992.5</v>
      </c>
      <c r="CX49" s="42">
        <f t="shared" si="75"/>
        <v>3024</v>
      </c>
      <c r="CY49" s="42">
        <f t="shared" si="75"/>
        <v>3055.5</v>
      </c>
      <c r="CZ49" s="42">
        <f t="shared" si="75"/>
        <v>3087</v>
      </c>
      <c r="DA49" s="42">
        <f t="shared" si="75"/>
        <v>3118.5</v>
      </c>
      <c r="DB49" s="42">
        <f t="shared" si="75"/>
        <v>3150</v>
      </c>
      <c r="DC49" s="42">
        <f t="shared" si="75"/>
        <v>3181.5</v>
      </c>
      <c r="DD49" s="42">
        <f t="shared" si="75"/>
        <v>3213</v>
      </c>
      <c r="DE49" s="42">
        <f t="shared" si="75"/>
        <v>3244.5</v>
      </c>
      <c r="DF49" s="42">
        <f t="shared" si="75"/>
        <v>3276</v>
      </c>
      <c r="DG49" s="42">
        <f t="shared" si="75"/>
        <v>3307.5</v>
      </c>
      <c r="DH49" s="42">
        <f t="shared" si="75"/>
        <v>3339</v>
      </c>
      <c r="DI49" s="42">
        <f t="shared" si="75"/>
        <v>3370.5</v>
      </c>
      <c r="DJ49" s="42">
        <f t="shared" si="75"/>
        <v>3402</v>
      </c>
      <c r="DK49" s="42">
        <f t="shared" si="75"/>
        <v>3433.5</v>
      </c>
      <c r="DL49" s="42">
        <f t="shared" si="75"/>
        <v>3465</v>
      </c>
      <c r="DM49" s="42">
        <f t="shared" si="75"/>
        <v>3496.5</v>
      </c>
      <c r="DN49" s="42">
        <f t="shared" si="75"/>
        <v>3528</v>
      </c>
      <c r="DO49" s="42">
        <f t="shared" si="75"/>
        <v>3559.5</v>
      </c>
      <c r="DP49" s="42">
        <f t="shared" si="75"/>
        <v>3591</v>
      </c>
      <c r="DQ49" s="42">
        <f t="shared" si="75"/>
        <v>3622.5</v>
      </c>
      <c r="DR49" s="42">
        <f t="shared" ref="DR49:GC49" si="76">$B$49*$A$35*DR34</f>
        <v>3654</v>
      </c>
      <c r="DS49" s="42">
        <f t="shared" si="76"/>
        <v>3685.5</v>
      </c>
      <c r="DT49" s="42">
        <f t="shared" si="76"/>
        <v>3717</v>
      </c>
      <c r="DU49" s="42">
        <f t="shared" si="76"/>
        <v>3748.5</v>
      </c>
      <c r="DV49" s="42">
        <f t="shared" si="76"/>
        <v>3780</v>
      </c>
      <c r="DW49" s="42">
        <f t="shared" si="76"/>
        <v>3811.5</v>
      </c>
      <c r="DX49" s="42">
        <f t="shared" si="76"/>
        <v>3843</v>
      </c>
      <c r="DY49" s="42">
        <f t="shared" si="76"/>
        <v>3874.5</v>
      </c>
      <c r="DZ49" s="42">
        <f t="shared" si="76"/>
        <v>3906</v>
      </c>
      <c r="EA49" s="42">
        <f t="shared" si="76"/>
        <v>3937.5</v>
      </c>
      <c r="EB49" s="42">
        <f t="shared" si="76"/>
        <v>3969</v>
      </c>
      <c r="EC49" s="42">
        <f t="shared" si="76"/>
        <v>4000.5</v>
      </c>
      <c r="ED49" s="42">
        <f t="shared" si="76"/>
        <v>4032</v>
      </c>
      <c r="EE49" s="42">
        <f t="shared" si="76"/>
        <v>4063.5</v>
      </c>
      <c r="EF49" s="42">
        <f t="shared" si="76"/>
        <v>4095</v>
      </c>
      <c r="EG49" s="42">
        <f t="shared" si="76"/>
        <v>4126.5</v>
      </c>
      <c r="EH49" s="42">
        <f t="shared" si="76"/>
        <v>4158</v>
      </c>
      <c r="EI49" s="42">
        <f t="shared" si="76"/>
        <v>4189.5</v>
      </c>
      <c r="EJ49" s="42">
        <f t="shared" si="76"/>
        <v>4221</v>
      </c>
      <c r="EK49" s="42">
        <f t="shared" si="76"/>
        <v>4252.5</v>
      </c>
      <c r="EL49" s="42">
        <f t="shared" si="76"/>
        <v>4284</v>
      </c>
      <c r="EM49" s="42">
        <f t="shared" si="76"/>
        <v>4315.5</v>
      </c>
      <c r="EN49" s="42">
        <f t="shared" si="76"/>
        <v>4347</v>
      </c>
      <c r="EO49" s="42">
        <f t="shared" si="76"/>
        <v>4378.5</v>
      </c>
      <c r="EP49" s="42">
        <f t="shared" si="76"/>
        <v>4410</v>
      </c>
      <c r="EQ49" s="42">
        <f t="shared" si="76"/>
        <v>4441.5</v>
      </c>
      <c r="ER49" s="42">
        <f t="shared" si="76"/>
        <v>4473</v>
      </c>
      <c r="ES49" s="42">
        <f t="shared" si="76"/>
        <v>4504.5</v>
      </c>
      <c r="ET49" s="42">
        <f t="shared" si="76"/>
        <v>4536</v>
      </c>
      <c r="EU49" s="42">
        <f t="shared" si="76"/>
        <v>4567.5</v>
      </c>
      <c r="EV49" s="42">
        <f t="shared" si="76"/>
        <v>4599</v>
      </c>
      <c r="EW49" s="42">
        <f t="shared" si="76"/>
        <v>4630.5</v>
      </c>
      <c r="EX49" s="42">
        <f t="shared" si="76"/>
        <v>4662</v>
      </c>
      <c r="EY49" s="42">
        <f t="shared" si="76"/>
        <v>4693.5</v>
      </c>
      <c r="EZ49" s="42">
        <f t="shared" si="76"/>
        <v>4725</v>
      </c>
      <c r="FA49" s="42">
        <f t="shared" si="76"/>
        <v>4756.5</v>
      </c>
      <c r="FB49" s="42">
        <f t="shared" si="76"/>
        <v>4788</v>
      </c>
      <c r="FC49" s="42">
        <f t="shared" si="76"/>
        <v>4819.5</v>
      </c>
      <c r="FD49" s="42">
        <f t="shared" si="76"/>
        <v>4851</v>
      </c>
      <c r="FE49" s="42">
        <f t="shared" si="76"/>
        <v>4882.5</v>
      </c>
      <c r="FF49" s="42">
        <f t="shared" si="76"/>
        <v>4914</v>
      </c>
      <c r="FG49" s="42">
        <f t="shared" si="76"/>
        <v>4945.5</v>
      </c>
      <c r="FH49" s="42">
        <f t="shared" si="76"/>
        <v>4977</v>
      </c>
      <c r="FI49" s="42">
        <f t="shared" si="76"/>
        <v>5008.5</v>
      </c>
      <c r="FJ49" s="42">
        <f t="shared" si="76"/>
        <v>5040</v>
      </c>
      <c r="FK49" s="42">
        <f t="shared" si="76"/>
        <v>5071.5</v>
      </c>
      <c r="FL49" s="42">
        <f t="shared" si="76"/>
        <v>5103</v>
      </c>
      <c r="FM49" s="42">
        <f t="shared" si="76"/>
        <v>5134.5</v>
      </c>
      <c r="FN49" s="42">
        <f t="shared" si="76"/>
        <v>5166</v>
      </c>
      <c r="FO49" s="42">
        <f t="shared" si="76"/>
        <v>5197.5</v>
      </c>
      <c r="FP49" s="42">
        <f t="shared" si="76"/>
        <v>5229</v>
      </c>
      <c r="FQ49" s="42">
        <f t="shared" si="76"/>
        <v>5260.5</v>
      </c>
      <c r="FR49" s="42">
        <f t="shared" si="76"/>
        <v>5292</v>
      </c>
      <c r="FS49" s="42">
        <f t="shared" si="76"/>
        <v>5323.5</v>
      </c>
      <c r="FT49" s="42">
        <f t="shared" si="76"/>
        <v>5355</v>
      </c>
      <c r="FU49" s="42">
        <f t="shared" si="76"/>
        <v>5386.5</v>
      </c>
      <c r="FV49" s="42">
        <f t="shared" si="76"/>
        <v>5418</v>
      </c>
      <c r="FW49" s="42">
        <f t="shared" si="76"/>
        <v>5449.5</v>
      </c>
      <c r="FX49" s="42">
        <f t="shared" si="76"/>
        <v>5481</v>
      </c>
      <c r="FY49" s="42">
        <f t="shared" si="76"/>
        <v>5512.5</v>
      </c>
      <c r="FZ49" s="42">
        <f t="shared" si="76"/>
        <v>5544</v>
      </c>
      <c r="GA49" s="42">
        <f t="shared" si="76"/>
        <v>5575.5</v>
      </c>
      <c r="GB49" s="42">
        <f t="shared" si="76"/>
        <v>5607</v>
      </c>
      <c r="GC49" s="42">
        <f t="shared" si="76"/>
        <v>5638.5</v>
      </c>
      <c r="GD49" s="42">
        <f t="shared" ref="GD49:GI49" si="77">$B$49*$A$35*GD34</f>
        <v>5670</v>
      </c>
      <c r="GE49" s="42">
        <f t="shared" si="77"/>
        <v>5701.5</v>
      </c>
      <c r="GF49" s="42">
        <f t="shared" si="77"/>
        <v>5733</v>
      </c>
      <c r="GG49" s="42">
        <f t="shared" si="77"/>
        <v>5764.5</v>
      </c>
      <c r="GH49" s="42">
        <f t="shared" si="77"/>
        <v>5796</v>
      </c>
      <c r="GI49" s="42">
        <f t="shared" si="77"/>
        <v>5827.5</v>
      </c>
    </row>
    <row r="50" spans="1:191">
      <c r="A50" s="2" t="s">
        <v>137</v>
      </c>
      <c r="B50" s="30">
        <v>7.5</v>
      </c>
      <c r="C50" s="30">
        <f t="shared" ref="C50:C64" si="78">B50+$C$48</f>
        <v>9.5</v>
      </c>
      <c r="G50" s="42">
        <f>$B$50*$A$35*G34</f>
        <v>33.75</v>
      </c>
      <c r="H50" s="42">
        <f t="shared" ref="H50:BS50" si="79">$B$50*$A$35*H34</f>
        <v>67.5</v>
      </c>
      <c r="I50" s="42">
        <f t="shared" si="79"/>
        <v>101.25</v>
      </c>
      <c r="J50" s="42">
        <f t="shared" si="79"/>
        <v>135</v>
      </c>
      <c r="K50" s="42">
        <f t="shared" si="79"/>
        <v>168.75</v>
      </c>
      <c r="L50" s="42">
        <f t="shared" si="79"/>
        <v>202.5</v>
      </c>
      <c r="M50" s="42">
        <f t="shared" si="79"/>
        <v>236.25</v>
      </c>
      <c r="N50" s="42">
        <f t="shared" si="79"/>
        <v>270</v>
      </c>
      <c r="O50" s="42">
        <f t="shared" si="79"/>
        <v>303.75</v>
      </c>
      <c r="P50" s="42">
        <f t="shared" si="79"/>
        <v>337.5</v>
      </c>
      <c r="Q50" s="42">
        <f t="shared" si="79"/>
        <v>371.25</v>
      </c>
      <c r="R50" s="42">
        <f t="shared" si="79"/>
        <v>405</v>
      </c>
      <c r="S50" s="42">
        <f t="shared" si="79"/>
        <v>438.75</v>
      </c>
      <c r="T50" s="42">
        <f t="shared" si="79"/>
        <v>472.5</v>
      </c>
      <c r="U50" s="42">
        <f t="shared" si="79"/>
        <v>506.25</v>
      </c>
      <c r="V50" s="42">
        <f t="shared" si="79"/>
        <v>540</v>
      </c>
      <c r="W50" s="42">
        <f t="shared" si="79"/>
        <v>573.75</v>
      </c>
      <c r="X50" s="42">
        <f t="shared" si="79"/>
        <v>607.5</v>
      </c>
      <c r="Y50" s="42">
        <f t="shared" si="79"/>
        <v>641.25</v>
      </c>
      <c r="Z50" s="42">
        <f t="shared" si="79"/>
        <v>675</v>
      </c>
      <c r="AA50" s="42">
        <f t="shared" si="79"/>
        <v>708.75</v>
      </c>
      <c r="AB50" s="42">
        <f t="shared" si="79"/>
        <v>742.5</v>
      </c>
      <c r="AC50" s="42">
        <f t="shared" si="79"/>
        <v>776.25</v>
      </c>
      <c r="AD50" s="42">
        <f t="shared" si="79"/>
        <v>810</v>
      </c>
      <c r="AE50" s="42">
        <f t="shared" si="79"/>
        <v>843.75</v>
      </c>
      <c r="AF50" s="42">
        <f t="shared" si="79"/>
        <v>877.5</v>
      </c>
      <c r="AG50" s="42">
        <f t="shared" si="79"/>
        <v>911.25</v>
      </c>
      <c r="AH50" s="42">
        <f t="shared" si="79"/>
        <v>945</v>
      </c>
      <c r="AI50" s="42">
        <f t="shared" si="79"/>
        <v>978.75</v>
      </c>
      <c r="AJ50" s="42">
        <f t="shared" si="79"/>
        <v>1012.5</v>
      </c>
      <c r="AK50" s="42">
        <f t="shared" si="79"/>
        <v>1046.25</v>
      </c>
      <c r="AL50" s="42">
        <f t="shared" si="79"/>
        <v>1080</v>
      </c>
      <c r="AM50" s="42">
        <f t="shared" si="79"/>
        <v>1113.75</v>
      </c>
      <c r="AN50" s="42">
        <f t="shared" si="79"/>
        <v>1147.5</v>
      </c>
      <c r="AO50" s="42">
        <f t="shared" si="79"/>
        <v>1181.25</v>
      </c>
      <c r="AP50" s="42">
        <f t="shared" si="79"/>
        <v>1215</v>
      </c>
      <c r="AQ50" s="42">
        <f t="shared" si="79"/>
        <v>1248.75</v>
      </c>
      <c r="AR50" s="42">
        <f t="shared" si="79"/>
        <v>1282.5</v>
      </c>
      <c r="AS50" s="42">
        <f t="shared" si="79"/>
        <v>1316.25</v>
      </c>
      <c r="AT50" s="42">
        <f t="shared" si="79"/>
        <v>1350</v>
      </c>
      <c r="AU50" s="42">
        <f t="shared" si="79"/>
        <v>1383.75</v>
      </c>
      <c r="AV50" s="42">
        <f t="shared" si="79"/>
        <v>1417.5</v>
      </c>
      <c r="AW50" s="42">
        <f t="shared" si="79"/>
        <v>1451.25</v>
      </c>
      <c r="AX50" s="42">
        <f t="shared" si="79"/>
        <v>1485</v>
      </c>
      <c r="AY50" s="42">
        <f t="shared" si="79"/>
        <v>1518.75</v>
      </c>
      <c r="AZ50" s="42">
        <f t="shared" si="79"/>
        <v>1552.5</v>
      </c>
      <c r="BA50" s="42">
        <f t="shared" si="79"/>
        <v>1586.25</v>
      </c>
      <c r="BB50" s="42">
        <f t="shared" si="79"/>
        <v>1620</v>
      </c>
      <c r="BC50" s="42">
        <f t="shared" si="79"/>
        <v>1653.75</v>
      </c>
      <c r="BD50" s="42">
        <f t="shared" si="79"/>
        <v>1687.5</v>
      </c>
      <c r="BE50" s="42">
        <f t="shared" si="79"/>
        <v>1721.25</v>
      </c>
      <c r="BF50" s="42">
        <f t="shared" si="79"/>
        <v>1755</v>
      </c>
      <c r="BG50" s="42">
        <f t="shared" si="79"/>
        <v>1788.75</v>
      </c>
      <c r="BH50" s="42">
        <f t="shared" si="79"/>
        <v>1822.5</v>
      </c>
      <c r="BI50" s="42">
        <f t="shared" si="79"/>
        <v>1856.25</v>
      </c>
      <c r="BJ50" s="42">
        <f t="shared" si="79"/>
        <v>1890</v>
      </c>
      <c r="BK50" s="42">
        <f t="shared" si="79"/>
        <v>1923.75</v>
      </c>
      <c r="BL50" s="42">
        <f t="shared" si="79"/>
        <v>1957.5</v>
      </c>
      <c r="BM50" s="42">
        <f t="shared" si="79"/>
        <v>1991.25</v>
      </c>
      <c r="BN50" s="42">
        <f t="shared" si="79"/>
        <v>2025</v>
      </c>
      <c r="BO50" s="42">
        <f t="shared" si="79"/>
        <v>2058.75</v>
      </c>
      <c r="BP50" s="42">
        <f t="shared" si="79"/>
        <v>2092.5</v>
      </c>
      <c r="BQ50" s="42">
        <f t="shared" si="79"/>
        <v>2126.25</v>
      </c>
      <c r="BR50" s="42">
        <f t="shared" si="79"/>
        <v>2160</v>
      </c>
      <c r="BS50" s="42">
        <f t="shared" si="79"/>
        <v>2193.75</v>
      </c>
      <c r="BT50" s="42">
        <f t="shared" ref="BT50:CU50" si="80">$B$50*$A$35*BT34</f>
        <v>2227.5</v>
      </c>
      <c r="BU50" s="42">
        <f t="shared" si="80"/>
        <v>2261.25</v>
      </c>
      <c r="BV50" s="42">
        <f t="shared" si="80"/>
        <v>2295</v>
      </c>
      <c r="BW50" s="42">
        <f t="shared" si="80"/>
        <v>2328.75</v>
      </c>
      <c r="BX50" s="42">
        <f t="shared" si="80"/>
        <v>2362.5</v>
      </c>
      <c r="BY50" s="42">
        <f t="shared" si="80"/>
        <v>2396.25</v>
      </c>
      <c r="BZ50" s="42">
        <f t="shared" si="80"/>
        <v>2430</v>
      </c>
      <c r="CA50" s="42">
        <f t="shared" si="80"/>
        <v>2463.75</v>
      </c>
      <c r="CB50" s="42">
        <f t="shared" si="80"/>
        <v>2497.5</v>
      </c>
      <c r="CC50" s="42">
        <f t="shared" si="80"/>
        <v>2531.25</v>
      </c>
      <c r="CD50" s="42">
        <f t="shared" si="80"/>
        <v>2565</v>
      </c>
      <c r="CE50" s="42">
        <f t="shared" si="80"/>
        <v>2598.75</v>
      </c>
      <c r="CF50" s="42">
        <f t="shared" si="80"/>
        <v>2632.5</v>
      </c>
      <c r="CG50" s="42">
        <f t="shared" si="80"/>
        <v>2666.25</v>
      </c>
      <c r="CH50" s="42">
        <f t="shared" si="80"/>
        <v>2700</v>
      </c>
      <c r="CI50" s="42">
        <f t="shared" si="80"/>
        <v>2733.75</v>
      </c>
      <c r="CJ50" s="42">
        <f t="shared" si="80"/>
        <v>2767.5</v>
      </c>
      <c r="CK50" s="42">
        <f t="shared" si="80"/>
        <v>2801.25</v>
      </c>
      <c r="CL50" s="42">
        <f t="shared" si="80"/>
        <v>2835</v>
      </c>
      <c r="CM50" s="42">
        <f t="shared" si="80"/>
        <v>2868.75</v>
      </c>
      <c r="CN50" s="42">
        <f t="shared" si="80"/>
        <v>2902.5</v>
      </c>
      <c r="CO50" s="42">
        <f t="shared" si="80"/>
        <v>2936.25</v>
      </c>
      <c r="CP50" s="42">
        <f t="shared" si="80"/>
        <v>2970</v>
      </c>
      <c r="CQ50" s="42">
        <f t="shared" si="80"/>
        <v>3003.75</v>
      </c>
      <c r="CR50" s="42">
        <f t="shared" si="80"/>
        <v>3037.5</v>
      </c>
      <c r="CS50" s="42">
        <f t="shared" si="80"/>
        <v>3071.25</v>
      </c>
      <c r="CT50" s="42">
        <f t="shared" si="80"/>
        <v>3105</v>
      </c>
      <c r="CU50" s="42">
        <f t="shared" si="80"/>
        <v>3138.75</v>
      </c>
      <c r="CV50" s="42">
        <f t="shared" ref="CV50:DQ50" si="81">$B$50*$A$35*CV34</f>
        <v>3172.5</v>
      </c>
      <c r="CW50" s="42">
        <f t="shared" si="81"/>
        <v>3206.25</v>
      </c>
      <c r="CX50" s="42">
        <f t="shared" si="81"/>
        <v>3240</v>
      </c>
      <c r="CY50" s="42">
        <f t="shared" si="81"/>
        <v>3273.75</v>
      </c>
      <c r="CZ50" s="42">
        <f t="shared" si="81"/>
        <v>3307.5</v>
      </c>
      <c r="DA50" s="42">
        <f t="shared" si="81"/>
        <v>3341.25</v>
      </c>
      <c r="DB50" s="42">
        <f t="shared" si="81"/>
        <v>3375</v>
      </c>
      <c r="DC50" s="42">
        <f t="shared" si="81"/>
        <v>3408.75</v>
      </c>
      <c r="DD50" s="42">
        <f t="shared" si="81"/>
        <v>3442.5</v>
      </c>
      <c r="DE50" s="42">
        <f t="shared" si="81"/>
        <v>3476.25</v>
      </c>
      <c r="DF50" s="42">
        <f t="shared" si="81"/>
        <v>3510</v>
      </c>
      <c r="DG50" s="42">
        <f t="shared" si="81"/>
        <v>3543.75</v>
      </c>
      <c r="DH50" s="42">
        <f t="shared" si="81"/>
        <v>3577.5</v>
      </c>
      <c r="DI50" s="42">
        <f t="shared" si="81"/>
        <v>3611.25</v>
      </c>
      <c r="DJ50" s="42">
        <f t="shared" si="81"/>
        <v>3645</v>
      </c>
      <c r="DK50" s="42">
        <f t="shared" si="81"/>
        <v>3678.75</v>
      </c>
      <c r="DL50" s="42">
        <f t="shared" si="81"/>
        <v>3712.5</v>
      </c>
      <c r="DM50" s="42">
        <f t="shared" si="81"/>
        <v>3746.25</v>
      </c>
      <c r="DN50" s="42">
        <f t="shared" si="81"/>
        <v>3780</v>
      </c>
      <c r="DO50" s="42">
        <f t="shared" si="81"/>
        <v>3813.75</v>
      </c>
      <c r="DP50" s="42">
        <f t="shared" si="81"/>
        <v>3847.5</v>
      </c>
      <c r="DQ50" s="42">
        <f t="shared" si="81"/>
        <v>3881.25</v>
      </c>
      <c r="DR50" s="42">
        <f t="shared" ref="DR50:GC50" si="82">$B$50*$A$35*DR34</f>
        <v>3915</v>
      </c>
      <c r="DS50" s="42">
        <f t="shared" si="82"/>
        <v>3948.75</v>
      </c>
      <c r="DT50" s="42">
        <f t="shared" si="82"/>
        <v>3982.5</v>
      </c>
      <c r="DU50" s="42">
        <f t="shared" si="82"/>
        <v>4016.25</v>
      </c>
      <c r="DV50" s="42">
        <f t="shared" si="82"/>
        <v>4050</v>
      </c>
      <c r="DW50" s="42">
        <f t="shared" si="82"/>
        <v>4083.75</v>
      </c>
      <c r="DX50" s="42">
        <f t="shared" si="82"/>
        <v>4117.5</v>
      </c>
      <c r="DY50" s="42">
        <f t="shared" si="82"/>
        <v>4151.25</v>
      </c>
      <c r="DZ50" s="42">
        <f t="shared" si="82"/>
        <v>4185</v>
      </c>
      <c r="EA50" s="42">
        <f t="shared" si="82"/>
        <v>4218.75</v>
      </c>
      <c r="EB50" s="42">
        <f t="shared" si="82"/>
        <v>4252.5</v>
      </c>
      <c r="EC50" s="42">
        <f t="shared" si="82"/>
        <v>4286.25</v>
      </c>
      <c r="ED50" s="42">
        <f t="shared" si="82"/>
        <v>4320</v>
      </c>
      <c r="EE50" s="42">
        <f t="shared" si="82"/>
        <v>4353.75</v>
      </c>
      <c r="EF50" s="42">
        <f t="shared" si="82"/>
        <v>4387.5</v>
      </c>
      <c r="EG50" s="42">
        <f t="shared" si="82"/>
        <v>4421.25</v>
      </c>
      <c r="EH50" s="42">
        <f t="shared" si="82"/>
        <v>4455</v>
      </c>
      <c r="EI50" s="42">
        <f t="shared" si="82"/>
        <v>4488.75</v>
      </c>
      <c r="EJ50" s="42">
        <f t="shared" si="82"/>
        <v>4522.5</v>
      </c>
      <c r="EK50" s="42">
        <f t="shared" si="82"/>
        <v>4556.25</v>
      </c>
      <c r="EL50" s="42">
        <f t="shared" si="82"/>
        <v>4590</v>
      </c>
      <c r="EM50" s="42">
        <f t="shared" si="82"/>
        <v>4623.75</v>
      </c>
      <c r="EN50" s="42">
        <f t="shared" si="82"/>
        <v>4657.5</v>
      </c>
      <c r="EO50" s="42">
        <f t="shared" si="82"/>
        <v>4691.25</v>
      </c>
      <c r="EP50" s="42">
        <f t="shared" si="82"/>
        <v>4725</v>
      </c>
      <c r="EQ50" s="42">
        <f t="shared" si="82"/>
        <v>4758.75</v>
      </c>
      <c r="ER50" s="42">
        <f t="shared" si="82"/>
        <v>4792.5</v>
      </c>
      <c r="ES50" s="42">
        <f t="shared" si="82"/>
        <v>4826.25</v>
      </c>
      <c r="ET50" s="42">
        <f t="shared" si="82"/>
        <v>4860</v>
      </c>
      <c r="EU50" s="42">
        <f t="shared" si="82"/>
        <v>4893.75</v>
      </c>
      <c r="EV50" s="42">
        <f t="shared" si="82"/>
        <v>4927.5</v>
      </c>
      <c r="EW50" s="42">
        <f t="shared" si="82"/>
        <v>4961.25</v>
      </c>
      <c r="EX50" s="42">
        <f t="shared" si="82"/>
        <v>4995</v>
      </c>
      <c r="EY50" s="42">
        <f t="shared" si="82"/>
        <v>5028.75</v>
      </c>
      <c r="EZ50" s="42">
        <f t="shared" si="82"/>
        <v>5062.5</v>
      </c>
      <c r="FA50" s="42">
        <f t="shared" si="82"/>
        <v>5096.25</v>
      </c>
      <c r="FB50" s="42">
        <f t="shared" si="82"/>
        <v>5130</v>
      </c>
      <c r="FC50" s="42">
        <f t="shared" si="82"/>
        <v>5163.75</v>
      </c>
      <c r="FD50" s="42">
        <f t="shared" si="82"/>
        <v>5197.5</v>
      </c>
      <c r="FE50" s="42">
        <f t="shared" si="82"/>
        <v>5231.25</v>
      </c>
      <c r="FF50" s="42">
        <f t="shared" si="82"/>
        <v>5265</v>
      </c>
      <c r="FG50" s="42">
        <f t="shared" si="82"/>
        <v>5298.75</v>
      </c>
      <c r="FH50" s="42">
        <f t="shared" si="82"/>
        <v>5332.5</v>
      </c>
      <c r="FI50" s="42">
        <f t="shared" si="82"/>
        <v>5366.25</v>
      </c>
      <c r="FJ50" s="42">
        <f t="shared" si="82"/>
        <v>5400</v>
      </c>
      <c r="FK50" s="42">
        <f t="shared" si="82"/>
        <v>5433.75</v>
      </c>
      <c r="FL50" s="42">
        <f t="shared" si="82"/>
        <v>5467.5</v>
      </c>
      <c r="FM50" s="42">
        <f t="shared" si="82"/>
        <v>5501.25</v>
      </c>
      <c r="FN50" s="42">
        <f t="shared" si="82"/>
        <v>5535</v>
      </c>
      <c r="FO50" s="42">
        <f t="shared" si="82"/>
        <v>5568.75</v>
      </c>
      <c r="FP50" s="42">
        <f t="shared" si="82"/>
        <v>5602.5</v>
      </c>
      <c r="FQ50" s="42">
        <f t="shared" si="82"/>
        <v>5636.25</v>
      </c>
      <c r="FR50" s="42">
        <f t="shared" si="82"/>
        <v>5670</v>
      </c>
      <c r="FS50" s="42">
        <f t="shared" si="82"/>
        <v>5703.75</v>
      </c>
      <c r="FT50" s="42">
        <f t="shared" si="82"/>
        <v>5737.5</v>
      </c>
      <c r="FU50" s="42">
        <f t="shared" si="82"/>
        <v>5771.25</v>
      </c>
      <c r="FV50" s="42">
        <f t="shared" si="82"/>
        <v>5805</v>
      </c>
      <c r="FW50" s="42">
        <f t="shared" si="82"/>
        <v>5838.75</v>
      </c>
      <c r="FX50" s="42">
        <f t="shared" si="82"/>
        <v>5872.5</v>
      </c>
      <c r="FY50" s="42">
        <f t="shared" si="82"/>
        <v>5906.25</v>
      </c>
      <c r="FZ50" s="42">
        <f t="shared" si="82"/>
        <v>5940</v>
      </c>
      <c r="GA50" s="42">
        <f t="shared" si="82"/>
        <v>5973.75</v>
      </c>
      <c r="GB50" s="42">
        <f t="shared" si="82"/>
        <v>6007.5</v>
      </c>
      <c r="GC50" s="42">
        <f t="shared" si="82"/>
        <v>6041.25</v>
      </c>
      <c r="GD50" s="42">
        <f t="shared" ref="GD50:GI50" si="83">$B$50*$A$35*GD34</f>
        <v>6075</v>
      </c>
      <c r="GE50" s="42">
        <f t="shared" si="83"/>
        <v>6108.75</v>
      </c>
      <c r="GF50" s="42">
        <f t="shared" si="83"/>
        <v>6142.5</v>
      </c>
      <c r="GG50" s="42">
        <f t="shared" si="83"/>
        <v>6176.25</v>
      </c>
      <c r="GH50" s="42">
        <f t="shared" si="83"/>
        <v>6210</v>
      </c>
      <c r="GI50" s="42">
        <f t="shared" si="83"/>
        <v>6243.75</v>
      </c>
    </row>
    <row r="51" spans="1:191">
      <c r="B51" s="30">
        <v>8</v>
      </c>
      <c r="C51" s="30">
        <f t="shared" si="78"/>
        <v>10</v>
      </c>
      <c r="G51" s="42">
        <f>$B$51*$A$35*G34</f>
        <v>36</v>
      </c>
      <c r="H51" s="42">
        <f t="shared" ref="H51:BS51" si="84">$B$51*$A$35*H34</f>
        <v>72</v>
      </c>
      <c r="I51" s="42">
        <f t="shared" si="84"/>
        <v>108</v>
      </c>
      <c r="J51" s="42">
        <f t="shared" si="84"/>
        <v>144</v>
      </c>
      <c r="K51" s="42">
        <f t="shared" si="84"/>
        <v>180</v>
      </c>
      <c r="L51" s="42">
        <f t="shared" si="84"/>
        <v>216</v>
      </c>
      <c r="M51" s="42">
        <f t="shared" si="84"/>
        <v>252</v>
      </c>
      <c r="N51" s="42">
        <f t="shared" si="84"/>
        <v>288</v>
      </c>
      <c r="O51" s="42">
        <f t="shared" si="84"/>
        <v>324</v>
      </c>
      <c r="P51" s="42">
        <f t="shared" si="84"/>
        <v>360</v>
      </c>
      <c r="Q51" s="42">
        <f t="shared" si="84"/>
        <v>396</v>
      </c>
      <c r="R51" s="42">
        <f t="shared" si="84"/>
        <v>432</v>
      </c>
      <c r="S51" s="42">
        <f t="shared" si="84"/>
        <v>468</v>
      </c>
      <c r="T51" s="42">
        <f t="shared" si="84"/>
        <v>504</v>
      </c>
      <c r="U51" s="42">
        <f t="shared" si="84"/>
        <v>540</v>
      </c>
      <c r="V51" s="42">
        <f t="shared" si="84"/>
        <v>576</v>
      </c>
      <c r="W51" s="42">
        <f t="shared" si="84"/>
        <v>612</v>
      </c>
      <c r="X51" s="42">
        <f t="shared" si="84"/>
        <v>648</v>
      </c>
      <c r="Y51" s="42">
        <f t="shared" si="84"/>
        <v>684</v>
      </c>
      <c r="Z51" s="42">
        <f t="shared" si="84"/>
        <v>720</v>
      </c>
      <c r="AA51" s="42">
        <f t="shared" si="84"/>
        <v>756</v>
      </c>
      <c r="AB51" s="42">
        <f t="shared" si="84"/>
        <v>792</v>
      </c>
      <c r="AC51" s="42">
        <f t="shared" si="84"/>
        <v>828</v>
      </c>
      <c r="AD51" s="42">
        <f t="shared" si="84"/>
        <v>864</v>
      </c>
      <c r="AE51" s="42">
        <f t="shared" si="84"/>
        <v>900</v>
      </c>
      <c r="AF51" s="42">
        <f t="shared" si="84"/>
        <v>936</v>
      </c>
      <c r="AG51" s="42">
        <f t="shared" si="84"/>
        <v>972</v>
      </c>
      <c r="AH51" s="42">
        <f t="shared" si="84"/>
        <v>1008</v>
      </c>
      <c r="AI51" s="42">
        <f t="shared" si="84"/>
        <v>1044</v>
      </c>
      <c r="AJ51" s="42">
        <f t="shared" si="84"/>
        <v>1080</v>
      </c>
      <c r="AK51" s="42">
        <f t="shared" si="84"/>
        <v>1116</v>
      </c>
      <c r="AL51" s="42">
        <f t="shared" si="84"/>
        <v>1152</v>
      </c>
      <c r="AM51" s="42">
        <f t="shared" si="84"/>
        <v>1188</v>
      </c>
      <c r="AN51" s="42">
        <f t="shared" si="84"/>
        <v>1224</v>
      </c>
      <c r="AO51" s="42">
        <f t="shared" si="84"/>
        <v>1260</v>
      </c>
      <c r="AP51" s="42">
        <f t="shared" si="84"/>
        <v>1296</v>
      </c>
      <c r="AQ51" s="42">
        <f t="shared" si="84"/>
        <v>1332</v>
      </c>
      <c r="AR51" s="42">
        <f t="shared" si="84"/>
        <v>1368</v>
      </c>
      <c r="AS51" s="42">
        <f t="shared" si="84"/>
        <v>1404</v>
      </c>
      <c r="AT51" s="42">
        <f t="shared" si="84"/>
        <v>1440</v>
      </c>
      <c r="AU51" s="42">
        <f t="shared" si="84"/>
        <v>1476</v>
      </c>
      <c r="AV51" s="42">
        <f t="shared" si="84"/>
        <v>1512</v>
      </c>
      <c r="AW51" s="42">
        <f t="shared" si="84"/>
        <v>1548</v>
      </c>
      <c r="AX51" s="42">
        <f t="shared" si="84"/>
        <v>1584</v>
      </c>
      <c r="AY51" s="42">
        <f t="shared" si="84"/>
        <v>1620</v>
      </c>
      <c r="AZ51" s="42">
        <f t="shared" si="84"/>
        <v>1656</v>
      </c>
      <c r="BA51" s="42">
        <f t="shared" si="84"/>
        <v>1692</v>
      </c>
      <c r="BB51" s="42">
        <f t="shared" si="84"/>
        <v>1728</v>
      </c>
      <c r="BC51" s="42">
        <f t="shared" si="84"/>
        <v>1764</v>
      </c>
      <c r="BD51" s="42">
        <f t="shared" si="84"/>
        <v>1800</v>
      </c>
      <c r="BE51" s="42">
        <f t="shared" si="84"/>
        <v>1836</v>
      </c>
      <c r="BF51" s="42">
        <f t="shared" si="84"/>
        <v>1872</v>
      </c>
      <c r="BG51" s="42">
        <f t="shared" si="84"/>
        <v>1908</v>
      </c>
      <c r="BH51" s="42">
        <f t="shared" si="84"/>
        <v>1944</v>
      </c>
      <c r="BI51" s="42">
        <f t="shared" si="84"/>
        <v>1980</v>
      </c>
      <c r="BJ51" s="42">
        <f t="shared" si="84"/>
        <v>2016</v>
      </c>
      <c r="BK51" s="42">
        <f t="shared" si="84"/>
        <v>2052</v>
      </c>
      <c r="BL51" s="42">
        <f t="shared" si="84"/>
        <v>2088</v>
      </c>
      <c r="BM51" s="42">
        <f t="shared" si="84"/>
        <v>2124</v>
      </c>
      <c r="BN51" s="42">
        <f t="shared" si="84"/>
        <v>2160</v>
      </c>
      <c r="BO51" s="42">
        <f t="shared" si="84"/>
        <v>2196</v>
      </c>
      <c r="BP51" s="42">
        <f t="shared" si="84"/>
        <v>2232</v>
      </c>
      <c r="BQ51" s="42">
        <f t="shared" si="84"/>
        <v>2268</v>
      </c>
      <c r="BR51" s="42">
        <f t="shared" si="84"/>
        <v>2304</v>
      </c>
      <c r="BS51" s="42">
        <f t="shared" si="84"/>
        <v>2340</v>
      </c>
      <c r="BT51" s="42">
        <f t="shared" ref="BT51:CU51" si="85">$B$51*$A$35*BT34</f>
        <v>2376</v>
      </c>
      <c r="BU51" s="42">
        <f t="shared" si="85"/>
        <v>2412</v>
      </c>
      <c r="BV51" s="42">
        <f t="shared" si="85"/>
        <v>2448</v>
      </c>
      <c r="BW51" s="42">
        <f t="shared" si="85"/>
        <v>2484</v>
      </c>
      <c r="BX51" s="42">
        <f t="shared" si="85"/>
        <v>2520</v>
      </c>
      <c r="BY51" s="42">
        <f t="shared" si="85"/>
        <v>2556</v>
      </c>
      <c r="BZ51" s="42">
        <f t="shared" si="85"/>
        <v>2592</v>
      </c>
      <c r="CA51" s="42">
        <f t="shared" si="85"/>
        <v>2628</v>
      </c>
      <c r="CB51" s="42">
        <f t="shared" si="85"/>
        <v>2664</v>
      </c>
      <c r="CC51" s="42">
        <f t="shared" si="85"/>
        <v>2700</v>
      </c>
      <c r="CD51" s="42">
        <f t="shared" si="85"/>
        <v>2736</v>
      </c>
      <c r="CE51" s="42">
        <f t="shared" si="85"/>
        <v>2772</v>
      </c>
      <c r="CF51" s="42">
        <f t="shared" si="85"/>
        <v>2808</v>
      </c>
      <c r="CG51" s="42">
        <f t="shared" si="85"/>
        <v>2844</v>
      </c>
      <c r="CH51" s="42">
        <f t="shared" si="85"/>
        <v>2880</v>
      </c>
      <c r="CI51" s="42">
        <f t="shared" si="85"/>
        <v>2916</v>
      </c>
      <c r="CJ51" s="42">
        <f t="shared" si="85"/>
        <v>2952</v>
      </c>
      <c r="CK51" s="42">
        <f t="shared" si="85"/>
        <v>2988</v>
      </c>
      <c r="CL51" s="42">
        <f t="shared" si="85"/>
        <v>3024</v>
      </c>
      <c r="CM51" s="42">
        <f t="shared" si="85"/>
        <v>3060</v>
      </c>
      <c r="CN51" s="42">
        <f t="shared" si="85"/>
        <v>3096</v>
      </c>
      <c r="CO51" s="42">
        <f t="shared" si="85"/>
        <v>3132</v>
      </c>
      <c r="CP51" s="42">
        <f t="shared" si="85"/>
        <v>3168</v>
      </c>
      <c r="CQ51" s="42">
        <f t="shared" si="85"/>
        <v>3204</v>
      </c>
      <c r="CR51" s="42">
        <f t="shared" si="85"/>
        <v>3240</v>
      </c>
      <c r="CS51" s="42">
        <f t="shared" si="85"/>
        <v>3276</v>
      </c>
      <c r="CT51" s="42">
        <f t="shared" si="85"/>
        <v>3312</v>
      </c>
      <c r="CU51" s="42">
        <f t="shared" si="85"/>
        <v>3348</v>
      </c>
      <c r="CV51" s="42">
        <f t="shared" ref="CV51:DQ51" si="86">$B$51*$A$35*CV34</f>
        <v>3384</v>
      </c>
      <c r="CW51" s="42">
        <f t="shared" si="86"/>
        <v>3420</v>
      </c>
      <c r="CX51" s="42">
        <f t="shared" si="86"/>
        <v>3456</v>
      </c>
      <c r="CY51" s="42">
        <f t="shared" si="86"/>
        <v>3492</v>
      </c>
      <c r="CZ51" s="42">
        <f t="shared" si="86"/>
        <v>3528</v>
      </c>
      <c r="DA51" s="42">
        <f t="shared" si="86"/>
        <v>3564</v>
      </c>
      <c r="DB51" s="42">
        <f t="shared" si="86"/>
        <v>3600</v>
      </c>
      <c r="DC51" s="42">
        <f t="shared" si="86"/>
        <v>3636</v>
      </c>
      <c r="DD51" s="42">
        <f t="shared" si="86"/>
        <v>3672</v>
      </c>
      <c r="DE51" s="42">
        <f t="shared" si="86"/>
        <v>3708</v>
      </c>
      <c r="DF51" s="42">
        <f t="shared" si="86"/>
        <v>3744</v>
      </c>
      <c r="DG51" s="42">
        <f t="shared" si="86"/>
        <v>3780</v>
      </c>
      <c r="DH51" s="42">
        <f t="shared" si="86"/>
        <v>3816</v>
      </c>
      <c r="DI51" s="42">
        <f t="shared" si="86"/>
        <v>3852</v>
      </c>
      <c r="DJ51" s="42">
        <f t="shared" si="86"/>
        <v>3888</v>
      </c>
      <c r="DK51" s="42">
        <f t="shared" si="86"/>
        <v>3924</v>
      </c>
      <c r="DL51" s="42">
        <f t="shared" si="86"/>
        <v>3960</v>
      </c>
      <c r="DM51" s="42">
        <f t="shared" si="86"/>
        <v>3996</v>
      </c>
      <c r="DN51" s="42">
        <f t="shared" si="86"/>
        <v>4032</v>
      </c>
      <c r="DO51" s="42">
        <f t="shared" si="86"/>
        <v>4068</v>
      </c>
      <c r="DP51" s="42">
        <f t="shared" si="86"/>
        <v>4104</v>
      </c>
      <c r="DQ51" s="42">
        <f t="shared" si="86"/>
        <v>4140</v>
      </c>
      <c r="DR51" s="42">
        <f t="shared" ref="DR51:GC51" si="87">$B$51*$A$35*DR34</f>
        <v>4176</v>
      </c>
      <c r="DS51" s="42">
        <f t="shared" si="87"/>
        <v>4212</v>
      </c>
      <c r="DT51" s="42">
        <f t="shared" si="87"/>
        <v>4248</v>
      </c>
      <c r="DU51" s="42">
        <f t="shared" si="87"/>
        <v>4284</v>
      </c>
      <c r="DV51" s="42">
        <f t="shared" si="87"/>
        <v>4320</v>
      </c>
      <c r="DW51" s="42">
        <f t="shared" si="87"/>
        <v>4356</v>
      </c>
      <c r="DX51" s="42">
        <f t="shared" si="87"/>
        <v>4392</v>
      </c>
      <c r="DY51" s="42">
        <f t="shared" si="87"/>
        <v>4428</v>
      </c>
      <c r="DZ51" s="42">
        <f t="shared" si="87"/>
        <v>4464</v>
      </c>
      <c r="EA51" s="42">
        <f t="shared" si="87"/>
        <v>4500</v>
      </c>
      <c r="EB51" s="42">
        <f t="shared" si="87"/>
        <v>4536</v>
      </c>
      <c r="EC51" s="42">
        <f t="shared" si="87"/>
        <v>4572</v>
      </c>
      <c r="ED51" s="42">
        <f t="shared" si="87"/>
        <v>4608</v>
      </c>
      <c r="EE51" s="42">
        <f t="shared" si="87"/>
        <v>4644</v>
      </c>
      <c r="EF51" s="42">
        <f t="shared" si="87"/>
        <v>4680</v>
      </c>
      <c r="EG51" s="42">
        <f t="shared" si="87"/>
        <v>4716</v>
      </c>
      <c r="EH51" s="42">
        <f t="shared" si="87"/>
        <v>4752</v>
      </c>
      <c r="EI51" s="42">
        <f t="shared" si="87"/>
        <v>4788</v>
      </c>
      <c r="EJ51" s="42">
        <f t="shared" si="87"/>
        <v>4824</v>
      </c>
      <c r="EK51" s="42">
        <f t="shared" si="87"/>
        <v>4860</v>
      </c>
      <c r="EL51" s="42">
        <f t="shared" si="87"/>
        <v>4896</v>
      </c>
      <c r="EM51" s="42">
        <f t="shared" si="87"/>
        <v>4932</v>
      </c>
      <c r="EN51" s="42">
        <f t="shared" si="87"/>
        <v>4968</v>
      </c>
      <c r="EO51" s="42">
        <f t="shared" si="87"/>
        <v>5004</v>
      </c>
      <c r="EP51" s="42">
        <f t="shared" si="87"/>
        <v>5040</v>
      </c>
      <c r="EQ51" s="42">
        <f t="shared" si="87"/>
        <v>5076</v>
      </c>
      <c r="ER51" s="42">
        <f t="shared" si="87"/>
        <v>5112</v>
      </c>
      <c r="ES51" s="42">
        <f t="shared" si="87"/>
        <v>5148</v>
      </c>
      <c r="ET51" s="42">
        <f t="shared" si="87"/>
        <v>5184</v>
      </c>
      <c r="EU51" s="42">
        <f t="shared" si="87"/>
        <v>5220</v>
      </c>
      <c r="EV51" s="42">
        <f t="shared" si="87"/>
        <v>5256</v>
      </c>
      <c r="EW51" s="42">
        <f t="shared" si="87"/>
        <v>5292</v>
      </c>
      <c r="EX51" s="42">
        <f t="shared" si="87"/>
        <v>5328</v>
      </c>
      <c r="EY51" s="42">
        <f t="shared" si="87"/>
        <v>5364</v>
      </c>
      <c r="EZ51" s="42">
        <f t="shared" si="87"/>
        <v>5400</v>
      </c>
      <c r="FA51" s="42">
        <f t="shared" si="87"/>
        <v>5436</v>
      </c>
      <c r="FB51" s="42">
        <f t="shared" si="87"/>
        <v>5472</v>
      </c>
      <c r="FC51" s="42">
        <f t="shared" si="87"/>
        <v>5508</v>
      </c>
      <c r="FD51" s="42">
        <f t="shared" si="87"/>
        <v>5544</v>
      </c>
      <c r="FE51" s="42">
        <f t="shared" si="87"/>
        <v>5580</v>
      </c>
      <c r="FF51" s="42">
        <f t="shared" si="87"/>
        <v>5616</v>
      </c>
      <c r="FG51" s="42">
        <f t="shared" si="87"/>
        <v>5652</v>
      </c>
      <c r="FH51" s="42">
        <f t="shared" si="87"/>
        <v>5688</v>
      </c>
      <c r="FI51" s="42">
        <f t="shared" si="87"/>
        <v>5724</v>
      </c>
      <c r="FJ51" s="42">
        <f t="shared" si="87"/>
        <v>5760</v>
      </c>
      <c r="FK51" s="42">
        <f t="shared" si="87"/>
        <v>5796</v>
      </c>
      <c r="FL51" s="42">
        <f t="shared" si="87"/>
        <v>5832</v>
      </c>
      <c r="FM51" s="42">
        <f t="shared" si="87"/>
        <v>5868</v>
      </c>
      <c r="FN51" s="42">
        <f t="shared" si="87"/>
        <v>5904</v>
      </c>
      <c r="FO51" s="42">
        <f t="shared" si="87"/>
        <v>5940</v>
      </c>
      <c r="FP51" s="42">
        <f t="shared" si="87"/>
        <v>5976</v>
      </c>
      <c r="FQ51" s="42">
        <f t="shared" si="87"/>
        <v>6012</v>
      </c>
      <c r="FR51" s="42">
        <f t="shared" si="87"/>
        <v>6048</v>
      </c>
      <c r="FS51" s="42">
        <f t="shared" si="87"/>
        <v>6084</v>
      </c>
      <c r="FT51" s="42">
        <f t="shared" si="87"/>
        <v>6120</v>
      </c>
      <c r="FU51" s="42">
        <f t="shared" si="87"/>
        <v>6156</v>
      </c>
      <c r="FV51" s="42">
        <f t="shared" si="87"/>
        <v>6192</v>
      </c>
      <c r="FW51" s="42">
        <f t="shared" si="87"/>
        <v>6228</v>
      </c>
      <c r="FX51" s="42">
        <f t="shared" si="87"/>
        <v>6264</v>
      </c>
      <c r="FY51" s="42">
        <f t="shared" si="87"/>
        <v>6300</v>
      </c>
      <c r="FZ51" s="42">
        <f t="shared" si="87"/>
        <v>6336</v>
      </c>
      <c r="GA51" s="42">
        <f t="shared" si="87"/>
        <v>6372</v>
      </c>
      <c r="GB51" s="42">
        <f t="shared" si="87"/>
        <v>6408</v>
      </c>
      <c r="GC51" s="42">
        <f t="shared" si="87"/>
        <v>6444</v>
      </c>
      <c r="GD51" s="42">
        <f t="shared" ref="GD51:GI51" si="88">$B$51*$A$35*GD34</f>
        <v>6480</v>
      </c>
      <c r="GE51" s="42">
        <f t="shared" si="88"/>
        <v>6516</v>
      </c>
      <c r="GF51" s="42">
        <f t="shared" si="88"/>
        <v>6552</v>
      </c>
      <c r="GG51" s="42">
        <f t="shared" si="88"/>
        <v>6588</v>
      </c>
      <c r="GH51" s="42">
        <f t="shared" si="88"/>
        <v>6624</v>
      </c>
      <c r="GI51" s="42">
        <f t="shared" si="88"/>
        <v>6660</v>
      </c>
    </row>
    <row r="52" spans="1:191">
      <c r="B52" s="30">
        <v>8.5</v>
      </c>
      <c r="C52" s="30">
        <f t="shared" si="78"/>
        <v>10.5</v>
      </c>
      <c r="G52" s="42">
        <f>$B$52*$A$35*G34</f>
        <v>38.25</v>
      </c>
      <c r="H52" s="42">
        <f t="shared" ref="H52:BS52" si="89">$B$52*$A$35*H34</f>
        <v>76.5</v>
      </c>
      <c r="I52" s="42">
        <f t="shared" si="89"/>
        <v>114.75</v>
      </c>
      <c r="J52" s="42">
        <f t="shared" si="89"/>
        <v>153</v>
      </c>
      <c r="K52" s="42">
        <f t="shared" si="89"/>
        <v>191.25</v>
      </c>
      <c r="L52" s="42">
        <f t="shared" si="89"/>
        <v>229.5</v>
      </c>
      <c r="M52" s="42">
        <f t="shared" si="89"/>
        <v>267.75</v>
      </c>
      <c r="N52" s="42">
        <f t="shared" si="89"/>
        <v>306</v>
      </c>
      <c r="O52" s="42">
        <f t="shared" si="89"/>
        <v>344.25</v>
      </c>
      <c r="P52" s="42">
        <f t="shared" si="89"/>
        <v>382.5</v>
      </c>
      <c r="Q52" s="42">
        <f t="shared" si="89"/>
        <v>420.75</v>
      </c>
      <c r="R52" s="42">
        <f t="shared" si="89"/>
        <v>459</v>
      </c>
      <c r="S52" s="42">
        <f t="shared" si="89"/>
        <v>497.25</v>
      </c>
      <c r="T52" s="42">
        <f t="shared" si="89"/>
        <v>535.5</v>
      </c>
      <c r="U52" s="42">
        <f t="shared" si="89"/>
        <v>573.75</v>
      </c>
      <c r="V52" s="42">
        <f t="shared" si="89"/>
        <v>612</v>
      </c>
      <c r="W52" s="42">
        <f t="shared" si="89"/>
        <v>650.25</v>
      </c>
      <c r="X52" s="42">
        <f t="shared" si="89"/>
        <v>688.5</v>
      </c>
      <c r="Y52" s="42">
        <f t="shared" si="89"/>
        <v>726.75</v>
      </c>
      <c r="Z52" s="42">
        <f t="shared" si="89"/>
        <v>765</v>
      </c>
      <c r="AA52" s="42">
        <f t="shared" si="89"/>
        <v>803.25</v>
      </c>
      <c r="AB52" s="42">
        <f t="shared" si="89"/>
        <v>841.5</v>
      </c>
      <c r="AC52" s="42">
        <f t="shared" si="89"/>
        <v>879.75</v>
      </c>
      <c r="AD52" s="42">
        <f t="shared" si="89"/>
        <v>918</v>
      </c>
      <c r="AE52" s="42">
        <f t="shared" si="89"/>
        <v>956.25</v>
      </c>
      <c r="AF52" s="42">
        <f t="shared" si="89"/>
        <v>994.5</v>
      </c>
      <c r="AG52" s="42">
        <f t="shared" si="89"/>
        <v>1032.75</v>
      </c>
      <c r="AH52" s="42">
        <f t="shared" si="89"/>
        <v>1071</v>
      </c>
      <c r="AI52" s="42">
        <f t="shared" si="89"/>
        <v>1109.25</v>
      </c>
      <c r="AJ52" s="42">
        <f t="shared" si="89"/>
        <v>1147.5</v>
      </c>
      <c r="AK52" s="42">
        <f t="shared" si="89"/>
        <v>1185.75</v>
      </c>
      <c r="AL52" s="42">
        <f t="shared" si="89"/>
        <v>1224</v>
      </c>
      <c r="AM52" s="42">
        <f t="shared" si="89"/>
        <v>1262.25</v>
      </c>
      <c r="AN52" s="42">
        <f t="shared" si="89"/>
        <v>1300.5</v>
      </c>
      <c r="AO52" s="42">
        <f t="shared" si="89"/>
        <v>1338.75</v>
      </c>
      <c r="AP52" s="42">
        <f t="shared" si="89"/>
        <v>1377</v>
      </c>
      <c r="AQ52" s="42">
        <f t="shared" si="89"/>
        <v>1415.25</v>
      </c>
      <c r="AR52" s="42">
        <f t="shared" si="89"/>
        <v>1453.5</v>
      </c>
      <c r="AS52" s="42">
        <f t="shared" si="89"/>
        <v>1491.75</v>
      </c>
      <c r="AT52" s="42">
        <f t="shared" si="89"/>
        <v>1530</v>
      </c>
      <c r="AU52" s="42">
        <f t="shared" si="89"/>
        <v>1568.25</v>
      </c>
      <c r="AV52" s="42">
        <f t="shared" si="89"/>
        <v>1606.5</v>
      </c>
      <c r="AW52" s="42">
        <f t="shared" si="89"/>
        <v>1644.75</v>
      </c>
      <c r="AX52" s="42">
        <f t="shared" si="89"/>
        <v>1683</v>
      </c>
      <c r="AY52" s="42">
        <f t="shared" si="89"/>
        <v>1721.25</v>
      </c>
      <c r="AZ52" s="42">
        <f t="shared" si="89"/>
        <v>1759.5</v>
      </c>
      <c r="BA52" s="42">
        <f t="shared" si="89"/>
        <v>1797.75</v>
      </c>
      <c r="BB52" s="42">
        <f t="shared" si="89"/>
        <v>1836</v>
      </c>
      <c r="BC52" s="42">
        <f t="shared" si="89"/>
        <v>1874.25</v>
      </c>
      <c r="BD52" s="42">
        <f t="shared" si="89"/>
        <v>1912.5</v>
      </c>
      <c r="BE52" s="42">
        <f t="shared" si="89"/>
        <v>1950.75</v>
      </c>
      <c r="BF52" s="42">
        <f t="shared" si="89"/>
        <v>1989</v>
      </c>
      <c r="BG52" s="42">
        <f t="shared" si="89"/>
        <v>2027.25</v>
      </c>
      <c r="BH52" s="42">
        <f t="shared" si="89"/>
        <v>2065.5</v>
      </c>
      <c r="BI52" s="42">
        <f t="shared" si="89"/>
        <v>2103.75</v>
      </c>
      <c r="BJ52" s="42">
        <f t="shared" si="89"/>
        <v>2142</v>
      </c>
      <c r="BK52" s="42">
        <f t="shared" si="89"/>
        <v>2180.25</v>
      </c>
      <c r="BL52" s="42">
        <f t="shared" si="89"/>
        <v>2218.5</v>
      </c>
      <c r="BM52" s="42">
        <f t="shared" si="89"/>
        <v>2256.75</v>
      </c>
      <c r="BN52" s="42">
        <f t="shared" si="89"/>
        <v>2295</v>
      </c>
      <c r="BO52" s="42">
        <f t="shared" si="89"/>
        <v>2333.25</v>
      </c>
      <c r="BP52" s="42">
        <f t="shared" si="89"/>
        <v>2371.5</v>
      </c>
      <c r="BQ52" s="42">
        <f t="shared" si="89"/>
        <v>2409.75</v>
      </c>
      <c r="BR52" s="42">
        <f t="shared" si="89"/>
        <v>2448</v>
      </c>
      <c r="BS52" s="42">
        <f t="shared" si="89"/>
        <v>2486.25</v>
      </c>
      <c r="BT52" s="42">
        <f t="shared" ref="BT52:CU52" si="90">$B$52*$A$35*BT34</f>
        <v>2524.5</v>
      </c>
      <c r="BU52" s="42">
        <f t="shared" si="90"/>
        <v>2562.75</v>
      </c>
      <c r="BV52" s="42">
        <f t="shared" si="90"/>
        <v>2601</v>
      </c>
      <c r="BW52" s="42">
        <f t="shared" si="90"/>
        <v>2639.25</v>
      </c>
      <c r="BX52" s="42">
        <f t="shared" si="90"/>
        <v>2677.5</v>
      </c>
      <c r="BY52" s="42">
        <f t="shared" si="90"/>
        <v>2715.75</v>
      </c>
      <c r="BZ52" s="42">
        <f t="shared" si="90"/>
        <v>2754</v>
      </c>
      <c r="CA52" s="42">
        <f t="shared" si="90"/>
        <v>2792.25</v>
      </c>
      <c r="CB52" s="42">
        <f t="shared" si="90"/>
        <v>2830.5</v>
      </c>
      <c r="CC52" s="42">
        <f t="shared" si="90"/>
        <v>2868.75</v>
      </c>
      <c r="CD52" s="42">
        <f t="shared" si="90"/>
        <v>2907</v>
      </c>
      <c r="CE52" s="42">
        <f t="shared" si="90"/>
        <v>2945.25</v>
      </c>
      <c r="CF52" s="42">
        <f t="shared" si="90"/>
        <v>2983.5</v>
      </c>
      <c r="CG52" s="42">
        <f t="shared" si="90"/>
        <v>3021.75</v>
      </c>
      <c r="CH52" s="42">
        <f t="shared" si="90"/>
        <v>3060</v>
      </c>
      <c r="CI52" s="42">
        <f t="shared" si="90"/>
        <v>3098.25</v>
      </c>
      <c r="CJ52" s="42">
        <f t="shared" si="90"/>
        <v>3136.5</v>
      </c>
      <c r="CK52" s="42">
        <f t="shared" si="90"/>
        <v>3174.75</v>
      </c>
      <c r="CL52" s="42">
        <f t="shared" si="90"/>
        <v>3213</v>
      </c>
      <c r="CM52" s="42">
        <f t="shared" si="90"/>
        <v>3251.25</v>
      </c>
      <c r="CN52" s="42">
        <f t="shared" si="90"/>
        <v>3289.5</v>
      </c>
      <c r="CO52" s="42">
        <f t="shared" si="90"/>
        <v>3327.75</v>
      </c>
      <c r="CP52" s="42">
        <f t="shared" si="90"/>
        <v>3366</v>
      </c>
      <c r="CQ52" s="42">
        <f t="shared" si="90"/>
        <v>3404.25</v>
      </c>
      <c r="CR52" s="42">
        <f t="shared" si="90"/>
        <v>3442.5</v>
      </c>
      <c r="CS52" s="42">
        <f t="shared" si="90"/>
        <v>3480.75</v>
      </c>
      <c r="CT52" s="42">
        <f t="shared" si="90"/>
        <v>3519</v>
      </c>
      <c r="CU52" s="42">
        <f t="shared" si="90"/>
        <v>3557.25</v>
      </c>
      <c r="CV52" s="42">
        <f t="shared" ref="CV52:DQ52" si="91">$B$52*$A$35*CV34</f>
        <v>3595.5</v>
      </c>
      <c r="CW52" s="42">
        <f t="shared" si="91"/>
        <v>3633.75</v>
      </c>
      <c r="CX52" s="42">
        <f t="shared" si="91"/>
        <v>3672</v>
      </c>
      <c r="CY52" s="42">
        <f t="shared" si="91"/>
        <v>3710.25</v>
      </c>
      <c r="CZ52" s="42">
        <f t="shared" si="91"/>
        <v>3748.5</v>
      </c>
      <c r="DA52" s="42">
        <f t="shared" si="91"/>
        <v>3786.75</v>
      </c>
      <c r="DB52" s="42">
        <f t="shared" si="91"/>
        <v>3825</v>
      </c>
      <c r="DC52" s="42">
        <f t="shared" si="91"/>
        <v>3863.25</v>
      </c>
      <c r="DD52" s="42">
        <f t="shared" si="91"/>
        <v>3901.5</v>
      </c>
      <c r="DE52" s="42">
        <f t="shared" si="91"/>
        <v>3939.75</v>
      </c>
      <c r="DF52" s="42">
        <f t="shared" si="91"/>
        <v>3978</v>
      </c>
      <c r="DG52" s="42">
        <f t="shared" si="91"/>
        <v>4016.25</v>
      </c>
      <c r="DH52" s="42">
        <f t="shared" si="91"/>
        <v>4054.5</v>
      </c>
      <c r="DI52" s="42">
        <f t="shared" si="91"/>
        <v>4092.75</v>
      </c>
      <c r="DJ52" s="42">
        <f t="shared" si="91"/>
        <v>4131</v>
      </c>
      <c r="DK52" s="42">
        <f t="shared" si="91"/>
        <v>4169.25</v>
      </c>
      <c r="DL52" s="42">
        <f t="shared" si="91"/>
        <v>4207.5</v>
      </c>
      <c r="DM52" s="42">
        <f t="shared" si="91"/>
        <v>4245.75</v>
      </c>
      <c r="DN52" s="42">
        <f t="shared" si="91"/>
        <v>4284</v>
      </c>
      <c r="DO52" s="42">
        <f t="shared" si="91"/>
        <v>4322.25</v>
      </c>
      <c r="DP52" s="42">
        <f t="shared" si="91"/>
        <v>4360.5</v>
      </c>
      <c r="DQ52" s="42">
        <f t="shared" si="91"/>
        <v>4398.75</v>
      </c>
      <c r="DR52" s="42">
        <f t="shared" ref="DR52:GC52" si="92">$B$52*$A$35*DR34</f>
        <v>4437</v>
      </c>
      <c r="DS52" s="42">
        <f t="shared" si="92"/>
        <v>4475.25</v>
      </c>
      <c r="DT52" s="42">
        <f t="shared" si="92"/>
        <v>4513.5</v>
      </c>
      <c r="DU52" s="42">
        <f t="shared" si="92"/>
        <v>4551.75</v>
      </c>
      <c r="DV52" s="42">
        <f t="shared" si="92"/>
        <v>4590</v>
      </c>
      <c r="DW52" s="42">
        <f t="shared" si="92"/>
        <v>4628.25</v>
      </c>
      <c r="DX52" s="42">
        <f t="shared" si="92"/>
        <v>4666.5</v>
      </c>
      <c r="DY52" s="42">
        <f t="shared" si="92"/>
        <v>4704.75</v>
      </c>
      <c r="DZ52" s="42">
        <f t="shared" si="92"/>
        <v>4743</v>
      </c>
      <c r="EA52" s="42">
        <f t="shared" si="92"/>
        <v>4781.25</v>
      </c>
      <c r="EB52" s="42">
        <f t="shared" si="92"/>
        <v>4819.5</v>
      </c>
      <c r="EC52" s="42">
        <f t="shared" si="92"/>
        <v>4857.75</v>
      </c>
      <c r="ED52" s="42">
        <f t="shared" si="92"/>
        <v>4896</v>
      </c>
      <c r="EE52" s="42">
        <f t="shared" si="92"/>
        <v>4934.25</v>
      </c>
      <c r="EF52" s="42">
        <f t="shared" si="92"/>
        <v>4972.5</v>
      </c>
      <c r="EG52" s="42">
        <f t="shared" si="92"/>
        <v>5010.75</v>
      </c>
      <c r="EH52" s="42">
        <f t="shared" si="92"/>
        <v>5049</v>
      </c>
      <c r="EI52" s="42">
        <f t="shared" si="92"/>
        <v>5087.25</v>
      </c>
      <c r="EJ52" s="42">
        <f t="shared" si="92"/>
        <v>5125.5</v>
      </c>
      <c r="EK52" s="42">
        <f t="shared" si="92"/>
        <v>5163.75</v>
      </c>
      <c r="EL52" s="42">
        <f t="shared" si="92"/>
        <v>5202</v>
      </c>
      <c r="EM52" s="42">
        <f t="shared" si="92"/>
        <v>5240.25</v>
      </c>
      <c r="EN52" s="42">
        <f t="shared" si="92"/>
        <v>5278.5</v>
      </c>
      <c r="EO52" s="42">
        <f t="shared" si="92"/>
        <v>5316.75</v>
      </c>
      <c r="EP52" s="42">
        <f t="shared" si="92"/>
        <v>5355</v>
      </c>
      <c r="EQ52" s="42">
        <f t="shared" si="92"/>
        <v>5393.25</v>
      </c>
      <c r="ER52" s="42">
        <f t="shared" si="92"/>
        <v>5431.5</v>
      </c>
      <c r="ES52" s="42">
        <f t="shared" si="92"/>
        <v>5469.75</v>
      </c>
      <c r="ET52" s="42">
        <f t="shared" si="92"/>
        <v>5508</v>
      </c>
      <c r="EU52" s="42">
        <f t="shared" si="92"/>
        <v>5546.25</v>
      </c>
      <c r="EV52" s="42">
        <f t="shared" si="92"/>
        <v>5584.5</v>
      </c>
      <c r="EW52" s="42">
        <f t="shared" si="92"/>
        <v>5622.75</v>
      </c>
      <c r="EX52" s="42">
        <f t="shared" si="92"/>
        <v>5661</v>
      </c>
      <c r="EY52" s="42">
        <f t="shared" si="92"/>
        <v>5699.25</v>
      </c>
      <c r="EZ52" s="42">
        <f t="shared" si="92"/>
        <v>5737.5</v>
      </c>
      <c r="FA52" s="42">
        <f t="shared" si="92"/>
        <v>5775.75</v>
      </c>
      <c r="FB52" s="42">
        <f t="shared" si="92"/>
        <v>5814</v>
      </c>
      <c r="FC52" s="42">
        <f t="shared" si="92"/>
        <v>5852.25</v>
      </c>
      <c r="FD52" s="42">
        <f t="shared" si="92"/>
        <v>5890.5</v>
      </c>
      <c r="FE52" s="42">
        <f t="shared" si="92"/>
        <v>5928.75</v>
      </c>
      <c r="FF52" s="42">
        <f t="shared" si="92"/>
        <v>5967</v>
      </c>
      <c r="FG52" s="42">
        <f t="shared" si="92"/>
        <v>6005.25</v>
      </c>
      <c r="FH52" s="42">
        <f t="shared" si="92"/>
        <v>6043.5</v>
      </c>
      <c r="FI52" s="42">
        <f t="shared" si="92"/>
        <v>6081.75</v>
      </c>
      <c r="FJ52" s="42">
        <f t="shared" si="92"/>
        <v>6120</v>
      </c>
      <c r="FK52" s="42">
        <f t="shared" si="92"/>
        <v>6158.25</v>
      </c>
      <c r="FL52" s="42">
        <f t="shared" si="92"/>
        <v>6196.5</v>
      </c>
      <c r="FM52" s="42">
        <f t="shared" si="92"/>
        <v>6234.75</v>
      </c>
      <c r="FN52" s="42">
        <f t="shared" si="92"/>
        <v>6273</v>
      </c>
      <c r="FO52" s="42">
        <f t="shared" si="92"/>
        <v>6311.25</v>
      </c>
      <c r="FP52" s="42">
        <f t="shared" si="92"/>
        <v>6349.5</v>
      </c>
      <c r="FQ52" s="42">
        <f t="shared" si="92"/>
        <v>6387.75</v>
      </c>
      <c r="FR52" s="42">
        <f t="shared" si="92"/>
        <v>6426</v>
      </c>
      <c r="FS52" s="42">
        <f t="shared" si="92"/>
        <v>6464.25</v>
      </c>
      <c r="FT52" s="42">
        <f t="shared" si="92"/>
        <v>6502.5</v>
      </c>
      <c r="FU52" s="42">
        <f t="shared" si="92"/>
        <v>6540.75</v>
      </c>
      <c r="FV52" s="42">
        <f t="shared" si="92"/>
        <v>6579</v>
      </c>
      <c r="FW52" s="42">
        <f t="shared" si="92"/>
        <v>6617.25</v>
      </c>
      <c r="FX52" s="42">
        <f t="shared" si="92"/>
        <v>6655.5</v>
      </c>
      <c r="FY52" s="42">
        <f t="shared" si="92"/>
        <v>6693.75</v>
      </c>
      <c r="FZ52" s="42">
        <f t="shared" si="92"/>
        <v>6732</v>
      </c>
      <c r="GA52" s="42">
        <f t="shared" si="92"/>
        <v>6770.25</v>
      </c>
      <c r="GB52" s="42">
        <f t="shared" si="92"/>
        <v>6808.5</v>
      </c>
      <c r="GC52" s="42">
        <f t="shared" si="92"/>
        <v>6846.75</v>
      </c>
      <c r="GD52" s="42">
        <f t="shared" ref="GD52:GI52" si="93">$B$52*$A$35*GD34</f>
        <v>6885</v>
      </c>
      <c r="GE52" s="42">
        <f t="shared" si="93"/>
        <v>6923.25</v>
      </c>
      <c r="GF52" s="42">
        <f t="shared" si="93"/>
        <v>6961.5</v>
      </c>
      <c r="GG52" s="42">
        <f t="shared" si="93"/>
        <v>6999.75</v>
      </c>
      <c r="GH52" s="42">
        <f t="shared" si="93"/>
        <v>7038</v>
      </c>
      <c r="GI52" s="42">
        <f t="shared" si="93"/>
        <v>7076.25</v>
      </c>
    </row>
    <row r="53" spans="1:191">
      <c r="B53" s="30">
        <v>9</v>
      </c>
      <c r="C53" s="30">
        <f t="shared" si="78"/>
        <v>11</v>
      </c>
      <c r="G53" s="42">
        <f>$B$53*$A$35*G34</f>
        <v>40.5</v>
      </c>
      <c r="H53" s="42">
        <f t="shared" ref="H53:BS53" si="94">$B$53*$A$35*H34</f>
        <v>81</v>
      </c>
      <c r="I53" s="42">
        <f t="shared" si="94"/>
        <v>121.5</v>
      </c>
      <c r="J53" s="42">
        <f t="shared" si="94"/>
        <v>162</v>
      </c>
      <c r="K53" s="42">
        <f t="shared" si="94"/>
        <v>202.5</v>
      </c>
      <c r="L53" s="42">
        <f t="shared" si="94"/>
        <v>243</v>
      </c>
      <c r="M53" s="42">
        <f t="shared" si="94"/>
        <v>283.5</v>
      </c>
      <c r="N53" s="42">
        <f t="shared" si="94"/>
        <v>324</v>
      </c>
      <c r="O53" s="42">
        <f t="shared" si="94"/>
        <v>364.5</v>
      </c>
      <c r="P53" s="42">
        <f t="shared" si="94"/>
        <v>405</v>
      </c>
      <c r="Q53" s="42">
        <f t="shared" si="94"/>
        <v>445.5</v>
      </c>
      <c r="R53" s="42">
        <f t="shared" si="94"/>
        <v>486</v>
      </c>
      <c r="S53" s="42">
        <f t="shared" si="94"/>
        <v>526.5</v>
      </c>
      <c r="T53" s="42">
        <f t="shared" si="94"/>
        <v>567</v>
      </c>
      <c r="U53" s="42">
        <f t="shared" si="94"/>
        <v>607.5</v>
      </c>
      <c r="V53" s="42">
        <f t="shared" si="94"/>
        <v>648</v>
      </c>
      <c r="W53" s="42">
        <f t="shared" si="94"/>
        <v>688.5</v>
      </c>
      <c r="X53" s="42">
        <f t="shared" si="94"/>
        <v>729</v>
      </c>
      <c r="Y53" s="42">
        <f t="shared" si="94"/>
        <v>769.5</v>
      </c>
      <c r="Z53" s="42">
        <f t="shared" si="94"/>
        <v>810</v>
      </c>
      <c r="AA53" s="42">
        <f t="shared" si="94"/>
        <v>850.5</v>
      </c>
      <c r="AB53" s="42">
        <f t="shared" si="94"/>
        <v>891</v>
      </c>
      <c r="AC53" s="42">
        <f t="shared" si="94"/>
        <v>931.5</v>
      </c>
      <c r="AD53" s="42">
        <f t="shared" si="94"/>
        <v>972</v>
      </c>
      <c r="AE53" s="42">
        <f t="shared" si="94"/>
        <v>1012.5</v>
      </c>
      <c r="AF53" s="42">
        <f t="shared" si="94"/>
        <v>1053</v>
      </c>
      <c r="AG53" s="42">
        <f t="shared" si="94"/>
        <v>1093.5</v>
      </c>
      <c r="AH53" s="42">
        <f t="shared" si="94"/>
        <v>1134</v>
      </c>
      <c r="AI53" s="42">
        <f t="shared" si="94"/>
        <v>1174.5</v>
      </c>
      <c r="AJ53" s="42">
        <f t="shared" si="94"/>
        <v>1215</v>
      </c>
      <c r="AK53" s="42">
        <f t="shared" si="94"/>
        <v>1255.5</v>
      </c>
      <c r="AL53" s="42">
        <f t="shared" si="94"/>
        <v>1296</v>
      </c>
      <c r="AM53" s="42">
        <f t="shared" si="94"/>
        <v>1336.5</v>
      </c>
      <c r="AN53" s="42">
        <f t="shared" si="94"/>
        <v>1377</v>
      </c>
      <c r="AO53" s="42">
        <f t="shared" si="94"/>
        <v>1417.5</v>
      </c>
      <c r="AP53" s="42">
        <f t="shared" si="94"/>
        <v>1458</v>
      </c>
      <c r="AQ53" s="42">
        <f t="shared" si="94"/>
        <v>1498.5</v>
      </c>
      <c r="AR53" s="42">
        <f t="shared" si="94"/>
        <v>1539</v>
      </c>
      <c r="AS53" s="42">
        <f t="shared" si="94"/>
        <v>1579.5</v>
      </c>
      <c r="AT53" s="42">
        <f t="shared" si="94"/>
        <v>1620</v>
      </c>
      <c r="AU53" s="42">
        <f t="shared" si="94"/>
        <v>1660.5</v>
      </c>
      <c r="AV53" s="42">
        <f t="shared" si="94"/>
        <v>1701</v>
      </c>
      <c r="AW53" s="42">
        <f t="shared" si="94"/>
        <v>1741.5</v>
      </c>
      <c r="AX53" s="42">
        <f t="shared" si="94"/>
        <v>1782</v>
      </c>
      <c r="AY53" s="42">
        <f t="shared" si="94"/>
        <v>1822.5</v>
      </c>
      <c r="AZ53" s="42">
        <f t="shared" si="94"/>
        <v>1863</v>
      </c>
      <c r="BA53" s="42">
        <f t="shared" si="94"/>
        <v>1903.5</v>
      </c>
      <c r="BB53" s="42">
        <f t="shared" si="94"/>
        <v>1944</v>
      </c>
      <c r="BC53" s="42">
        <f t="shared" si="94"/>
        <v>1984.5</v>
      </c>
      <c r="BD53" s="42">
        <f t="shared" si="94"/>
        <v>2025</v>
      </c>
      <c r="BE53" s="42">
        <f t="shared" si="94"/>
        <v>2065.5</v>
      </c>
      <c r="BF53" s="42">
        <f t="shared" si="94"/>
        <v>2106</v>
      </c>
      <c r="BG53" s="42">
        <f t="shared" si="94"/>
        <v>2146.5</v>
      </c>
      <c r="BH53" s="42">
        <f t="shared" si="94"/>
        <v>2187</v>
      </c>
      <c r="BI53" s="42">
        <f t="shared" si="94"/>
        <v>2227.5</v>
      </c>
      <c r="BJ53" s="42">
        <f t="shared" si="94"/>
        <v>2268</v>
      </c>
      <c r="BK53" s="42">
        <f t="shared" si="94"/>
        <v>2308.5</v>
      </c>
      <c r="BL53" s="42">
        <f t="shared" si="94"/>
        <v>2349</v>
      </c>
      <c r="BM53" s="42">
        <f t="shared" si="94"/>
        <v>2389.5</v>
      </c>
      <c r="BN53" s="42">
        <f t="shared" si="94"/>
        <v>2430</v>
      </c>
      <c r="BO53" s="42">
        <f t="shared" si="94"/>
        <v>2470.5</v>
      </c>
      <c r="BP53" s="42">
        <f t="shared" si="94"/>
        <v>2511</v>
      </c>
      <c r="BQ53" s="42">
        <f t="shared" si="94"/>
        <v>2551.5</v>
      </c>
      <c r="BR53" s="42">
        <f t="shared" si="94"/>
        <v>2592</v>
      </c>
      <c r="BS53" s="42">
        <f t="shared" si="94"/>
        <v>2632.5</v>
      </c>
      <c r="BT53" s="42">
        <f t="shared" ref="BT53:CU53" si="95">$B$53*$A$35*BT34</f>
        <v>2673</v>
      </c>
      <c r="BU53" s="42">
        <f t="shared" si="95"/>
        <v>2713.5</v>
      </c>
      <c r="BV53" s="42">
        <f t="shared" si="95"/>
        <v>2754</v>
      </c>
      <c r="BW53" s="42">
        <f t="shared" si="95"/>
        <v>2794.5</v>
      </c>
      <c r="BX53" s="42">
        <f t="shared" si="95"/>
        <v>2835</v>
      </c>
      <c r="BY53" s="42">
        <f t="shared" si="95"/>
        <v>2875.5</v>
      </c>
      <c r="BZ53" s="42">
        <f t="shared" si="95"/>
        <v>2916</v>
      </c>
      <c r="CA53" s="42">
        <f t="shared" si="95"/>
        <v>2956.5</v>
      </c>
      <c r="CB53" s="42">
        <f t="shared" si="95"/>
        <v>2997</v>
      </c>
      <c r="CC53" s="42">
        <f t="shared" si="95"/>
        <v>3037.5</v>
      </c>
      <c r="CD53" s="42">
        <f t="shared" si="95"/>
        <v>3078</v>
      </c>
      <c r="CE53" s="42">
        <f t="shared" si="95"/>
        <v>3118.5</v>
      </c>
      <c r="CF53" s="42">
        <f t="shared" si="95"/>
        <v>3159</v>
      </c>
      <c r="CG53" s="42">
        <f t="shared" si="95"/>
        <v>3199.5</v>
      </c>
      <c r="CH53" s="42">
        <f t="shared" si="95"/>
        <v>3240</v>
      </c>
      <c r="CI53" s="42">
        <f t="shared" si="95"/>
        <v>3280.5</v>
      </c>
      <c r="CJ53" s="42">
        <f t="shared" si="95"/>
        <v>3321</v>
      </c>
      <c r="CK53" s="42">
        <f t="shared" si="95"/>
        <v>3361.5</v>
      </c>
      <c r="CL53" s="42">
        <f t="shared" si="95"/>
        <v>3402</v>
      </c>
      <c r="CM53" s="42">
        <f t="shared" si="95"/>
        <v>3442.5</v>
      </c>
      <c r="CN53" s="42">
        <f t="shared" si="95"/>
        <v>3483</v>
      </c>
      <c r="CO53" s="42">
        <f t="shared" si="95"/>
        <v>3523.5</v>
      </c>
      <c r="CP53" s="42">
        <f t="shared" si="95"/>
        <v>3564</v>
      </c>
      <c r="CQ53" s="42">
        <f t="shared" si="95"/>
        <v>3604.5</v>
      </c>
      <c r="CR53" s="42">
        <f t="shared" si="95"/>
        <v>3645</v>
      </c>
      <c r="CS53" s="42">
        <f t="shared" si="95"/>
        <v>3685.5</v>
      </c>
      <c r="CT53" s="42">
        <f t="shared" si="95"/>
        <v>3726</v>
      </c>
      <c r="CU53" s="42">
        <f t="shared" si="95"/>
        <v>3766.5</v>
      </c>
      <c r="CV53" s="42">
        <f t="shared" ref="CV53:DQ53" si="96">$B$53*$A$35*CV34</f>
        <v>3807</v>
      </c>
      <c r="CW53" s="42">
        <f t="shared" si="96"/>
        <v>3847.5</v>
      </c>
      <c r="CX53" s="42">
        <f t="shared" si="96"/>
        <v>3888</v>
      </c>
      <c r="CY53" s="42">
        <f t="shared" si="96"/>
        <v>3928.5</v>
      </c>
      <c r="CZ53" s="42">
        <f t="shared" si="96"/>
        <v>3969</v>
      </c>
      <c r="DA53" s="42">
        <f t="shared" si="96"/>
        <v>4009.5</v>
      </c>
      <c r="DB53" s="42">
        <f t="shared" si="96"/>
        <v>4050</v>
      </c>
      <c r="DC53" s="42">
        <f t="shared" si="96"/>
        <v>4090.5</v>
      </c>
      <c r="DD53" s="42">
        <f t="shared" si="96"/>
        <v>4131</v>
      </c>
      <c r="DE53" s="42">
        <f t="shared" si="96"/>
        <v>4171.5</v>
      </c>
      <c r="DF53" s="42">
        <f t="shared" si="96"/>
        <v>4212</v>
      </c>
      <c r="DG53" s="42">
        <f t="shared" si="96"/>
        <v>4252.5</v>
      </c>
      <c r="DH53" s="42">
        <f t="shared" si="96"/>
        <v>4293</v>
      </c>
      <c r="DI53" s="42">
        <f t="shared" si="96"/>
        <v>4333.5</v>
      </c>
      <c r="DJ53" s="42">
        <f t="shared" si="96"/>
        <v>4374</v>
      </c>
      <c r="DK53" s="42">
        <f t="shared" si="96"/>
        <v>4414.5</v>
      </c>
      <c r="DL53" s="42">
        <f t="shared" si="96"/>
        <v>4455</v>
      </c>
      <c r="DM53" s="42">
        <f t="shared" si="96"/>
        <v>4495.5</v>
      </c>
      <c r="DN53" s="42">
        <f t="shared" si="96"/>
        <v>4536</v>
      </c>
      <c r="DO53" s="42">
        <f t="shared" si="96"/>
        <v>4576.5</v>
      </c>
      <c r="DP53" s="42">
        <f t="shared" si="96"/>
        <v>4617</v>
      </c>
      <c r="DQ53" s="42">
        <f t="shared" si="96"/>
        <v>4657.5</v>
      </c>
      <c r="DR53" s="42">
        <f t="shared" ref="DR53:GC53" si="97">$B$53*$A$35*DR34</f>
        <v>4698</v>
      </c>
      <c r="DS53" s="42">
        <f t="shared" si="97"/>
        <v>4738.5</v>
      </c>
      <c r="DT53" s="42">
        <f t="shared" si="97"/>
        <v>4779</v>
      </c>
      <c r="DU53" s="42">
        <f t="shared" si="97"/>
        <v>4819.5</v>
      </c>
      <c r="DV53" s="42">
        <f t="shared" si="97"/>
        <v>4860</v>
      </c>
      <c r="DW53" s="42">
        <f t="shared" si="97"/>
        <v>4900.5</v>
      </c>
      <c r="DX53" s="42">
        <f t="shared" si="97"/>
        <v>4941</v>
      </c>
      <c r="DY53" s="42">
        <f t="shared" si="97"/>
        <v>4981.5</v>
      </c>
      <c r="DZ53" s="42">
        <f t="shared" si="97"/>
        <v>5022</v>
      </c>
      <c r="EA53" s="42">
        <f t="shared" si="97"/>
        <v>5062.5</v>
      </c>
      <c r="EB53" s="42">
        <f t="shared" si="97"/>
        <v>5103</v>
      </c>
      <c r="EC53" s="42">
        <f t="shared" si="97"/>
        <v>5143.5</v>
      </c>
      <c r="ED53" s="42">
        <f t="shared" si="97"/>
        <v>5184</v>
      </c>
      <c r="EE53" s="42">
        <f t="shared" si="97"/>
        <v>5224.5</v>
      </c>
      <c r="EF53" s="42">
        <f t="shared" si="97"/>
        <v>5265</v>
      </c>
      <c r="EG53" s="42">
        <f t="shared" si="97"/>
        <v>5305.5</v>
      </c>
      <c r="EH53" s="42">
        <f t="shared" si="97"/>
        <v>5346</v>
      </c>
      <c r="EI53" s="42">
        <f t="shared" si="97"/>
        <v>5386.5</v>
      </c>
      <c r="EJ53" s="42">
        <f t="shared" si="97"/>
        <v>5427</v>
      </c>
      <c r="EK53" s="42">
        <f t="shared" si="97"/>
        <v>5467.5</v>
      </c>
      <c r="EL53" s="42">
        <f t="shared" si="97"/>
        <v>5508</v>
      </c>
      <c r="EM53" s="42">
        <f t="shared" si="97"/>
        <v>5548.5</v>
      </c>
      <c r="EN53" s="42">
        <f t="shared" si="97"/>
        <v>5589</v>
      </c>
      <c r="EO53" s="42">
        <f t="shared" si="97"/>
        <v>5629.5</v>
      </c>
      <c r="EP53" s="42">
        <f t="shared" si="97"/>
        <v>5670</v>
      </c>
      <c r="EQ53" s="42">
        <f t="shared" si="97"/>
        <v>5710.5</v>
      </c>
      <c r="ER53" s="42">
        <f t="shared" si="97"/>
        <v>5751</v>
      </c>
      <c r="ES53" s="42">
        <f t="shared" si="97"/>
        <v>5791.5</v>
      </c>
      <c r="ET53" s="42">
        <f t="shared" si="97"/>
        <v>5832</v>
      </c>
      <c r="EU53" s="42">
        <f t="shared" si="97"/>
        <v>5872.5</v>
      </c>
      <c r="EV53" s="42">
        <f t="shared" si="97"/>
        <v>5913</v>
      </c>
      <c r="EW53" s="42">
        <f t="shared" si="97"/>
        <v>5953.5</v>
      </c>
      <c r="EX53" s="42">
        <f t="shared" si="97"/>
        <v>5994</v>
      </c>
      <c r="EY53" s="42">
        <f t="shared" si="97"/>
        <v>6034.5</v>
      </c>
      <c r="EZ53" s="42">
        <f t="shared" si="97"/>
        <v>6075</v>
      </c>
      <c r="FA53" s="42">
        <f t="shared" si="97"/>
        <v>6115.5</v>
      </c>
      <c r="FB53" s="42">
        <f t="shared" si="97"/>
        <v>6156</v>
      </c>
      <c r="FC53" s="42">
        <f t="shared" si="97"/>
        <v>6196.5</v>
      </c>
      <c r="FD53" s="42">
        <f t="shared" si="97"/>
        <v>6237</v>
      </c>
      <c r="FE53" s="42">
        <f t="shared" si="97"/>
        <v>6277.5</v>
      </c>
      <c r="FF53" s="42">
        <f t="shared" si="97"/>
        <v>6318</v>
      </c>
      <c r="FG53" s="42">
        <f t="shared" si="97"/>
        <v>6358.5</v>
      </c>
      <c r="FH53" s="42">
        <f t="shared" si="97"/>
        <v>6399</v>
      </c>
      <c r="FI53" s="42">
        <f t="shared" si="97"/>
        <v>6439.5</v>
      </c>
      <c r="FJ53" s="42">
        <f t="shared" si="97"/>
        <v>6480</v>
      </c>
      <c r="FK53" s="42">
        <f t="shared" si="97"/>
        <v>6520.5</v>
      </c>
      <c r="FL53" s="42">
        <f t="shared" si="97"/>
        <v>6561</v>
      </c>
      <c r="FM53" s="42">
        <f t="shared" si="97"/>
        <v>6601.5</v>
      </c>
      <c r="FN53" s="42">
        <f t="shared" si="97"/>
        <v>6642</v>
      </c>
      <c r="FO53" s="42">
        <f t="shared" si="97"/>
        <v>6682.5</v>
      </c>
      <c r="FP53" s="42">
        <f t="shared" si="97"/>
        <v>6723</v>
      </c>
      <c r="FQ53" s="42">
        <f t="shared" si="97"/>
        <v>6763.5</v>
      </c>
      <c r="FR53" s="42">
        <f t="shared" si="97"/>
        <v>6804</v>
      </c>
      <c r="FS53" s="42">
        <f t="shared" si="97"/>
        <v>6844.5</v>
      </c>
      <c r="FT53" s="42">
        <f t="shared" si="97"/>
        <v>6885</v>
      </c>
      <c r="FU53" s="42">
        <f t="shared" si="97"/>
        <v>6925.5</v>
      </c>
      <c r="FV53" s="42">
        <f t="shared" si="97"/>
        <v>6966</v>
      </c>
      <c r="FW53" s="42">
        <f t="shared" si="97"/>
        <v>7006.5</v>
      </c>
      <c r="FX53" s="42">
        <f t="shared" si="97"/>
        <v>7047</v>
      </c>
      <c r="FY53" s="42">
        <f t="shared" si="97"/>
        <v>7087.5</v>
      </c>
      <c r="FZ53" s="42">
        <f t="shared" si="97"/>
        <v>7128</v>
      </c>
      <c r="GA53" s="42">
        <f t="shared" si="97"/>
        <v>7168.5</v>
      </c>
      <c r="GB53" s="42">
        <f t="shared" si="97"/>
        <v>7209</v>
      </c>
      <c r="GC53" s="42">
        <f t="shared" si="97"/>
        <v>7249.5</v>
      </c>
      <c r="GD53" s="42">
        <f t="shared" ref="GD53:GI53" si="98">$B$53*$A$35*GD34</f>
        <v>7290</v>
      </c>
      <c r="GE53" s="42">
        <f t="shared" si="98"/>
        <v>7330.5</v>
      </c>
      <c r="GF53" s="42">
        <f t="shared" si="98"/>
        <v>7371</v>
      </c>
      <c r="GG53" s="42">
        <f t="shared" si="98"/>
        <v>7411.5</v>
      </c>
      <c r="GH53" s="42">
        <f t="shared" si="98"/>
        <v>7452</v>
      </c>
      <c r="GI53" s="42">
        <f t="shared" si="98"/>
        <v>7492.5</v>
      </c>
    </row>
    <row r="54" spans="1:191">
      <c r="B54" s="30">
        <v>9.5</v>
      </c>
      <c r="C54" s="30">
        <f t="shared" si="78"/>
        <v>11.5</v>
      </c>
      <c r="G54" s="42">
        <f>$B$54*$A$35*G34</f>
        <v>42.75</v>
      </c>
      <c r="H54" s="42">
        <f t="shared" ref="H54:BS54" si="99">$B$54*$A$35*H34</f>
        <v>85.5</v>
      </c>
      <c r="I54" s="42">
        <f t="shared" si="99"/>
        <v>128.25</v>
      </c>
      <c r="J54" s="42">
        <f t="shared" si="99"/>
        <v>171</v>
      </c>
      <c r="K54" s="42">
        <f t="shared" si="99"/>
        <v>213.75</v>
      </c>
      <c r="L54" s="42">
        <f t="shared" si="99"/>
        <v>256.5</v>
      </c>
      <c r="M54" s="42">
        <f t="shared" si="99"/>
        <v>299.25</v>
      </c>
      <c r="N54" s="42">
        <f t="shared" si="99"/>
        <v>342</v>
      </c>
      <c r="O54" s="42">
        <f t="shared" si="99"/>
        <v>384.75</v>
      </c>
      <c r="P54" s="42">
        <f t="shared" si="99"/>
        <v>427.5</v>
      </c>
      <c r="Q54" s="42">
        <f t="shared" si="99"/>
        <v>470.25</v>
      </c>
      <c r="R54" s="42">
        <f t="shared" si="99"/>
        <v>513</v>
      </c>
      <c r="S54" s="42">
        <f t="shared" si="99"/>
        <v>555.75</v>
      </c>
      <c r="T54" s="42">
        <f t="shared" si="99"/>
        <v>598.5</v>
      </c>
      <c r="U54" s="42">
        <f t="shared" si="99"/>
        <v>641.25</v>
      </c>
      <c r="V54" s="42">
        <f t="shared" si="99"/>
        <v>684</v>
      </c>
      <c r="W54" s="42">
        <f t="shared" si="99"/>
        <v>726.75</v>
      </c>
      <c r="X54" s="42">
        <f t="shared" si="99"/>
        <v>769.5</v>
      </c>
      <c r="Y54" s="42">
        <f t="shared" si="99"/>
        <v>812.25</v>
      </c>
      <c r="Z54" s="42">
        <f t="shared" si="99"/>
        <v>855</v>
      </c>
      <c r="AA54" s="42">
        <f t="shared" si="99"/>
        <v>897.75</v>
      </c>
      <c r="AB54" s="42">
        <f t="shared" si="99"/>
        <v>940.5</v>
      </c>
      <c r="AC54" s="42">
        <f t="shared" si="99"/>
        <v>983.25</v>
      </c>
      <c r="AD54" s="42">
        <f t="shared" si="99"/>
        <v>1026</v>
      </c>
      <c r="AE54" s="42">
        <f t="shared" si="99"/>
        <v>1068.75</v>
      </c>
      <c r="AF54" s="42">
        <f>$B$54*$A$35*AF34</f>
        <v>1111.5</v>
      </c>
      <c r="AG54" s="42">
        <f t="shared" si="99"/>
        <v>1154.25</v>
      </c>
      <c r="AH54" s="42">
        <f t="shared" si="99"/>
        <v>1197</v>
      </c>
      <c r="AI54" s="42">
        <f t="shared" si="99"/>
        <v>1239.75</v>
      </c>
      <c r="AJ54" s="42">
        <f t="shared" si="99"/>
        <v>1282.5</v>
      </c>
      <c r="AK54" s="42">
        <f t="shared" si="99"/>
        <v>1325.25</v>
      </c>
      <c r="AL54" s="42">
        <f t="shared" si="99"/>
        <v>1368</v>
      </c>
      <c r="AM54" s="42">
        <f t="shared" si="99"/>
        <v>1410.75</v>
      </c>
      <c r="AN54" s="42">
        <f t="shared" si="99"/>
        <v>1453.5</v>
      </c>
      <c r="AO54" s="42">
        <f t="shared" si="99"/>
        <v>1496.25</v>
      </c>
      <c r="AP54" s="42">
        <f t="shared" si="99"/>
        <v>1539</v>
      </c>
      <c r="AQ54" s="42">
        <f t="shared" si="99"/>
        <v>1581.75</v>
      </c>
      <c r="AR54" s="42">
        <f t="shared" si="99"/>
        <v>1624.5</v>
      </c>
      <c r="AS54" s="42">
        <f t="shared" si="99"/>
        <v>1667.25</v>
      </c>
      <c r="AT54" s="42">
        <f t="shared" si="99"/>
        <v>1710</v>
      </c>
      <c r="AU54" s="42">
        <f t="shared" si="99"/>
        <v>1752.75</v>
      </c>
      <c r="AV54" s="42">
        <f t="shared" si="99"/>
        <v>1795.5</v>
      </c>
      <c r="AW54" s="42">
        <f t="shared" si="99"/>
        <v>1838.25</v>
      </c>
      <c r="AX54" s="42">
        <f t="shared" si="99"/>
        <v>1881</v>
      </c>
      <c r="AY54" s="42">
        <f t="shared" si="99"/>
        <v>1923.75</v>
      </c>
      <c r="AZ54" s="42">
        <f t="shared" si="99"/>
        <v>1966.5</v>
      </c>
      <c r="BA54" s="42">
        <f t="shared" si="99"/>
        <v>2009.25</v>
      </c>
      <c r="BB54" s="42">
        <f t="shared" si="99"/>
        <v>2052</v>
      </c>
      <c r="BC54" s="42">
        <f t="shared" si="99"/>
        <v>2094.75</v>
      </c>
      <c r="BD54" s="42">
        <f t="shared" si="99"/>
        <v>2137.5</v>
      </c>
      <c r="BE54" s="42">
        <f t="shared" si="99"/>
        <v>2180.25</v>
      </c>
      <c r="BF54" s="42">
        <f t="shared" si="99"/>
        <v>2223</v>
      </c>
      <c r="BG54" s="42">
        <f t="shared" si="99"/>
        <v>2265.75</v>
      </c>
      <c r="BH54" s="42">
        <f t="shared" si="99"/>
        <v>2308.5</v>
      </c>
      <c r="BI54" s="42">
        <f t="shared" si="99"/>
        <v>2351.25</v>
      </c>
      <c r="BJ54" s="42">
        <f t="shared" si="99"/>
        <v>2394</v>
      </c>
      <c r="BK54" s="42">
        <f t="shared" si="99"/>
        <v>2436.75</v>
      </c>
      <c r="BL54" s="42">
        <f t="shared" si="99"/>
        <v>2479.5</v>
      </c>
      <c r="BM54" s="42">
        <f t="shared" si="99"/>
        <v>2522.25</v>
      </c>
      <c r="BN54" s="42">
        <f t="shared" si="99"/>
        <v>2565</v>
      </c>
      <c r="BO54" s="42">
        <f t="shared" si="99"/>
        <v>2607.75</v>
      </c>
      <c r="BP54" s="42">
        <f t="shared" si="99"/>
        <v>2650.5</v>
      </c>
      <c r="BQ54" s="42">
        <f t="shared" si="99"/>
        <v>2693.25</v>
      </c>
      <c r="BR54" s="42">
        <f t="shared" si="99"/>
        <v>2736</v>
      </c>
      <c r="BS54" s="42">
        <f t="shared" si="99"/>
        <v>2778.75</v>
      </c>
      <c r="BT54" s="42">
        <f t="shared" ref="BT54:CU54" si="100">$B$54*$A$35*BT34</f>
        <v>2821.5</v>
      </c>
      <c r="BU54" s="42">
        <f t="shared" si="100"/>
        <v>2864.25</v>
      </c>
      <c r="BV54" s="42">
        <f t="shared" si="100"/>
        <v>2907</v>
      </c>
      <c r="BW54" s="42">
        <f t="shared" si="100"/>
        <v>2949.75</v>
      </c>
      <c r="BX54" s="42">
        <f t="shared" si="100"/>
        <v>2992.5</v>
      </c>
      <c r="BY54" s="42">
        <f t="shared" si="100"/>
        <v>3035.25</v>
      </c>
      <c r="BZ54" s="42">
        <f t="shared" si="100"/>
        <v>3078</v>
      </c>
      <c r="CA54" s="42">
        <f t="shared" si="100"/>
        <v>3120.75</v>
      </c>
      <c r="CB54" s="42">
        <f t="shared" si="100"/>
        <v>3163.5</v>
      </c>
      <c r="CC54" s="42">
        <f t="shared" si="100"/>
        <v>3206.25</v>
      </c>
      <c r="CD54" s="42">
        <f t="shared" si="100"/>
        <v>3249</v>
      </c>
      <c r="CE54" s="42">
        <f t="shared" si="100"/>
        <v>3291.75</v>
      </c>
      <c r="CF54" s="42">
        <f t="shared" si="100"/>
        <v>3334.5</v>
      </c>
      <c r="CG54" s="42">
        <f t="shared" si="100"/>
        <v>3377.25</v>
      </c>
      <c r="CH54" s="42">
        <f t="shared" si="100"/>
        <v>3420</v>
      </c>
      <c r="CI54" s="42">
        <f t="shared" si="100"/>
        <v>3462.75</v>
      </c>
      <c r="CJ54" s="42">
        <f t="shared" si="100"/>
        <v>3505.5</v>
      </c>
      <c r="CK54" s="42">
        <f t="shared" si="100"/>
        <v>3548.25</v>
      </c>
      <c r="CL54" s="42">
        <f t="shared" si="100"/>
        <v>3591</v>
      </c>
      <c r="CM54" s="42">
        <f t="shared" si="100"/>
        <v>3633.75</v>
      </c>
      <c r="CN54" s="42">
        <f t="shared" si="100"/>
        <v>3676.5</v>
      </c>
      <c r="CO54" s="42">
        <f t="shared" si="100"/>
        <v>3719.25</v>
      </c>
      <c r="CP54" s="42">
        <f t="shared" si="100"/>
        <v>3762</v>
      </c>
      <c r="CQ54" s="42">
        <f t="shared" si="100"/>
        <v>3804.75</v>
      </c>
      <c r="CR54" s="42">
        <f t="shared" si="100"/>
        <v>3847.5</v>
      </c>
      <c r="CS54" s="42">
        <f t="shared" si="100"/>
        <v>3890.25</v>
      </c>
      <c r="CT54" s="42">
        <f t="shared" si="100"/>
        <v>3933</v>
      </c>
      <c r="CU54" s="42">
        <f t="shared" si="100"/>
        <v>3975.75</v>
      </c>
      <c r="CV54" s="42">
        <f t="shared" ref="CV54:DQ54" si="101">$B$54*$A$35*CV34</f>
        <v>4018.5</v>
      </c>
      <c r="CW54" s="42">
        <f t="shared" si="101"/>
        <v>4061.25</v>
      </c>
      <c r="CX54" s="42">
        <f t="shared" si="101"/>
        <v>4104</v>
      </c>
      <c r="CY54" s="42">
        <f t="shared" si="101"/>
        <v>4146.75</v>
      </c>
      <c r="CZ54" s="42">
        <f t="shared" si="101"/>
        <v>4189.5</v>
      </c>
      <c r="DA54" s="42">
        <f t="shared" si="101"/>
        <v>4232.25</v>
      </c>
      <c r="DB54" s="42">
        <f t="shared" si="101"/>
        <v>4275</v>
      </c>
      <c r="DC54" s="42">
        <f t="shared" si="101"/>
        <v>4317.75</v>
      </c>
      <c r="DD54" s="42">
        <f t="shared" si="101"/>
        <v>4360.5</v>
      </c>
      <c r="DE54" s="42">
        <f t="shared" si="101"/>
        <v>4403.25</v>
      </c>
      <c r="DF54" s="42">
        <f t="shared" si="101"/>
        <v>4446</v>
      </c>
      <c r="DG54" s="42">
        <f t="shared" si="101"/>
        <v>4488.75</v>
      </c>
      <c r="DH54" s="42">
        <f t="shared" si="101"/>
        <v>4531.5</v>
      </c>
      <c r="DI54" s="42">
        <f t="shared" si="101"/>
        <v>4574.25</v>
      </c>
      <c r="DJ54" s="42">
        <f t="shared" si="101"/>
        <v>4617</v>
      </c>
      <c r="DK54" s="42">
        <f t="shared" si="101"/>
        <v>4659.75</v>
      </c>
      <c r="DL54" s="42">
        <f t="shared" si="101"/>
        <v>4702.5</v>
      </c>
      <c r="DM54" s="42">
        <f t="shared" si="101"/>
        <v>4745.25</v>
      </c>
      <c r="DN54" s="42">
        <f t="shared" si="101"/>
        <v>4788</v>
      </c>
      <c r="DO54" s="42">
        <f t="shared" si="101"/>
        <v>4830.75</v>
      </c>
      <c r="DP54" s="42">
        <f t="shared" si="101"/>
        <v>4873.5</v>
      </c>
      <c r="DQ54" s="42">
        <f t="shared" si="101"/>
        <v>4916.25</v>
      </c>
      <c r="DR54" s="42">
        <f t="shared" ref="DR54:GC54" si="102">$B$54*$A$35*DR34</f>
        <v>4959</v>
      </c>
      <c r="DS54" s="42">
        <f t="shared" si="102"/>
        <v>5001.75</v>
      </c>
      <c r="DT54" s="42">
        <f t="shared" si="102"/>
        <v>5044.5</v>
      </c>
      <c r="DU54" s="42">
        <f t="shared" si="102"/>
        <v>5087.25</v>
      </c>
      <c r="DV54" s="42">
        <f t="shared" si="102"/>
        <v>5130</v>
      </c>
      <c r="DW54" s="42">
        <f t="shared" si="102"/>
        <v>5172.75</v>
      </c>
      <c r="DX54" s="42">
        <f t="shared" si="102"/>
        <v>5215.5</v>
      </c>
      <c r="DY54" s="42">
        <f t="shared" si="102"/>
        <v>5258.25</v>
      </c>
      <c r="DZ54" s="42">
        <f t="shared" si="102"/>
        <v>5301</v>
      </c>
      <c r="EA54" s="42">
        <f t="shared" si="102"/>
        <v>5343.75</v>
      </c>
      <c r="EB54" s="42">
        <f t="shared" si="102"/>
        <v>5386.5</v>
      </c>
      <c r="EC54" s="42">
        <f t="shared" si="102"/>
        <v>5429.25</v>
      </c>
      <c r="ED54" s="42">
        <f t="shared" si="102"/>
        <v>5472</v>
      </c>
      <c r="EE54" s="42">
        <f t="shared" si="102"/>
        <v>5514.75</v>
      </c>
      <c r="EF54" s="42">
        <f t="shared" si="102"/>
        <v>5557.5</v>
      </c>
      <c r="EG54" s="42">
        <f t="shared" si="102"/>
        <v>5600.25</v>
      </c>
      <c r="EH54" s="42">
        <f t="shared" si="102"/>
        <v>5643</v>
      </c>
      <c r="EI54" s="42">
        <f t="shared" si="102"/>
        <v>5685.75</v>
      </c>
      <c r="EJ54" s="42">
        <f t="shared" si="102"/>
        <v>5728.5</v>
      </c>
      <c r="EK54" s="42">
        <f t="shared" si="102"/>
        <v>5771.25</v>
      </c>
      <c r="EL54" s="42">
        <f t="shared" si="102"/>
        <v>5814</v>
      </c>
      <c r="EM54" s="42">
        <f t="shared" si="102"/>
        <v>5856.75</v>
      </c>
      <c r="EN54" s="42">
        <f t="shared" si="102"/>
        <v>5899.5</v>
      </c>
      <c r="EO54" s="42">
        <f t="shared" si="102"/>
        <v>5942.25</v>
      </c>
      <c r="EP54" s="42">
        <f t="shared" si="102"/>
        <v>5985</v>
      </c>
      <c r="EQ54" s="42">
        <f t="shared" si="102"/>
        <v>6027.75</v>
      </c>
      <c r="ER54" s="42">
        <f t="shared" si="102"/>
        <v>6070.5</v>
      </c>
      <c r="ES54" s="42">
        <f t="shared" si="102"/>
        <v>6113.25</v>
      </c>
      <c r="ET54" s="42">
        <f t="shared" si="102"/>
        <v>6156</v>
      </c>
      <c r="EU54" s="42">
        <f t="shared" si="102"/>
        <v>6198.75</v>
      </c>
      <c r="EV54" s="42">
        <f t="shared" si="102"/>
        <v>6241.5</v>
      </c>
      <c r="EW54" s="42">
        <f t="shared" si="102"/>
        <v>6284.25</v>
      </c>
      <c r="EX54" s="42">
        <f t="shared" si="102"/>
        <v>6327</v>
      </c>
      <c r="EY54" s="42">
        <f t="shared" si="102"/>
        <v>6369.75</v>
      </c>
      <c r="EZ54" s="42">
        <f t="shared" si="102"/>
        <v>6412.5</v>
      </c>
      <c r="FA54" s="42">
        <f t="shared" si="102"/>
        <v>6455.25</v>
      </c>
      <c r="FB54" s="42">
        <f t="shared" si="102"/>
        <v>6498</v>
      </c>
      <c r="FC54" s="42">
        <f t="shared" si="102"/>
        <v>6540.75</v>
      </c>
      <c r="FD54" s="42">
        <f t="shared" si="102"/>
        <v>6583.5</v>
      </c>
      <c r="FE54" s="42">
        <f t="shared" si="102"/>
        <v>6626.25</v>
      </c>
      <c r="FF54" s="42">
        <f t="shared" si="102"/>
        <v>6669</v>
      </c>
      <c r="FG54" s="42">
        <f t="shared" si="102"/>
        <v>6711.75</v>
      </c>
      <c r="FH54" s="42">
        <f t="shared" si="102"/>
        <v>6754.5</v>
      </c>
      <c r="FI54" s="42">
        <f t="shared" si="102"/>
        <v>6797.25</v>
      </c>
      <c r="FJ54" s="42">
        <f t="shared" si="102"/>
        <v>6840</v>
      </c>
      <c r="FK54" s="42">
        <f t="shared" si="102"/>
        <v>6882.75</v>
      </c>
      <c r="FL54" s="42">
        <f t="shared" si="102"/>
        <v>6925.5</v>
      </c>
      <c r="FM54" s="42">
        <f t="shared" si="102"/>
        <v>6968.25</v>
      </c>
      <c r="FN54" s="42">
        <f t="shared" si="102"/>
        <v>7011</v>
      </c>
      <c r="FO54" s="42">
        <f t="shared" si="102"/>
        <v>7053.75</v>
      </c>
      <c r="FP54" s="42">
        <f t="shared" si="102"/>
        <v>7096.5</v>
      </c>
      <c r="FQ54" s="42">
        <f t="shared" si="102"/>
        <v>7139.25</v>
      </c>
      <c r="FR54" s="42">
        <f t="shared" si="102"/>
        <v>7182</v>
      </c>
      <c r="FS54" s="42">
        <f t="shared" si="102"/>
        <v>7224.75</v>
      </c>
      <c r="FT54" s="42">
        <f t="shared" si="102"/>
        <v>7267.5</v>
      </c>
      <c r="FU54" s="42">
        <f t="shared" si="102"/>
        <v>7310.25</v>
      </c>
      <c r="FV54" s="42">
        <f t="shared" si="102"/>
        <v>7353</v>
      </c>
      <c r="FW54" s="42">
        <f t="shared" si="102"/>
        <v>7395.75</v>
      </c>
      <c r="FX54" s="42">
        <f t="shared" si="102"/>
        <v>7438.5</v>
      </c>
      <c r="FY54" s="42">
        <f t="shared" si="102"/>
        <v>7481.25</v>
      </c>
      <c r="FZ54" s="42">
        <f t="shared" si="102"/>
        <v>7524</v>
      </c>
      <c r="GA54" s="42">
        <f t="shared" si="102"/>
        <v>7566.75</v>
      </c>
      <c r="GB54" s="42">
        <f t="shared" si="102"/>
        <v>7609.5</v>
      </c>
      <c r="GC54" s="42">
        <f t="shared" si="102"/>
        <v>7652.25</v>
      </c>
      <c r="GD54" s="42">
        <f t="shared" ref="GD54:GI54" si="103">$B$54*$A$35*GD34</f>
        <v>7695</v>
      </c>
      <c r="GE54" s="42">
        <f t="shared" si="103"/>
        <v>7737.75</v>
      </c>
      <c r="GF54" s="42">
        <f t="shared" si="103"/>
        <v>7780.5</v>
      </c>
      <c r="GG54" s="42">
        <f t="shared" si="103"/>
        <v>7823.25</v>
      </c>
      <c r="GH54" s="42">
        <f t="shared" si="103"/>
        <v>7866</v>
      </c>
      <c r="GI54" s="42">
        <f t="shared" si="103"/>
        <v>7908.75</v>
      </c>
    </row>
    <row r="55" spans="1:191">
      <c r="B55" s="30">
        <v>10</v>
      </c>
      <c r="C55" s="30">
        <f t="shared" si="78"/>
        <v>12</v>
      </c>
      <c r="G55" s="42">
        <f>$B$55*$A$35*G34</f>
        <v>45</v>
      </c>
      <c r="H55" s="42">
        <f t="shared" ref="H55:BS55" si="104">$B$55*$A$35*H34</f>
        <v>90</v>
      </c>
      <c r="I55" s="42">
        <f t="shared" si="104"/>
        <v>135</v>
      </c>
      <c r="J55" s="42">
        <f t="shared" si="104"/>
        <v>180</v>
      </c>
      <c r="K55" s="42">
        <f t="shared" si="104"/>
        <v>225</v>
      </c>
      <c r="L55" s="42">
        <f t="shared" si="104"/>
        <v>270</v>
      </c>
      <c r="M55" s="42">
        <f t="shared" si="104"/>
        <v>315</v>
      </c>
      <c r="N55" s="42">
        <f t="shared" si="104"/>
        <v>360</v>
      </c>
      <c r="O55" s="42">
        <f t="shared" si="104"/>
        <v>405</v>
      </c>
      <c r="P55" s="42">
        <f t="shared" si="104"/>
        <v>450</v>
      </c>
      <c r="Q55" s="42">
        <f t="shared" si="104"/>
        <v>495</v>
      </c>
      <c r="R55" s="42">
        <f t="shared" si="104"/>
        <v>540</v>
      </c>
      <c r="S55" s="42">
        <f t="shared" si="104"/>
        <v>585</v>
      </c>
      <c r="T55" s="42">
        <f t="shared" si="104"/>
        <v>630</v>
      </c>
      <c r="U55" s="42">
        <f t="shared" si="104"/>
        <v>675</v>
      </c>
      <c r="V55" s="42">
        <f t="shared" si="104"/>
        <v>720</v>
      </c>
      <c r="W55" s="42">
        <f t="shared" si="104"/>
        <v>765</v>
      </c>
      <c r="X55" s="42">
        <f t="shared" si="104"/>
        <v>810</v>
      </c>
      <c r="Y55" s="42">
        <f t="shared" si="104"/>
        <v>855</v>
      </c>
      <c r="Z55" s="42">
        <f t="shared" si="104"/>
        <v>900</v>
      </c>
      <c r="AA55" s="42">
        <f t="shared" si="104"/>
        <v>945</v>
      </c>
      <c r="AB55" s="42">
        <f t="shared" si="104"/>
        <v>990</v>
      </c>
      <c r="AC55" s="42">
        <f t="shared" si="104"/>
        <v>1035</v>
      </c>
      <c r="AD55" s="42">
        <f t="shared" si="104"/>
        <v>1080</v>
      </c>
      <c r="AE55" s="42">
        <f t="shared" si="104"/>
        <v>1125</v>
      </c>
      <c r="AF55" s="42">
        <f t="shared" si="104"/>
        <v>1170</v>
      </c>
      <c r="AG55" s="42">
        <f t="shared" si="104"/>
        <v>1215</v>
      </c>
      <c r="AH55" s="42">
        <f t="shared" si="104"/>
        <v>1260</v>
      </c>
      <c r="AI55" s="42">
        <f t="shared" si="104"/>
        <v>1305</v>
      </c>
      <c r="AJ55" s="42">
        <f t="shared" si="104"/>
        <v>1350</v>
      </c>
      <c r="AK55" s="42">
        <f t="shared" si="104"/>
        <v>1395</v>
      </c>
      <c r="AL55" s="42">
        <f t="shared" si="104"/>
        <v>1440</v>
      </c>
      <c r="AM55" s="42">
        <f t="shared" si="104"/>
        <v>1485</v>
      </c>
      <c r="AN55" s="42">
        <f t="shared" si="104"/>
        <v>1530</v>
      </c>
      <c r="AO55" s="42">
        <f t="shared" si="104"/>
        <v>1575</v>
      </c>
      <c r="AP55" s="42">
        <f t="shared" si="104"/>
        <v>1620</v>
      </c>
      <c r="AQ55" s="42">
        <f t="shared" si="104"/>
        <v>1665</v>
      </c>
      <c r="AR55" s="42">
        <f t="shared" si="104"/>
        <v>1710</v>
      </c>
      <c r="AS55" s="42">
        <f t="shared" si="104"/>
        <v>1755</v>
      </c>
      <c r="AT55" s="42">
        <f t="shared" si="104"/>
        <v>1800</v>
      </c>
      <c r="AU55" s="42">
        <f t="shared" si="104"/>
        <v>1845</v>
      </c>
      <c r="AV55" s="42">
        <f t="shared" si="104"/>
        <v>1890</v>
      </c>
      <c r="AW55" s="42">
        <f t="shared" si="104"/>
        <v>1935</v>
      </c>
      <c r="AX55" s="42">
        <f t="shared" si="104"/>
        <v>1980</v>
      </c>
      <c r="AY55" s="42">
        <f t="shared" si="104"/>
        <v>2025</v>
      </c>
      <c r="AZ55" s="42">
        <f t="shared" si="104"/>
        <v>2070</v>
      </c>
      <c r="BA55" s="42">
        <f t="shared" si="104"/>
        <v>2115</v>
      </c>
      <c r="BB55" s="42">
        <f t="shared" si="104"/>
        <v>2160</v>
      </c>
      <c r="BC55" s="42">
        <f t="shared" si="104"/>
        <v>2205</v>
      </c>
      <c r="BD55" s="42">
        <f t="shared" si="104"/>
        <v>2250</v>
      </c>
      <c r="BE55" s="42">
        <f t="shared" si="104"/>
        <v>2295</v>
      </c>
      <c r="BF55" s="42">
        <f t="shared" si="104"/>
        <v>2340</v>
      </c>
      <c r="BG55" s="42">
        <f t="shared" si="104"/>
        <v>2385</v>
      </c>
      <c r="BH55" s="42">
        <f t="shared" si="104"/>
        <v>2430</v>
      </c>
      <c r="BI55" s="42">
        <f t="shared" si="104"/>
        <v>2475</v>
      </c>
      <c r="BJ55" s="42">
        <f t="shared" si="104"/>
        <v>2520</v>
      </c>
      <c r="BK55" s="42">
        <f t="shared" si="104"/>
        <v>2565</v>
      </c>
      <c r="BL55" s="42">
        <f t="shared" si="104"/>
        <v>2610</v>
      </c>
      <c r="BM55" s="42">
        <f t="shared" si="104"/>
        <v>2655</v>
      </c>
      <c r="BN55" s="42">
        <f t="shared" si="104"/>
        <v>2700</v>
      </c>
      <c r="BO55" s="42">
        <f t="shared" si="104"/>
        <v>2745</v>
      </c>
      <c r="BP55" s="42">
        <f t="shared" si="104"/>
        <v>2790</v>
      </c>
      <c r="BQ55" s="42">
        <f t="shared" si="104"/>
        <v>2835</v>
      </c>
      <c r="BR55" s="42">
        <f t="shared" si="104"/>
        <v>2880</v>
      </c>
      <c r="BS55" s="42">
        <f t="shared" si="104"/>
        <v>2925</v>
      </c>
      <c r="BT55" s="42">
        <f t="shared" ref="BT55:CU55" si="105">$B$55*$A$35*BT34</f>
        <v>2970</v>
      </c>
      <c r="BU55" s="42">
        <f t="shared" si="105"/>
        <v>3015</v>
      </c>
      <c r="BV55" s="42">
        <f t="shared" si="105"/>
        <v>3060</v>
      </c>
      <c r="BW55" s="42">
        <f t="shared" si="105"/>
        <v>3105</v>
      </c>
      <c r="BX55" s="42">
        <f t="shared" si="105"/>
        <v>3150</v>
      </c>
      <c r="BY55" s="42">
        <f t="shared" si="105"/>
        <v>3195</v>
      </c>
      <c r="BZ55" s="42">
        <f t="shared" si="105"/>
        <v>3240</v>
      </c>
      <c r="CA55" s="42">
        <f t="shared" si="105"/>
        <v>3285</v>
      </c>
      <c r="CB55" s="42">
        <f t="shared" si="105"/>
        <v>3330</v>
      </c>
      <c r="CC55" s="42">
        <f t="shared" si="105"/>
        <v>3375</v>
      </c>
      <c r="CD55" s="42">
        <f t="shared" si="105"/>
        <v>3420</v>
      </c>
      <c r="CE55" s="42">
        <f t="shared" si="105"/>
        <v>3465</v>
      </c>
      <c r="CF55" s="42">
        <f t="shared" si="105"/>
        <v>3510</v>
      </c>
      <c r="CG55" s="42">
        <f t="shared" si="105"/>
        <v>3555</v>
      </c>
      <c r="CH55" s="42">
        <f t="shared" si="105"/>
        <v>3600</v>
      </c>
      <c r="CI55" s="42">
        <f t="shared" si="105"/>
        <v>3645</v>
      </c>
      <c r="CJ55" s="42">
        <f t="shared" si="105"/>
        <v>3690</v>
      </c>
      <c r="CK55" s="42">
        <f t="shared" si="105"/>
        <v>3735</v>
      </c>
      <c r="CL55" s="42">
        <f t="shared" si="105"/>
        <v>3780</v>
      </c>
      <c r="CM55" s="42">
        <f t="shared" si="105"/>
        <v>3825</v>
      </c>
      <c r="CN55" s="42">
        <f t="shared" si="105"/>
        <v>3870</v>
      </c>
      <c r="CO55" s="42">
        <f t="shared" si="105"/>
        <v>3915</v>
      </c>
      <c r="CP55" s="42">
        <f t="shared" si="105"/>
        <v>3960</v>
      </c>
      <c r="CQ55" s="42">
        <f t="shared" si="105"/>
        <v>4005</v>
      </c>
      <c r="CR55" s="42">
        <f t="shared" si="105"/>
        <v>4050</v>
      </c>
      <c r="CS55" s="42">
        <f t="shared" si="105"/>
        <v>4095</v>
      </c>
      <c r="CT55" s="42">
        <f t="shared" si="105"/>
        <v>4140</v>
      </c>
      <c r="CU55" s="42">
        <f t="shared" si="105"/>
        <v>4185</v>
      </c>
      <c r="CV55" s="42">
        <f t="shared" ref="CV55:DQ55" si="106">$B$55*$A$35*CV34</f>
        <v>4230</v>
      </c>
      <c r="CW55" s="42">
        <f t="shared" si="106"/>
        <v>4275</v>
      </c>
      <c r="CX55" s="42">
        <f t="shared" si="106"/>
        <v>4320</v>
      </c>
      <c r="CY55" s="42">
        <f t="shared" si="106"/>
        <v>4365</v>
      </c>
      <c r="CZ55" s="42">
        <f t="shared" si="106"/>
        <v>4410</v>
      </c>
      <c r="DA55" s="42">
        <f t="shared" si="106"/>
        <v>4455</v>
      </c>
      <c r="DB55" s="42">
        <f t="shared" si="106"/>
        <v>4500</v>
      </c>
      <c r="DC55" s="42">
        <f t="shared" si="106"/>
        <v>4545</v>
      </c>
      <c r="DD55" s="42">
        <f t="shared" si="106"/>
        <v>4590</v>
      </c>
      <c r="DE55" s="42">
        <f t="shared" si="106"/>
        <v>4635</v>
      </c>
      <c r="DF55" s="42">
        <f t="shared" si="106"/>
        <v>4680</v>
      </c>
      <c r="DG55" s="42">
        <f t="shared" si="106"/>
        <v>4725</v>
      </c>
      <c r="DH55" s="42">
        <f t="shared" si="106"/>
        <v>4770</v>
      </c>
      <c r="DI55" s="42">
        <f t="shared" si="106"/>
        <v>4815</v>
      </c>
      <c r="DJ55" s="42">
        <f t="shared" si="106"/>
        <v>4860</v>
      </c>
      <c r="DK55" s="42">
        <f t="shared" si="106"/>
        <v>4905</v>
      </c>
      <c r="DL55" s="42">
        <f t="shared" si="106"/>
        <v>4950</v>
      </c>
      <c r="DM55" s="42">
        <f t="shared" si="106"/>
        <v>4995</v>
      </c>
      <c r="DN55" s="42">
        <f t="shared" si="106"/>
        <v>5040</v>
      </c>
      <c r="DO55" s="42">
        <f t="shared" si="106"/>
        <v>5085</v>
      </c>
      <c r="DP55" s="42">
        <f t="shared" si="106"/>
        <v>5130</v>
      </c>
      <c r="DQ55" s="42">
        <f t="shared" si="106"/>
        <v>5175</v>
      </c>
      <c r="DR55" s="42">
        <f t="shared" ref="DR55:GC55" si="107">$B$55*$A$35*DR34</f>
        <v>5220</v>
      </c>
      <c r="DS55" s="42">
        <f t="shared" si="107"/>
        <v>5265</v>
      </c>
      <c r="DT55" s="42">
        <f t="shared" si="107"/>
        <v>5310</v>
      </c>
      <c r="DU55" s="42">
        <f t="shared" si="107"/>
        <v>5355</v>
      </c>
      <c r="DV55" s="42">
        <f t="shared" si="107"/>
        <v>5400</v>
      </c>
      <c r="DW55" s="42">
        <f t="shared" si="107"/>
        <v>5445</v>
      </c>
      <c r="DX55" s="42">
        <f t="shared" si="107"/>
        <v>5490</v>
      </c>
      <c r="DY55" s="42">
        <f t="shared" si="107"/>
        <v>5535</v>
      </c>
      <c r="DZ55" s="42">
        <f t="shared" si="107"/>
        <v>5580</v>
      </c>
      <c r="EA55" s="42">
        <f t="shared" si="107"/>
        <v>5625</v>
      </c>
      <c r="EB55" s="42">
        <f t="shared" si="107"/>
        <v>5670</v>
      </c>
      <c r="EC55" s="42">
        <f t="shared" si="107"/>
        <v>5715</v>
      </c>
      <c r="ED55" s="42">
        <f t="shared" si="107"/>
        <v>5760</v>
      </c>
      <c r="EE55" s="42">
        <f t="shared" si="107"/>
        <v>5805</v>
      </c>
      <c r="EF55" s="42">
        <f t="shared" si="107"/>
        <v>5850</v>
      </c>
      <c r="EG55" s="42">
        <f t="shared" si="107"/>
        <v>5895</v>
      </c>
      <c r="EH55" s="42">
        <f t="shared" si="107"/>
        <v>5940</v>
      </c>
      <c r="EI55" s="42">
        <f t="shared" si="107"/>
        <v>5985</v>
      </c>
      <c r="EJ55" s="42">
        <f t="shared" si="107"/>
        <v>6030</v>
      </c>
      <c r="EK55" s="42">
        <f t="shared" si="107"/>
        <v>6075</v>
      </c>
      <c r="EL55" s="42">
        <f t="shared" si="107"/>
        <v>6120</v>
      </c>
      <c r="EM55" s="42">
        <f t="shared" si="107"/>
        <v>6165</v>
      </c>
      <c r="EN55" s="42">
        <f t="shared" si="107"/>
        <v>6210</v>
      </c>
      <c r="EO55" s="42">
        <f t="shared" si="107"/>
        <v>6255</v>
      </c>
      <c r="EP55" s="42">
        <f t="shared" si="107"/>
        <v>6300</v>
      </c>
      <c r="EQ55" s="42">
        <f t="shared" si="107"/>
        <v>6345</v>
      </c>
      <c r="ER55" s="42">
        <f t="shared" si="107"/>
        <v>6390</v>
      </c>
      <c r="ES55" s="42">
        <f t="shared" si="107"/>
        <v>6435</v>
      </c>
      <c r="ET55" s="42">
        <f t="shared" si="107"/>
        <v>6480</v>
      </c>
      <c r="EU55" s="42">
        <f t="shared" si="107"/>
        <v>6525</v>
      </c>
      <c r="EV55" s="42">
        <f t="shared" si="107"/>
        <v>6570</v>
      </c>
      <c r="EW55" s="42">
        <f t="shared" si="107"/>
        <v>6615</v>
      </c>
      <c r="EX55" s="42">
        <f t="shared" si="107"/>
        <v>6660</v>
      </c>
      <c r="EY55" s="42">
        <f t="shared" si="107"/>
        <v>6705</v>
      </c>
      <c r="EZ55" s="42">
        <f t="shared" si="107"/>
        <v>6750</v>
      </c>
      <c r="FA55" s="42">
        <f t="shared" si="107"/>
        <v>6795</v>
      </c>
      <c r="FB55" s="42">
        <f t="shared" si="107"/>
        <v>6840</v>
      </c>
      <c r="FC55" s="42">
        <f t="shared" si="107"/>
        <v>6885</v>
      </c>
      <c r="FD55" s="42">
        <f t="shared" si="107"/>
        <v>6930</v>
      </c>
      <c r="FE55" s="42">
        <f t="shared" si="107"/>
        <v>6975</v>
      </c>
      <c r="FF55" s="42">
        <f t="shared" si="107"/>
        <v>7020</v>
      </c>
      <c r="FG55" s="42">
        <f t="shared" si="107"/>
        <v>7065</v>
      </c>
      <c r="FH55" s="42">
        <f t="shared" si="107"/>
        <v>7110</v>
      </c>
      <c r="FI55" s="42">
        <f t="shared" si="107"/>
        <v>7155</v>
      </c>
      <c r="FJ55" s="42">
        <f t="shared" si="107"/>
        <v>7200</v>
      </c>
      <c r="FK55" s="42">
        <f t="shared" si="107"/>
        <v>7245</v>
      </c>
      <c r="FL55" s="42">
        <f t="shared" si="107"/>
        <v>7290</v>
      </c>
      <c r="FM55" s="42">
        <f t="shared" si="107"/>
        <v>7335</v>
      </c>
      <c r="FN55" s="42">
        <f t="shared" si="107"/>
        <v>7380</v>
      </c>
      <c r="FO55" s="42">
        <f t="shared" si="107"/>
        <v>7425</v>
      </c>
      <c r="FP55" s="42">
        <f t="shared" si="107"/>
        <v>7470</v>
      </c>
      <c r="FQ55" s="42">
        <f t="shared" si="107"/>
        <v>7515</v>
      </c>
      <c r="FR55" s="42">
        <f t="shared" si="107"/>
        <v>7560</v>
      </c>
      <c r="FS55" s="42">
        <f t="shared" si="107"/>
        <v>7605</v>
      </c>
      <c r="FT55" s="42">
        <f t="shared" si="107"/>
        <v>7650</v>
      </c>
      <c r="FU55" s="42">
        <f t="shared" si="107"/>
        <v>7695</v>
      </c>
      <c r="FV55" s="42">
        <f t="shared" si="107"/>
        <v>7740</v>
      </c>
      <c r="FW55" s="42">
        <f t="shared" si="107"/>
        <v>7785</v>
      </c>
      <c r="FX55" s="42">
        <f t="shared" si="107"/>
        <v>7830</v>
      </c>
      <c r="FY55" s="42">
        <f t="shared" si="107"/>
        <v>7875</v>
      </c>
      <c r="FZ55" s="42">
        <f t="shared" si="107"/>
        <v>7920</v>
      </c>
      <c r="GA55" s="42">
        <f t="shared" si="107"/>
        <v>7965</v>
      </c>
      <c r="GB55" s="42">
        <f t="shared" si="107"/>
        <v>8010</v>
      </c>
      <c r="GC55" s="42">
        <f t="shared" si="107"/>
        <v>8055</v>
      </c>
      <c r="GD55" s="42">
        <f t="shared" ref="GD55:GI55" si="108">$B$55*$A$35*GD34</f>
        <v>8100</v>
      </c>
      <c r="GE55" s="42">
        <f t="shared" si="108"/>
        <v>8145</v>
      </c>
      <c r="GF55" s="42">
        <f t="shared" si="108"/>
        <v>8190</v>
      </c>
      <c r="GG55" s="42">
        <f t="shared" si="108"/>
        <v>8235</v>
      </c>
      <c r="GH55" s="42">
        <f t="shared" si="108"/>
        <v>8280</v>
      </c>
      <c r="GI55" s="42">
        <f t="shared" si="108"/>
        <v>8325</v>
      </c>
    </row>
    <row r="56" spans="1:191">
      <c r="B56" s="30">
        <v>10.5</v>
      </c>
      <c r="C56" s="30">
        <f t="shared" si="78"/>
        <v>12.5</v>
      </c>
      <c r="G56" s="42">
        <f>$B$56*$A$35*G34</f>
        <v>47.25</v>
      </c>
      <c r="H56" s="42">
        <f t="shared" ref="H56:BS56" si="109">$B$56*$A$35*H34</f>
        <v>94.5</v>
      </c>
      <c r="I56" s="42">
        <f t="shared" si="109"/>
        <v>141.75</v>
      </c>
      <c r="J56" s="42">
        <f t="shared" si="109"/>
        <v>189</v>
      </c>
      <c r="K56" s="42">
        <f t="shared" si="109"/>
        <v>236.25</v>
      </c>
      <c r="L56" s="42">
        <f t="shared" si="109"/>
        <v>283.5</v>
      </c>
      <c r="M56" s="42">
        <f t="shared" si="109"/>
        <v>330.75</v>
      </c>
      <c r="N56" s="42">
        <f t="shared" si="109"/>
        <v>378</v>
      </c>
      <c r="O56" s="42">
        <f t="shared" si="109"/>
        <v>425.25</v>
      </c>
      <c r="P56" s="42">
        <f t="shared" si="109"/>
        <v>472.5</v>
      </c>
      <c r="Q56" s="42">
        <f t="shared" si="109"/>
        <v>519.75</v>
      </c>
      <c r="R56" s="42">
        <f t="shared" si="109"/>
        <v>567</v>
      </c>
      <c r="S56" s="42">
        <f t="shared" si="109"/>
        <v>614.25</v>
      </c>
      <c r="T56" s="42">
        <f t="shared" si="109"/>
        <v>661.5</v>
      </c>
      <c r="U56" s="42">
        <f t="shared" si="109"/>
        <v>708.75</v>
      </c>
      <c r="V56" s="42">
        <f t="shared" si="109"/>
        <v>756</v>
      </c>
      <c r="W56" s="42">
        <f t="shared" si="109"/>
        <v>803.25</v>
      </c>
      <c r="X56" s="42">
        <f t="shared" si="109"/>
        <v>850.5</v>
      </c>
      <c r="Y56" s="42">
        <f t="shared" si="109"/>
        <v>897.75</v>
      </c>
      <c r="Z56" s="42">
        <f t="shared" si="109"/>
        <v>945</v>
      </c>
      <c r="AA56" s="42">
        <f t="shared" si="109"/>
        <v>992.25</v>
      </c>
      <c r="AB56" s="42">
        <f t="shared" si="109"/>
        <v>1039.5</v>
      </c>
      <c r="AC56" s="42">
        <f t="shared" si="109"/>
        <v>1086.75</v>
      </c>
      <c r="AD56" s="42">
        <f t="shared" si="109"/>
        <v>1134</v>
      </c>
      <c r="AE56" s="42">
        <f t="shared" si="109"/>
        <v>1181.25</v>
      </c>
      <c r="AF56" s="42">
        <f t="shared" si="109"/>
        <v>1228.5</v>
      </c>
      <c r="AG56" s="42">
        <f t="shared" si="109"/>
        <v>1275.75</v>
      </c>
      <c r="AH56" s="42">
        <f t="shared" si="109"/>
        <v>1323</v>
      </c>
      <c r="AI56" s="42">
        <f t="shared" si="109"/>
        <v>1370.25</v>
      </c>
      <c r="AJ56" s="42">
        <f t="shared" si="109"/>
        <v>1417.5</v>
      </c>
      <c r="AK56" s="42">
        <f t="shared" si="109"/>
        <v>1464.75</v>
      </c>
      <c r="AL56" s="42">
        <f t="shared" si="109"/>
        <v>1512</v>
      </c>
      <c r="AM56" s="42">
        <f t="shared" si="109"/>
        <v>1559.25</v>
      </c>
      <c r="AN56" s="42">
        <f t="shared" si="109"/>
        <v>1606.5</v>
      </c>
      <c r="AO56" s="42">
        <f t="shared" si="109"/>
        <v>1653.75</v>
      </c>
      <c r="AP56" s="42">
        <f t="shared" si="109"/>
        <v>1701</v>
      </c>
      <c r="AQ56" s="42">
        <f t="shared" si="109"/>
        <v>1748.25</v>
      </c>
      <c r="AR56" s="42">
        <f t="shared" si="109"/>
        <v>1795.5</v>
      </c>
      <c r="AS56" s="42">
        <f t="shared" si="109"/>
        <v>1842.75</v>
      </c>
      <c r="AT56" s="42">
        <f t="shared" si="109"/>
        <v>1890</v>
      </c>
      <c r="AU56" s="42">
        <f t="shared" si="109"/>
        <v>1937.25</v>
      </c>
      <c r="AV56" s="42">
        <f t="shared" si="109"/>
        <v>1984.5</v>
      </c>
      <c r="AW56" s="42">
        <f t="shared" si="109"/>
        <v>2031.75</v>
      </c>
      <c r="AX56" s="42">
        <f t="shared" si="109"/>
        <v>2079</v>
      </c>
      <c r="AY56" s="42">
        <f t="shared" si="109"/>
        <v>2126.25</v>
      </c>
      <c r="AZ56" s="42">
        <f t="shared" si="109"/>
        <v>2173.5</v>
      </c>
      <c r="BA56" s="42">
        <f t="shared" si="109"/>
        <v>2220.75</v>
      </c>
      <c r="BB56" s="42">
        <f t="shared" si="109"/>
        <v>2268</v>
      </c>
      <c r="BC56" s="42">
        <f t="shared" si="109"/>
        <v>2315.25</v>
      </c>
      <c r="BD56" s="42">
        <f t="shared" si="109"/>
        <v>2362.5</v>
      </c>
      <c r="BE56" s="42">
        <f t="shared" si="109"/>
        <v>2409.75</v>
      </c>
      <c r="BF56" s="42">
        <f t="shared" si="109"/>
        <v>2457</v>
      </c>
      <c r="BG56" s="42">
        <f t="shared" si="109"/>
        <v>2504.25</v>
      </c>
      <c r="BH56" s="42">
        <f t="shared" si="109"/>
        <v>2551.5</v>
      </c>
      <c r="BI56" s="42">
        <f t="shared" si="109"/>
        <v>2598.75</v>
      </c>
      <c r="BJ56" s="42">
        <f t="shared" si="109"/>
        <v>2646</v>
      </c>
      <c r="BK56" s="42">
        <f t="shared" si="109"/>
        <v>2693.25</v>
      </c>
      <c r="BL56" s="42">
        <f t="shared" si="109"/>
        <v>2740.5</v>
      </c>
      <c r="BM56" s="42">
        <f t="shared" si="109"/>
        <v>2787.75</v>
      </c>
      <c r="BN56" s="42">
        <f t="shared" si="109"/>
        <v>2835</v>
      </c>
      <c r="BO56" s="42">
        <f t="shared" si="109"/>
        <v>2882.25</v>
      </c>
      <c r="BP56" s="42">
        <f t="shared" si="109"/>
        <v>2929.5</v>
      </c>
      <c r="BQ56" s="42">
        <f t="shared" si="109"/>
        <v>2976.75</v>
      </c>
      <c r="BR56" s="42">
        <f t="shared" si="109"/>
        <v>3024</v>
      </c>
      <c r="BS56" s="42">
        <f t="shared" si="109"/>
        <v>3071.25</v>
      </c>
      <c r="BT56" s="42">
        <f t="shared" ref="BT56:CU56" si="110">$B$56*$A$35*BT34</f>
        <v>3118.5</v>
      </c>
      <c r="BU56" s="42">
        <f t="shared" si="110"/>
        <v>3165.75</v>
      </c>
      <c r="BV56" s="42">
        <f t="shared" si="110"/>
        <v>3213</v>
      </c>
      <c r="BW56" s="42">
        <f t="shared" si="110"/>
        <v>3260.25</v>
      </c>
      <c r="BX56" s="42">
        <f t="shared" si="110"/>
        <v>3307.5</v>
      </c>
      <c r="BY56" s="42">
        <f t="shared" si="110"/>
        <v>3354.75</v>
      </c>
      <c r="BZ56" s="42">
        <f t="shared" si="110"/>
        <v>3402</v>
      </c>
      <c r="CA56" s="42">
        <f t="shared" si="110"/>
        <v>3449.25</v>
      </c>
      <c r="CB56" s="42">
        <f t="shared" si="110"/>
        <v>3496.5</v>
      </c>
      <c r="CC56" s="42">
        <f t="shared" si="110"/>
        <v>3543.75</v>
      </c>
      <c r="CD56" s="42">
        <f t="shared" si="110"/>
        <v>3591</v>
      </c>
      <c r="CE56" s="42">
        <f t="shared" si="110"/>
        <v>3638.25</v>
      </c>
      <c r="CF56" s="42">
        <f t="shared" si="110"/>
        <v>3685.5</v>
      </c>
      <c r="CG56" s="42">
        <f t="shared" si="110"/>
        <v>3732.75</v>
      </c>
      <c r="CH56" s="42">
        <f t="shared" si="110"/>
        <v>3780</v>
      </c>
      <c r="CI56" s="42">
        <f t="shared" si="110"/>
        <v>3827.25</v>
      </c>
      <c r="CJ56" s="42">
        <f t="shared" si="110"/>
        <v>3874.5</v>
      </c>
      <c r="CK56" s="42">
        <f t="shared" si="110"/>
        <v>3921.75</v>
      </c>
      <c r="CL56" s="42">
        <f t="shared" si="110"/>
        <v>3969</v>
      </c>
      <c r="CM56" s="42">
        <f t="shared" si="110"/>
        <v>4016.25</v>
      </c>
      <c r="CN56" s="42">
        <f t="shared" si="110"/>
        <v>4063.5</v>
      </c>
      <c r="CO56" s="42">
        <f t="shared" si="110"/>
        <v>4110.75</v>
      </c>
      <c r="CP56" s="42">
        <f t="shared" si="110"/>
        <v>4158</v>
      </c>
      <c r="CQ56" s="42">
        <f t="shared" si="110"/>
        <v>4205.25</v>
      </c>
      <c r="CR56" s="42">
        <f t="shared" si="110"/>
        <v>4252.5</v>
      </c>
      <c r="CS56" s="42">
        <f t="shared" si="110"/>
        <v>4299.75</v>
      </c>
      <c r="CT56" s="42">
        <f t="shared" si="110"/>
        <v>4347</v>
      </c>
      <c r="CU56" s="42">
        <f t="shared" si="110"/>
        <v>4394.25</v>
      </c>
      <c r="CV56" s="42">
        <f t="shared" ref="CV56:DQ56" si="111">$B$56*$A$35*CV34</f>
        <v>4441.5</v>
      </c>
      <c r="CW56" s="42">
        <f t="shared" si="111"/>
        <v>4488.75</v>
      </c>
      <c r="CX56" s="42">
        <f t="shared" si="111"/>
        <v>4536</v>
      </c>
      <c r="CY56" s="42">
        <f t="shared" si="111"/>
        <v>4583.25</v>
      </c>
      <c r="CZ56" s="42">
        <f t="shared" si="111"/>
        <v>4630.5</v>
      </c>
      <c r="DA56" s="42">
        <f t="shared" si="111"/>
        <v>4677.75</v>
      </c>
      <c r="DB56" s="42">
        <f t="shared" si="111"/>
        <v>4725</v>
      </c>
      <c r="DC56" s="42">
        <f t="shared" si="111"/>
        <v>4772.25</v>
      </c>
      <c r="DD56" s="42">
        <f t="shared" si="111"/>
        <v>4819.5</v>
      </c>
      <c r="DE56" s="42">
        <f t="shared" si="111"/>
        <v>4866.75</v>
      </c>
      <c r="DF56" s="42">
        <f t="shared" si="111"/>
        <v>4914</v>
      </c>
      <c r="DG56" s="42">
        <f t="shared" si="111"/>
        <v>4961.25</v>
      </c>
      <c r="DH56" s="42">
        <f t="shared" si="111"/>
        <v>5008.5</v>
      </c>
      <c r="DI56" s="42">
        <f t="shared" si="111"/>
        <v>5055.75</v>
      </c>
      <c r="DJ56" s="42">
        <f t="shared" si="111"/>
        <v>5103</v>
      </c>
      <c r="DK56" s="42">
        <f t="shared" si="111"/>
        <v>5150.25</v>
      </c>
      <c r="DL56" s="42">
        <f t="shared" si="111"/>
        <v>5197.5</v>
      </c>
      <c r="DM56" s="42">
        <f t="shared" si="111"/>
        <v>5244.75</v>
      </c>
      <c r="DN56" s="42">
        <f t="shared" si="111"/>
        <v>5292</v>
      </c>
      <c r="DO56" s="42">
        <f t="shared" si="111"/>
        <v>5339.25</v>
      </c>
      <c r="DP56" s="42">
        <f t="shared" si="111"/>
        <v>5386.5</v>
      </c>
      <c r="DQ56" s="42">
        <f t="shared" si="111"/>
        <v>5433.75</v>
      </c>
      <c r="DR56" s="42">
        <f t="shared" ref="DR56:GC56" si="112">$B$56*$A$35*DR34</f>
        <v>5481</v>
      </c>
      <c r="DS56" s="42">
        <f t="shared" si="112"/>
        <v>5528.25</v>
      </c>
      <c r="DT56" s="42">
        <f t="shared" si="112"/>
        <v>5575.5</v>
      </c>
      <c r="DU56" s="42">
        <f t="shared" si="112"/>
        <v>5622.75</v>
      </c>
      <c r="DV56" s="42">
        <f t="shared" si="112"/>
        <v>5670</v>
      </c>
      <c r="DW56" s="42">
        <f t="shared" si="112"/>
        <v>5717.25</v>
      </c>
      <c r="DX56" s="42">
        <f t="shared" si="112"/>
        <v>5764.5</v>
      </c>
      <c r="DY56" s="42">
        <f t="shared" si="112"/>
        <v>5811.75</v>
      </c>
      <c r="DZ56" s="42">
        <f t="shared" si="112"/>
        <v>5859</v>
      </c>
      <c r="EA56" s="42">
        <f t="shared" si="112"/>
        <v>5906.25</v>
      </c>
      <c r="EB56" s="42">
        <f t="shared" si="112"/>
        <v>5953.5</v>
      </c>
      <c r="EC56" s="42">
        <f t="shared" si="112"/>
        <v>6000.75</v>
      </c>
      <c r="ED56" s="42">
        <f t="shared" si="112"/>
        <v>6048</v>
      </c>
      <c r="EE56" s="42">
        <f t="shared" si="112"/>
        <v>6095.25</v>
      </c>
      <c r="EF56" s="42">
        <f t="shared" si="112"/>
        <v>6142.5</v>
      </c>
      <c r="EG56" s="42">
        <f t="shared" si="112"/>
        <v>6189.75</v>
      </c>
      <c r="EH56" s="42">
        <f t="shared" si="112"/>
        <v>6237</v>
      </c>
      <c r="EI56" s="42">
        <f t="shared" si="112"/>
        <v>6284.25</v>
      </c>
      <c r="EJ56" s="42">
        <f t="shared" si="112"/>
        <v>6331.5</v>
      </c>
      <c r="EK56" s="42">
        <f t="shared" si="112"/>
        <v>6378.75</v>
      </c>
      <c r="EL56" s="42">
        <f t="shared" si="112"/>
        <v>6426</v>
      </c>
      <c r="EM56" s="42">
        <f t="shared" si="112"/>
        <v>6473.25</v>
      </c>
      <c r="EN56" s="42">
        <f t="shared" si="112"/>
        <v>6520.5</v>
      </c>
      <c r="EO56" s="42">
        <f t="shared" si="112"/>
        <v>6567.75</v>
      </c>
      <c r="EP56" s="42">
        <f t="shared" si="112"/>
        <v>6615</v>
      </c>
      <c r="EQ56" s="42">
        <f t="shared" si="112"/>
        <v>6662.25</v>
      </c>
      <c r="ER56" s="42">
        <f t="shared" si="112"/>
        <v>6709.5</v>
      </c>
      <c r="ES56" s="42">
        <f t="shared" si="112"/>
        <v>6756.75</v>
      </c>
      <c r="ET56" s="42">
        <f t="shared" si="112"/>
        <v>6804</v>
      </c>
      <c r="EU56" s="42">
        <f t="shared" si="112"/>
        <v>6851.25</v>
      </c>
      <c r="EV56" s="42">
        <f t="shared" si="112"/>
        <v>6898.5</v>
      </c>
      <c r="EW56" s="42">
        <f t="shared" si="112"/>
        <v>6945.75</v>
      </c>
      <c r="EX56" s="42">
        <f t="shared" si="112"/>
        <v>6993</v>
      </c>
      <c r="EY56" s="42">
        <f t="shared" si="112"/>
        <v>7040.25</v>
      </c>
      <c r="EZ56" s="42">
        <f t="shared" si="112"/>
        <v>7087.5</v>
      </c>
      <c r="FA56" s="42">
        <f t="shared" si="112"/>
        <v>7134.75</v>
      </c>
      <c r="FB56" s="42">
        <f t="shared" si="112"/>
        <v>7182</v>
      </c>
      <c r="FC56" s="42">
        <f t="shared" si="112"/>
        <v>7229.25</v>
      </c>
      <c r="FD56" s="42">
        <f t="shared" si="112"/>
        <v>7276.5</v>
      </c>
      <c r="FE56" s="42">
        <f t="shared" si="112"/>
        <v>7323.75</v>
      </c>
      <c r="FF56" s="42">
        <f t="shared" si="112"/>
        <v>7371</v>
      </c>
      <c r="FG56" s="42">
        <f t="shared" si="112"/>
        <v>7418.25</v>
      </c>
      <c r="FH56" s="42">
        <f t="shared" si="112"/>
        <v>7465.5</v>
      </c>
      <c r="FI56" s="42">
        <f t="shared" si="112"/>
        <v>7512.75</v>
      </c>
      <c r="FJ56" s="42">
        <f t="shared" si="112"/>
        <v>7560</v>
      </c>
      <c r="FK56" s="42">
        <f t="shared" si="112"/>
        <v>7607.25</v>
      </c>
      <c r="FL56" s="42">
        <f t="shared" si="112"/>
        <v>7654.5</v>
      </c>
      <c r="FM56" s="42">
        <f t="shared" si="112"/>
        <v>7701.75</v>
      </c>
      <c r="FN56" s="42">
        <f t="shared" si="112"/>
        <v>7749</v>
      </c>
      <c r="FO56" s="42">
        <f t="shared" si="112"/>
        <v>7796.25</v>
      </c>
      <c r="FP56" s="42">
        <f t="shared" si="112"/>
        <v>7843.5</v>
      </c>
      <c r="FQ56" s="42">
        <f t="shared" si="112"/>
        <v>7890.75</v>
      </c>
      <c r="FR56" s="42">
        <f t="shared" si="112"/>
        <v>7938</v>
      </c>
      <c r="FS56" s="42">
        <f t="shared" si="112"/>
        <v>7985.25</v>
      </c>
      <c r="FT56" s="42">
        <f t="shared" si="112"/>
        <v>8032.5</v>
      </c>
      <c r="FU56" s="42">
        <f t="shared" si="112"/>
        <v>8079.75</v>
      </c>
      <c r="FV56" s="42">
        <f t="shared" si="112"/>
        <v>8127</v>
      </c>
      <c r="FW56" s="42">
        <f t="shared" si="112"/>
        <v>8174.25</v>
      </c>
      <c r="FX56" s="42">
        <f t="shared" si="112"/>
        <v>8221.5</v>
      </c>
      <c r="FY56" s="42">
        <f t="shared" si="112"/>
        <v>8268.75</v>
      </c>
      <c r="FZ56" s="42">
        <f t="shared" si="112"/>
        <v>8316</v>
      </c>
      <c r="GA56" s="42">
        <f t="shared" si="112"/>
        <v>8363.25</v>
      </c>
      <c r="GB56" s="42">
        <f t="shared" si="112"/>
        <v>8410.5</v>
      </c>
      <c r="GC56" s="42">
        <f t="shared" si="112"/>
        <v>8457.75</v>
      </c>
      <c r="GD56" s="42">
        <f t="shared" ref="GD56:GI56" si="113">$B$56*$A$35*GD34</f>
        <v>8505</v>
      </c>
      <c r="GE56" s="42">
        <f t="shared" si="113"/>
        <v>8552.25</v>
      </c>
      <c r="GF56" s="42">
        <f t="shared" si="113"/>
        <v>8599.5</v>
      </c>
      <c r="GG56" s="42">
        <f t="shared" si="113"/>
        <v>8646.75</v>
      </c>
      <c r="GH56" s="42">
        <f t="shared" si="113"/>
        <v>8694</v>
      </c>
      <c r="GI56" s="42">
        <f t="shared" si="113"/>
        <v>8741.25</v>
      </c>
    </row>
    <row r="57" spans="1:191">
      <c r="B57" s="30">
        <v>11</v>
      </c>
      <c r="C57" s="30">
        <f t="shared" si="78"/>
        <v>13</v>
      </c>
      <c r="G57" s="42">
        <f>$B$57*$A$35*G34</f>
        <v>49.5</v>
      </c>
      <c r="H57" s="42">
        <f t="shared" ref="H57:BS57" si="114">$B$57*$A$35*H34</f>
        <v>99</v>
      </c>
      <c r="I57" s="42">
        <f t="shared" si="114"/>
        <v>148.5</v>
      </c>
      <c r="J57" s="42">
        <f t="shared" si="114"/>
        <v>198</v>
      </c>
      <c r="K57" s="42">
        <f t="shared" si="114"/>
        <v>247.5</v>
      </c>
      <c r="L57" s="42">
        <f t="shared" si="114"/>
        <v>297</v>
      </c>
      <c r="M57" s="42">
        <f t="shared" si="114"/>
        <v>346.5</v>
      </c>
      <c r="N57" s="42">
        <f t="shared" si="114"/>
        <v>396</v>
      </c>
      <c r="O57" s="42">
        <f t="shared" si="114"/>
        <v>445.5</v>
      </c>
      <c r="P57" s="42">
        <f t="shared" si="114"/>
        <v>495</v>
      </c>
      <c r="Q57" s="42">
        <f t="shared" si="114"/>
        <v>544.5</v>
      </c>
      <c r="R57" s="42">
        <f t="shared" si="114"/>
        <v>594</v>
      </c>
      <c r="S57" s="42">
        <f t="shared" si="114"/>
        <v>643.5</v>
      </c>
      <c r="T57" s="42">
        <f t="shared" si="114"/>
        <v>693</v>
      </c>
      <c r="U57" s="42">
        <f t="shared" si="114"/>
        <v>742.5</v>
      </c>
      <c r="V57" s="42">
        <f t="shared" si="114"/>
        <v>792</v>
      </c>
      <c r="W57" s="42">
        <f t="shared" si="114"/>
        <v>841.5</v>
      </c>
      <c r="X57" s="42">
        <f t="shared" si="114"/>
        <v>891</v>
      </c>
      <c r="Y57" s="42">
        <f t="shared" si="114"/>
        <v>940.5</v>
      </c>
      <c r="Z57" s="42">
        <f t="shared" si="114"/>
        <v>990</v>
      </c>
      <c r="AA57" s="42">
        <f t="shared" si="114"/>
        <v>1039.5</v>
      </c>
      <c r="AB57" s="42">
        <f t="shared" si="114"/>
        <v>1089</v>
      </c>
      <c r="AC57" s="42">
        <f t="shared" si="114"/>
        <v>1138.5</v>
      </c>
      <c r="AD57" s="42">
        <f t="shared" si="114"/>
        <v>1188</v>
      </c>
      <c r="AE57" s="42">
        <f t="shared" si="114"/>
        <v>1237.5</v>
      </c>
      <c r="AF57" s="42">
        <f t="shared" si="114"/>
        <v>1287</v>
      </c>
      <c r="AG57" s="42">
        <f t="shared" si="114"/>
        <v>1336.5</v>
      </c>
      <c r="AH57" s="42">
        <f t="shared" si="114"/>
        <v>1386</v>
      </c>
      <c r="AI57" s="42">
        <f t="shared" si="114"/>
        <v>1435.5</v>
      </c>
      <c r="AJ57" s="42">
        <f t="shared" si="114"/>
        <v>1485</v>
      </c>
      <c r="AK57" s="42">
        <f t="shared" si="114"/>
        <v>1534.5</v>
      </c>
      <c r="AL57" s="42">
        <f t="shared" si="114"/>
        <v>1584</v>
      </c>
      <c r="AM57" s="42">
        <f t="shared" si="114"/>
        <v>1633.5</v>
      </c>
      <c r="AN57" s="42">
        <f t="shared" si="114"/>
        <v>1683</v>
      </c>
      <c r="AO57" s="42">
        <f t="shared" si="114"/>
        <v>1732.5</v>
      </c>
      <c r="AP57" s="42">
        <f t="shared" si="114"/>
        <v>1782</v>
      </c>
      <c r="AQ57" s="42">
        <f t="shared" si="114"/>
        <v>1831.5</v>
      </c>
      <c r="AR57" s="42">
        <f t="shared" si="114"/>
        <v>1881</v>
      </c>
      <c r="AS57" s="42">
        <f t="shared" si="114"/>
        <v>1930.5</v>
      </c>
      <c r="AT57" s="42">
        <f t="shared" si="114"/>
        <v>1980</v>
      </c>
      <c r="AU57" s="42">
        <f t="shared" si="114"/>
        <v>2029.5</v>
      </c>
      <c r="AV57" s="42">
        <f t="shared" si="114"/>
        <v>2079</v>
      </c>
      <c r="AW57" s="42">
        <f t="shared" si="114"/>
        <v>2128.5</v>
      </c>
      <c r="AX57" s="42">
        <f t="shared" si="114"/>
        <v>2178</v>
      </c>
      <c r="AY57" s="42">
        <f t="shared" si="114"/>
        <v>2227.5</v>
      </c>
      <c r="AZ57" s="42">
        <f t="shared" si="114"/>
        <v>2277</v>
      </c>
      <c r="BA57" s="42">
        <f t="shared" si="114"/>
        <v>2326.5</v>
      </c>
      <c r="BB57" s="42">
        <f t="shared" si="114"/>
        <v>2376</v>
      </c>
      <c r="BC57" s="42">
        <f t="shared" si="114"/>
        <v>2425.5</v>
      </c>
      <c r="BD57" s="42">
        <f t="shared" si="114"/>
        <v>2475</v>
      </c>
      <c r="BE57" s="42">
        <f t="shared" si="114"/>
        <v>2524.5</v>
      </c>
      <c r="BF57" s="42">
        <f t="shared" si="114"/>
        <v>2574</v>
      </c>
      <c r="BG57" s="42">
        <f t="shared" si="114"/>
        <v>2623.5</v>
      </c>
      <c r="BH57" s="42">
        <f t="shared" si="114"/>
        <v>2673</v>
      </c>
      <c r="BI57" s="42">
        <f t="shared" si="114"/>
        <v>2722.5</v>
      </c>
      <c r="BJ57" s="42">
        <f t="shared" si="114"/>
        <v>2772</v>
      </c>
      <c r="BK57" s="42">
        <f t="shared" si="114"/>
        <v>2821.5</v>
      </c>
      <c r="BL57" s="42">
        <f t="shared" si="114"/>
        <v>2871</v>
      </c>
      <c r="BM57" s="42">
        <f t="shared" si="114"/>
        <v>2920.5</v>
      </c>
      <c r="BN57" s="42">
        <f t="shared" si="114"/>
        <v>2970</v>
      </c>
      <c r="BO57" s="42">
        <f t="shared" si="114"/>
        <v>3019.5</v>
      </c>
      <c r="BP57" s="42">
        <f t="shared" si="114"/>
        <v>3069</v>
      </c>
      <c r="BQ57" s="42">
        <f t="shared" si="114"/>
        <v>3118.5</v>
      </c>
      <c r="BR57" s="42">
        <f t="shared" si="114"/>
        <v>3168</v>
      </c>
      <c r="BS57" s="42">
        <f t="shared" si="114"/>
        <v>3217.5</v>
      </c>
      <c r="BT57" s="42">
        <f t="shared" ref="BT57:CU57" si="115">$B$57*$A$35*BT34</f>
        <v>3267</v>
      </c>
      <c r="BU57" s="42">
        <f t="shared" si="115"/>
        <v>3316.5</v>
      </c>
      <c r="BV57" s="42">
        <f t="shared" si="115"/>
        <v>3366</v>
      </c>
      <c r="BW57" s="42">
        <f t="shared" si="115"/>
        <v>3415.5</v>
      </c>
      <c r="BX57" s="42">
        <f t="shared" si="115"/>
        <v>3465</v>
      </c>
      <c r="BY57" s="42">
        <f t="shared" si="115"/>
        <v>3514.5</v>
      </c>
      <c r="BZ57" s="42">
        <f t="shared" si="115"/>
        <v>3564</v>
      </c>
      <c r="CA57" s="42">
        <f t="shared" si="115"/>
        <v>3613.5</v>
      </c>
      <c r="CB57" s="42">
        <f t="shared" si="115"/>
        <v>3663</v>
      </c>
      <c r="CC57" s="42">
        <f t="shared" si="115"/>
        <v>3712.5</v>
      </c>
      <c r="CD57" s="42">
        <f t="shared" si="115"/>
        <v>3762</v>
      </c>
      <c r="CE57" s="42">
        <f t="shared" si="115"/>
        <v>3811.5</v>
      </c>
      <c r="CF57" s="42">
        <f t="shared" si="115"/>
        <v>3861</v>
      </c>
      <c r="CG57" s="42">
        <f t="shared" si="115"/>
        <v>3910.5</v>
      </c>
      <c r="CH57" s="42">
        <f t="shared" si="115"/>
        <v>3960</v>
      </c>
      <c r="CI57" s="42">
        <f t="shared" si="115"/>
        <v>4009.5</v>
      </c>
      <c r="CJ57" s="42">
        <f t="shared" si="115"/>
        <v>4059</v>
      </c>
      <c r="CK57" s="42">
        <f t="shared" si="115"/>
        <v>4108.5</v>
      </c>
      <c r="CL57" s="42">
        <f t="shared" si="115"/>
        <v>4158</v>
      </c>
      <c r="CM57" s="42">
        <f t="shared" si="115"/>
        <v>4207.5</v>
      </c>
      <c r="CN57" s="42">
        <f t="shared" si="115"/>
        <v>4257</v>
      </c>
      <c r="CO57" s="42">
        <f t="shared" si="115"/>
        <v>4306.5</v>
      </c>
      <c r="CP57" s="42">
        <f t="shared" si="115"/>
        <v>4356</v>
      </c>
      <c r="CQ57" s="42">
        <f t="shared" si="115"/>
        <v>4405.5</v>
      </c>
      <c r="CR57" s="42">
        <f t="shared" si="115"/>
        <v>4455</v>
      </c>
      <c r="CS57" s="42">
        <f t="shared" si="115"/>
        <v>4504.5</v>
      </c>
      <c r="CT57" s="42">
        <f t="shared" si="115"/>
        <v>4554</v>
      </c>
      <c r="CU57" s="42">
        <f t="shared" si="115"/>
        <v>4603.5</v>
      </c>
      <c r="CV57" s="42">
        <f t="shared" ref="CV57:DQ57" si="116">$B$57*$A$35*CV34</f>
        <v>4653</v>
      </c>
      <c r="CW57" s="42">
        <f t="shared" si="116"/>
        <v>4702.5</v>
      </c>
      <c r="CX57" s="42">
        <f t="shared" si="116"/>
        <v>4752</v>
      </c>
      <c r="CY57" s="42">
        <f t="shared" si="116"/>
        <v>4801.5</v>
      </c>
      <c r="CZ57" s="42">
        <f t="shared" si="116"/>
        <v>4851</v>
      </c>
      <c r="DA57" s="42">
        <f t="shared" si="116"/>
        <v>4900.5</v>
      </c>
      <c r="DB57" s="42">
        <f t="shared" si="116"/>
        <v>4950</v>
      </c>
      <c r="DC57" s="42">
        <f t="shared" si="116"/>
        <v>4999.5</v>
      </c>
      <c r="DD57" s="42">
        <f t="shared" si="116"/>
        <v>5049</v>
      </c>
      <c r="DE57" s="42">
        <f t="shared" si="116"/>
        <v>5098.5</v>
      </c>
      <c r="DF57" s="42">
        <f t="shared" si="116"/>
        <v>5148</v>
      </c>
      <c r="DG57" s="42">
        <f t="shared" si="116"/>
        <v>5197.5</v>
      </c>
      <c r="DH57" s="42">
        <f t="shared" si="116"/>
        <v>5247</v>
      </c>
      <c r="DI57" s="42">
        <f t="shared" si="116"/>
        <v>5296.5</v>
      </c>
      <c r="DJ57" s="42">
        <f t="shared" si="116"/>
        <v>5346</v>
      </c>
      <c r="DK57" s="42">
        <f t="shared" si="116"/>
        <v>5395.5</v>
      </c>
      <c r="DL57" s="42">
        <f t="shared" si="116"/>
        <v>5445</v>
      </c>
      <c r="DM57" s="42">
        <f t="shared" si="116"/>
        <v>5494.5</v>
      </c>
      <c r="DN57" s="42">
        <f t="shared" si="116"/>
        <v>5544</v>
      </c>
      <c r="DO57" s="42">
        <f t="shared" si="116"/>
        <v>5593.5</v>
      </c>
      <c r="DP57" s="42">
        <f t="shared" si="116"/>
        <v>5643</v>
      </c>
      <c r="DQ57" s="42">
        <f t="shared" si="116"/>
        <v>5692.5</v>
      </c>
      <c r="DR57" s="42">
        <f t="shared" ref="DR57:GC57" si="117">$B$57*$A$35*DR34</f>
        <v>5742</v>
      </c>
      <c r="DS57" s="42">
        <f t="shared" si="117"/>
        <v>5791.5</v>
      </c>
      <c r="DT57" s="42">
        <f t="shared" si="117"/>
        <v>5841</v>
      </c>
      <c r="DU57" s="42">
        <f t="shared" si="117"/>
        <v>5890.5</v>
      </c>
      <c r="DV57" s="42">
        <f t="shared" si="117"/>
        <v>5940</v>
      </c>
      <c r="DW57" s="42">
        <f t="shared" si="117"/>
        <v>5989.5</v>
      </c>
      <c r="DX57" s="42">
        <f t="shared" si="117"/>
        <v>6039</v>
      </c>
      <c r="DY57" s="42">
        <f t="shared" si="117"/>
        <v>6088.5</v>
      </c>
      <c r="DZ57" s="42">
        <f t="shared" si="117"/>
        <v>6138</v>
      </c>
      <c r="EA57" s="42">
        <f t="shared" si="117"/>
        <v>6187.5</v>
      </c>
      <c r="EB57" s="42">
        <f t="shared" si="117"/>
        <v>6237</v>
      </c>
      <c r="EC57" s="42">
        <f t="shared" si="117"/>
        <v>6286.5</v>
      </c>
      <c r="ED57" s="42">
        <f t="shared" si="117"/>
        <v>6336</v>
      </c>
      <c r="EE57" s="42">
        <f t="shared" si="117"/>
        <v>6385.5</v>
      </c>
      <c r="EF57" s="42">
        <f t="shared" si="117"/>
        <v>6435</v>
      </c>
      <c r="EG57" s="42">
        <f t="shared" si="117"/>
        <v>6484.5</v>
      </c>
      <c r="EH57" s="42">
        <f t="shared" si="117"/>
        <v>6534</v>
      </c>
      <c r="EI57" s="42">
        <f t="shared" si="117"/>
        <v>6583.5</v>
      </c>
      <c r="EJ57" s="42">
        <f t="shared" si="117"/>
        <v>6633</v>
      </c>
      <c r="EK57" s="42">
        <f t="shared" si="117"/>
        <v>6682.5</v>
      </c>
      <c r="EL57" s="42">
        <f t="shared" si="117"/>
        <v>6732</v>
      </c>
      <c r="EM57" s="42">
        <f t="shared" si="117"/>
        <v>6781.5</v>
      </c>
      <c r="EN57" s="42">
        <f t="shared" si="117"/>
        <v>6831</v>
      </c>
      <c r="EO57" s="42">
        <f t="shared" si="117"/>
        <v>6880.5</v>
      </c>
      <c r="EP57" s="42">
        <f t="shared" si="117"/>
        <v>6930</v>
      </c>
      <c r="EQ57" s="42">
        <f t="shared" si="117"/>
        <v>6979.5</v>
      </c>
      <c r="ER57" s="42">
        <f t="shared" si="117"/>
        <v>7029</v>
      </c>
      <c r="ES57" s="42">
        <f t="shared" si="117"/>
        <v>7078.5</v>
      </c>
      <c r="ET57" s="42">
        <f t="shared" si="117"/>
        <v>7128</v>
      </c>
      <c r="EU57" s="42">
        <f t="shared" si="117"/>
        <v>7177.5</v>
      </c>
      <c r="EV57" s="42">
        <f t="shared" si="117"/>
        <v>7227</v>
      </c>
      <c r="EW57" s="42">
        <f t="shared" si="117"/>
        <v>7276.5</v>
      </c>
      <c r="EX57" s="42">
        <f t="shared" si="117"/>
        <v>7326</v>
      </c>
      <c r="EY57" s="42">
        <f t="shared" si="117"/>
        <v>7375.5</v>
      </c>
      <c r="EZ57" s="42">
        <f t="shared" si="117"/>
        <v>7425</v>
      </c>
      <c r="FA57" s="42">
        <f t="shared" si="117"/>
        <v>7474.5</v>
      </c>
      <c r="FB57" s="42">
        <f t="shared" si="117"/>
        <v>7524</v>
      </c>
      <c r="FC57" s="42">
        <f t="shared" si="117"/>
        <v>7573.5</v>
      </c>
      <c r="FD57" s="42">
        <f t="shared" si="117"/>
        <v>7623</v>
      </c>
      <c r="FE57" s="42">
        <f t="shared" si="117"/>
        <v>7672.5</v>
      </c>
      <c r="FF57" s="42">
        <f t="shared" si="117"/>
        <v>7722</v>
      </c>
      <c r="FG57" s="42">
        <f t="shared" si="117"/>
        <v>7771.5</v>
      </c>
      <c r="FH57" s="42">
        <f t="shared" si="117"/>
        <v>7821</v>
      </c>
      <c r="FI57" s="42">
        <f t="shared" si="117"/>
        <v>7870.5</v>
      </c>
      <c r="FJ57" s="42">
        <f t="shared" si="117"/>
        <v>7920</v>
      </c>
      <c r="FK57" s="42">
        <f t="shared" si="117"/>
        <v>7969.5</v>
      </c>
      <c r="FL57" s="42">
        <f t="shared" si="117"/>
        <v>8019</v>
      </c>
      <c r="FM57" s="42">
        <f t="shared" si="117"/>
        <v>8068.5</v>
      </c>
      <c r="FN57" s="42">
        <f t="shared" si="117"/>
        <v>8118</v>
      </c>
      <c r="FO57" s="42">
        <f t="shared" si="117"/>
        <v>8167.5</v>
      </c>
      <c r="FP57" s="42">
        <f t="shared" si="117"/>
        <v>8217</v>
      </c>
      <c r="FQ57" s="42">
        <f t="shared" si="117"/>
        <v>8266.5</v>
      </c>
      <c r="FR57" s="42">
        <f t="shared" si="117"/>
        <v>8316</v>
      </c>
      <c r="FS57" s="42">
        <f t="shared" si="117"/>
        <v>8365.5</v>
      </c>
      <c r="FT57" s="42">
        <f t="shared" si="117"/>
        <v>8415</v>
      </c>
      <c r="FU57" s="42">
        <f t="shared" si="117"/>
        <v>8464.5</v>
      </c>
      <c r="FV57" s="42">
        <f t="shared" si="117"/>
        <v>8514</v>
      </c>
      <c r="FW57" s="42">
        <f t="shared" si="117"/>
        <v>8563.5</v>
      </c>
      <c r="FX57" s="42">
        <f t="shared" si="117"/>
        <v>8613</v>
      </c>
      <c r="FY57" s="42">
        <f t="shared" si="117"/>
        <v>8662.5</v>
      </c>
      <c r="FZ57" s="42">
        <f t="shared" si="117"/>
        <v>8712</v>
      </c>
      <c r="GA57" s="42">
        <f t="shared" si="117"/>
        <v>8761.5</v>
      </c>
      <c r="GB57" s="42">
        <f t="shared" si="117"/>
        <v>8811</v>
      </c>
      <c r="GC57" s="42">
        <f t="shared" si="117"/>
        <v>8860.5</v>
      </c>
      <c r="GD57" s="42">
        <f t="shared" ref="GD57:GI57" si="118">$B$57*$A$35*GD34</f>
        <v>8910</v>
      </c>
      <c r="GE57" s="42">
        <f t="shared" si="118"/>
        <v>8959.5</v>
      </c>
      <c r="GF57" s="42">
        <f t="shared" si="118"/>
        <v>9009</v>
      </c>
      <c r="GG57" s="42">
        <f t="shared" si="118"/>
        <v>9058.5</v>
      </c>
      <c r="GH57" s="42">
        <f t="shared" si="118"/>
        <v>9108</v>
      </c>
      <c r="GI57" s="42">
        <f t="shared" si="118"/>
        <v>9157.5</v>
      </c>
    </row>
    <row r="58" spans="1:191">
      <c r="B58" s="30">
        <v>11.5</v>
      </c>
      <c r="C58" s="30">
        <f t="shared" si="78"/>
        <v>13.5</v>
      </c>
      <c r="G58" s="42">
        <f>$B$58*$A$35*G34</f>
        <v>51.75</v>
      </c>
      <c r="H58" s="42">
        <f t="shared" ref="H58:BS58" si="119">$B$58*$A$35*H34</f>
        <v>103.5</v>
      </c>
      <c r="I58" s="42">
        <f t="shared" si="119"/>
        <v>155.25</v>
      </c>
      <c r="J58" s="42">
        <f t="shared" si="119"/>
        <v>207</v>
      </c>
      <c r="K58" s="42">
        <f t="shared" si="119"/>
        <v>258.75</v>
      </c>
      <c r="L58" s="42">
        <f t="shared" si="119"/>
        <v>310.5</v>
      </c>
      <c r="M58" s="42">
        <f t="shared" si="119"/>
        <v>362.25</v>
      </c>
      <c r="N58" s="42">
        <f t="shared" si="119"/>
        <v>414</v>
      </c>
      <c r="O58" s="42">
        <f t="shared" si="119"/>
        <v>465.75</v>
      </c>
      <c r="P58" s="42">
        <f t="shared" si="119"/>
        <v>517.5</v>
      </c>
      <c r="Q58" s="42">
        <f t="shared" si="119"/>
        <v>569.25</v>
      </c>
      <c r="R58" s="42">
        <f t="shared" si="119"/>
        <v>621</v>
      </c>
      <c r="S58" s="42">
        <f t="shared" si="119"/>
        <v>672.75</v>
      </c>
      <c r="T58" s="42">
        <f t="shared" si="119"/>
        <v>724.5</v>
      </c>
      <c r="U58" s="42">
        <f t="shared" si="119"/>
        <v>776.25</v>
      </c>
      <c r="V58" s="42">
        <f t="shared" si="119"/>
        <v>828</v>
      </c>
      <c r="W58" s="42">
        <f t="shared" si="119"/>
        <v>879.75</v>
      </c>
      <c r="X58" s="42">
        <f t="shared" si="119"/>
        <v>931.5</v>
      </c>
      <c r="Y58" s="42">
        <f t="shared" si="119"/>
        <v>983.25</v>
      </c>
      <c r="Z58" s="42">
        <f t="shared" si="119"/>
        <v>1035</v>
      </c>
      <c r="AA58" s="42">
        <f t="shared" si="119"/>
        <v>1086.75</v>
      </c>
      <c r="AB58" s="42">
        <f t="shared" si="119"/>
        <v>1138.5</v>
      </c>
      <c r="AC58" s="42">
        <f t="shared" si="119"/>
        <v>1190.25</v>
      </c>
      <c r="AD58" s="42">
        <f t="shared" si="119"/>
        <v>1242</v>
      </c>
      <c r="AE58" s="42">
        <f t="shared" si="119"/>
        <v>1293.75</v>
      </c>
      <c r="AF58" s="42">
        <f t="shared" si="119"/>
        <v>1345.5</v>
      </c>
      <c r="AG58" s="42">
        <f t="shared" si="119"/>
        <v>1397.25</v>
      </c>
      <c r="AH58" s="42">
        <f t="shared" si="119"/>
        <v>1449</v>
      </c>
      <c r="AI58" s="42">
        <f t="shared" si="119"/>
        <v>1500.75</v>
      </c>
      <c r="AJ58" s="42">
        <f t="shared" si="119"/>
        <v>1552.5</v>
      </c>
      <c r="AK58" s="42">
        <f t="shared" si="119"/>
        <v>1604.25</v>
      </c>
      <c r="AL58" s="42">
        <f t="shared" si="119"/>
        <v>1656</v>
      </c>
      <c r="AM58" s="42">
        <f t="shared" si="119"/>
        <v>1707.75</v>
      </c>
      <c r="AN58" s="42">
        <f t="shared" si="119"/>
        <v>1759.5</v>
      </c>
      <c r="AO58" s="42">
        <f t="shared" si="119"/>
        <v>1811.25</v>
      </c>
      <c r="AP58" s="42">
        <f t="shared" si="119"/>
        <v>1863</v>
      </c>
      <c r="AQ58" s="42">
        <f t="shared" si="119"/>
        <v>1914.75</v>
      </c>
      <c r="AR58" s="42">
        <f t="shared" si="119"/>
        <v>1966.5</v>
      </c>
      <c r="AS58" s="42">
        <f t="shared" si="119"/>
        <v>2018.25</v>
      </c>
      <c r="AT58" s="42">
        <f t="shared" si="119"/>
        <v>2070</v>
      </c>
      <c r="AU58" s="42">
        <f t="shared" si="119"/>
        <v>2121.75</v>
      </c>
      <c r="AV58" s="42">
        <f t="shared" si="119"/>
        <v>2173.5</v>
      </c>
      <c r="AW58" s="42">
        <f t="shared" si="119"/>
        <v>2225.25</v>
      </c>
      <c r="AX58" s="42">
        <f t="shared" si="119"/>
        <v>2277</v>
      </c>
      <c r="AY58" s="42">
        <f t="shared" si="119"/>
        <v>2328.75</v>
      </c>
      <c r="AZ58" s="42">
        <f t="shared" si="119"/>
        <v>2380.5</v>
      </c>
      <c r="BA58" s="42">
        <f t="shared" si="119"/>
        <v>2432.25</v>
      </c>
      <c r="BB58" s="42">
        <f t="shared" si="119"/>
        <v>2484</v>
      </c>
      <c r="BC58" s="42">
        <f t="shared" si="119"/>
        <v>2535.75</v>
      </c>
      <c r="BD58" s="42">
        <f t="shared" si="119"/>
        <v>2587.5</v>
      </c>
      <c r="BE58" s="42">
        <f t="shared" si="119"/>
        <v>2639.25</v>
      </c>
      <c r="BF58" s="42">
        <f t="shared" si="119"/>
        <v>2691</v>
      </c>
      <c r="BG58" s="42">
        <f t="shared" si="119"/>
        <v>2742.75</v>
      </c>
      <c r="BH58" s="42">
        <f t="shared" si="119"/>
        <v>2794.5</v>
      </c>
      <c r="BI58" s="42">
        <f t="shared" si="119"/>
        <v>2846.25</v>
      </c>
      <c r="BJ58" s="42">
        <f t="shared" si="119"/>
        <v>2898</v>
      </c>
      <c r="BK58" s="42">
        <f t="shared" si="119"/>
        <v>2949.75</v>
      </c>
      <c r="BL58" s="42">
        <f t="shared" si="119"/>
        <v>3001.5</v>
      </c>
      <c r="BM58" s="42">
        <f t="shared" si="119"/>
        <v>3053.25</v>
      </c>
      <c r="BN58" s="42">
        <f t="shared" si="119"/>
        <v>3105</v>
      </c>
      <c r="BO58" s="42">
        <f t="shared" si="119"/>
        <v>3156.75</v>
      </c>
      <c r="BP58" s="42">
        <f t="shared" si="119"/>
        <v>3208.5</v>
      </c>
      <c r="BQ58" s="42">
        <f t="shared" si="119"/>
        <v>3260.25</v>
      </c>
      <c r="BR58" s="42">
        <f t="shared" si="119"/>
        <v>3312</v>
      </c>
      <c r="BS58" s="42">
        <f t="shared" si="119"/>
        <v>3363.75</v>
      </c>
      <c r="BT58" s="42">
        <f t="shared" ref="BT58:CU58" si="120">$B$58*$A$35*BT34</f>
        <v>3415.5</v>
      </c>
      <c r="BU58" s="42">
        <f t="shared" si="120"/>
        <v>3467.25</v>
      </c>
      <c r="BV58" s="42">
        <f t="shared" si="120"/>
        <v>3519</v>
      </c>
      <c r="BW58" s="42">
        <f t="shared" si="120"/>
        <v>3570.75</v>
      </c>
      <c r="BX58" s="42">
        <f t="shared" si="120"/>
        <v>3622.5</v>
      </c>
      <c r="BY58" s="42">
        <f t="shared" si="120"/>
        <v>3674.25</v>
      </c>
      <c r="BZ58" s="42">
        <f t="shared" si="120"/>
        <v>3726</v>
      </c>
      <c r="CA58" s="42">
        <f t="shared" si="120"/>
        <v>3777.75</v>
      </c>
      <c r="CB58" s="42">
        <f t="shared" si="120"/>
        <v>3829.5</v>
      </c>
      <c r="CC58" s="42">
        <f t="shared" si="120"/>
        <v>3881.25</v>
      </c>
      <c r="CD58" s="42">
        <f t="shared" si="120"/>
        <v>3933</v>
      </c>
      <c r="CE58" s="42">
        <f t="shared" si="120"/>
        <v>3984.75</v>
      </c>
      <c r="CF58" s="42">
        <f t="shared" si="120"/>
        <v>4036.5</v>
      </c>
      <c r="CG58" s="42">
        <f t="shared" si="120"/>
        <v>4088.25</v>
      </c>
      <c r="CH58" s="42">
        <f t="shared" si="120"/>
        <v>4140</v>
      </c>
      <c r="CI58" s="42">
        <f t="shared" si="120"/>
        <v>4191.75</v>
      </c>
      <c r="CJ58" s="42">
        <f t="shared" si="120"/>
        <v>4243.5</v>
      </c>
      <c r="CK58" s="42">
        <f t="shared" si="120"/>
        <v>4295.25</v>
      </c>
      <c r="CL58" s="42">
        <f t="shared" si="120"/>
        <v>4347</v>
      </c>
      <c r="CM58" s="42">
        <f t="shared" si="120"/>
        <v>4398.75</v>
      </c>
      <c r="CN58" s="42">
        <f t="shared" si="120"/>
        <v>4450.5</v>
      </c>
      <c r="CO58" s="42">
        <f t="shared" si="120"/>
        <v>4502.25</v>
      </c>
      <c r="CP58" s="42">
        <f t="shared" si="120"/>
        <v>4554</v>
      </c>
      <c r="CQ58" s="42">
        <f t="shared" si="120"/>
        <v>4605.75</v>
      </c>
      <c r="CR58" s="42">
        <f t="shared" si="120"/>
        <v>4657.5</v>
      </c>
      <c r="CS58" s="42">
        <f t="shared" si="120"/>
        <v>4709.25</v>
      </c>
      <c r="CT58" s="42">
        <f t="shared" si="120"/>
        <v>4761</v>
      </c>
      <c r="CU58" s="42">
        <f t="shared" si="120"/>
        <v>4812.75</v>
      </c>
      <c r="CV58" s="42">
        <f t="shared" ref="CV58:DQ58" si="121">$B$58*$A$35*CV34</f>
        <v>4864.5</v>
      </c>
      <c r="CW58" s="42">
        <f t="shared" si="121"/>
        <v>4916.25</v>
      </c>
      <c r="CX58" s="42">
        <f t="shared" si="121"/>
        <v>4968</v>
      </c>
      <c r="CY58" s="42">
        <f t="shared" si="121"/>
        <v>5019.75</v>
      </c>
      <c r="CZ58" s="42">
        <f t="shared" si="121"/>
        <v>5071.5</v>
      </c>
      <c r="DA58" s="42">
        <f t="shared" si="121"/>
        <v>5123.25</v>
      </c>
      <c r="DB58" s="42">
        <f t="shared" si="121"/>
        <v>5175</v>
      </c>
      <c r="DC58" s="42">
        <f t="shared" si="121"/>
        <v>5226.75</v>
      </c>
      <c r="DD58" s="42">
        <f t="shared" si="121"/>
        <v>5278.5</v>
      </c>
      <c r="DE58" s="42">
        <f t="shared" si="121"/>
        <v>5330.25</v>
      </c>
      <c r="DF58" s="42">
        <f t="shared" si="121"/>
        <v>5382</v>
      </c>
      <c r="DG58" s="42">
        <f t="shared" si="121"/>
        <v>5433.75</v>
      </c>
      <c r="DH58" s="42">
        <f t="shared" si="121"/>
        <v>5485.5</v>
      </c>
      <c r="DI58" s="42">
        <f t="shared" si="121"/>
        <v>5537.25</v>
      </c>
      <c r="DJ58" s="42">
        <f t="shared" si="121"/>
        <v>5589</v>
      </c>
      <c r="DK58" s="42">
        <f t="shared" si="121"/>
        <v>5640.75</v>
      </c>
      <c r="DL58" s="42">
        <f t="shared" si="121"/>
        <v>5692.5</v>
      </c>
      <c r="DM58" s="42">
        <f t="shared" si="121"/>
        <v>5744.25</v>
      </c>
      <c r="DN58" s="42">
        <f t="shared" si="121"/>
        <v>5796</v>
      </c>
      <c r="DO58" s="42">
        <f t="shared" si="121"/>
        <v>5847.75</v>
      </c>
      <c r="DP58" s="42">
        <f t="shared" si="121"/>
        <v>5899.5</v>
      </c>
      <c r="DQ58" s="42">
        <f t="shared" si="121"/>
        <v>5951.25</v>
      </c>
      <c r="DR58" s="42">
        <f t="shared" ref="DR58:GC58" si="122">$B$58*$A$35*DR34</f>
        <v>6003</v>
      </c>
      <c r="DS58" s="42">
        <f t="shared" si="122"/>
        <v>6054.75</v>
      </c>
      <c r="DT58" s="42">
        <f t="shared" si="122"/>
        <v>6106.5</v>
      </c>
      <c r="DU58" s="42">
        <f t="shared" si="122"/>
        <v>6158.25</v>
      </c>
      <c r="DV58" s="42">
        <f t="shared" si="122"/>
        <v>6210</v>
      </c>
      <c r="DW58" s="42">
        <f t="shared" si="122"/>
        <v>6261.75</v>
      </c>
      <c r="DX58" s="42">
        <f t="shared" si="122"/>
        <v>6313.5</v>
      </c>
      <c r="DY58" s="42">
        <f t="shared" si="122"/>
        <v>6365.25</v>
      </c>
      <c r="DZ58" s="42">
        <f t="shared" si="122"/>
        <v>6417</v>
      </c>
      <c r="EA58" s="42">
        <f t="shared" si="122"/>
        <v>6468.75</v>
      </c>
      <c r="EB58" s="42">
        <f t="shared" si="122"/>
        <v>6520.5</v>
      </c>
      <c r="EC58" s="42">
        <f t="shared" si="122"/>
        <v>6572.25</v>
      </c>
      <c r="ED58" s="42">
        <f t="shared" si="122"/>
        <v>6624</v>
      </c>
      <c r="EE58" s="42">
        <f t="shared" si="122"/>
        <v>6675.75</v>
      </c>
      <c r="EF58" s="42">
        <f t="shared" si="122"/>
        <v>6727.5</v>
      </c>
      <c r="EG58" s="42">
        <f t="shared" si="122"/>
        <v>6779.25</v>
      </c>
      <c r="EH58" s="42">
        <f t="shared" si="122"/>
        <v>6831</v>
      </c>
      <c r="EI58" s="42">
        <f t="shared" si="122"/>
        <v>6882.75</v>
      </c>
      <c r="EJ58" s="42">
        <f t="shared" si="122"/>
        <v>6934.5</v>
      </c>
      <c r="EK58" s="42">
        <f t="shared" si="122"/>
        <v>6986.25</v>
      </c>
      <c r="EL58" s="42">
        <f t="shared" si="122"/>
        <v>7038</v>
      </c>
      <c r="EM58" s="42">
        <f t="shared" si="122"/>
        <v>7089.75</v>
      </c>
      <c r="EN58" s="42">
        <f t="shared" si="122"/>
        <v>7141.5</v>
      </c>
      <c r="EO58" s="42">
        <f t="shared" si="122"/>
        <v>7193.25</v>
      </c>
      <c r="EP58" s="42">
        <f t="shared" si="122"/>
        <v>7245</v>
      </c>
      <c r="EQ58" s="42">
        <f t="shared" si="122"/>
        <v>7296.75</v>
      </c>
      <c r="ER58" s="42">
        <f t="shared" si="122"/>
        <v>7348.5</v>
      </c>
      <c r="ES58" s="42">
        <f t="shared" si="122"/>
        <v>7400.25</v>
      </c>
      <c r="ET58" s="42">
        <f t="shared" si="122"/>
        <v>7452</v>
      </c>
      <c r="EU58" s="42">
        <f t="shared" si="122"/>
        <v>7503.75</v>
      </c>
      <c r="EV58" s="42">
        <f t="shared" si="122"/>
        <v>7555.5</v>
      </c>
      <c r="EW58" s="42">
        <f t="shared" si="122"/>
        <v>7607.25</v>
      </c>
      <c r="EX58" s="42">
        <f t="shared" si="122"/>
        <v>7659</v>
      </c>
      <c r="EY58" s="42">
        <f t="shared" si="122"/>
        <v>7710.75</v>
      </c>
      <c r="EZ58" s="42">
        <f t="shared" si="122"/>
        <v>7762.5</v>
      </c>
      <c r="FA58" s="42">
        <f t="shared" si="122"/>
        <v>7814.25</v>
      </c>
      <c r="FB58" s="42">
        <f t="shared" si="122"/>
        <v>7866</v>
      </c>
      <c r="FC58" s="42">
        <f t="shared" si="122"/>
        <v>7917.75</v>
      </c>
      <c r="FD58" s="42">
        <f t="shared" si="122"/>
        <v>7969.5</v>
      </c>
      <c r="FE58" s="42">
        <f t="shared" si="122"/>
        <v>8021.25</v>
      </c>
      <c r="FF58" s="42">
        <f t="shared" si="122"/>
        <v>8073</v>
      </c>
      <c r="FG58" s="42">
        <f t="shared" si="122"/>
        <v>8124.75</v>
      </c>
      <c r="FH58" s="42">
        <f t="shared" si="122"/>
        <v>8176.5</v>
      </c>
      <c r="FI58" s="42">
        <f t="shared" si="122"/>
        <v>8228.25</v>
      </c>
      <c r="FJ58" s="42">
        <f t="shared" si="122"/>
        <v>8280</v>
      </c>
      <c r="FK58" s="42">
        <f t="shared" si="122"/>
        <v>8331.75</v>
      </c>
      <c r="FL58" s="42">
        <f t="shared" si="122"/>
        <v>8383.5</v>
      </c>
      <c r="FM58" s="42">
        <f t="shared" si="122"/>
        <v>8435.25</v>
      </c>
      <c r="FN58" s="42">
        <f t="shared" si="122"/>
        <v>8487</v>
      </c>
      <c r="FO58" s="42">
        <f t="shared" si="122"/>
        <v>8538.75</v>
      </c>
      <c r="FP58" s="42">
        <f t="shared" si="122"/>
        <v>8590.5</v>
      </c>
      <c r="FQ58" s="42">
        <f t="shared" si="122"/>
        <v>8642.25</v>
      </c>
      <c r="FR58" s="42">
        <f t="shared" si="122"/>
        <v>8694</v>
      </c>
      <c r="FS58" s="42">
        <f t="shared" si="122"/>
        <v>8745.75</v>
      </c>
      <c r="FT58" s="42">
        <f t="shared" si="122"/>
        <v>8797.5</v>
      </c>
      <c r="FU58" s="42">
        <f t="shared" si="122"/>
        <v>8849.25</v>
      </c>
      <c r="FV58" s="42">
        <f t="shared" si="122"/>
        <v>8901</v>
      </c>
      <c r="FW58" s="42">
        <f t="shared" si="122"/>
        <v>8952.75</v>
      </c>
      <c r="FX58" s="42">
        <f t="shared" si="122"/>
        <v>9004.5</v>
      </c>
      <c r="FY58" s="42">
        <f t="shared" si="122"/>
        <v>9056.25</v>
      </c>
      <c r="FZ58" s="42">
        <f t="shared" si="122"/>
        <v>9108</v>
      </c>
      <c r="GA58" s="42">
        <f t="shared" si="122"/>
        <v>9159.75</v>
      </c>
      <c r="GB58" s="42">
        <f t="shared" si="122"/>
        <v>9211.5</v>
      </c>
      <c r="GC58" s="42">
        <f t="shared" si="122"/>
        <v>9263.25</v>
      </c>
      <c r="GD58" s="42">
        <f t="shared" ref="GD58:GI58" si="123">$B$58*$A$35*GD34</f>
        <v>9315</v>
      </c>
      <c r="GE58" s="42">
        <f t="shared" si="123"/>
        <v>9366.75</v>
      </c>
      <c r="GF58" s="42">
        <f t="shared" si="123"/>
        <v>9418.5</v>
      </c>
      <c r="GG58" s="42">
        <f t="shared" si="123"/>
        <v>9470.25</v>
      </c>
      <c r="GH58" s="42">
        <f t="shared" si="123"/>
        <v>9522</v>
      </c>
      <c r="GI58" s="42">
        <f t="shared" si="123"/>
        <v>9573.75</v>
      </c>
    </row>
    <row r="59" spans="1:191">
      <c r="B59" s="30">
        <v>12</v>
      </c>
      <c r="C59" s="30">
        <f t="shared" si="78"/>
        <v>14</v>
      </c>
      <c r="G59" s="42">
        <f>$B59*$A35*G34</f>
        <v>54</v>
      </c>
      <c r="H59" s="42">
        <f t="shared" ref="H59:BS59" si="124">$B59*$A35*H34</f>
        <v>108</v>
      </c>
      <c r="I59" s="42">
        <f t="shared" si="124"/>
        <v>162</v>
      </c>
      <c r="J59" s="42">
        <f t="shared" ref="J59:Q59" si="125">$B59*$A35*J34</f>
        <v>216</v>
      </c>
      <c r="K59" s="42">
        <f t="shared" si="125"/>
        <v>270</v>
      </c>
      <c r="L59" s="42">
        <f t="shared" si="125"/>
        <v>324</v>
      </c>
      <c r="M59" s="42">
        <f t="shared" si="125"/>
        <v>378</v>
      </c>
      <c r="N59" s="42">
        <f t="shared" si="125"/>
        <v>432</v>
      </c>
      <c r="O59" s="42">
        <f t="shared" si="125"/>
        <v>486</v>
      </c>
      <c r="P59" s="42">
        <f t="shared" si="125"/>
        <v>540</v>
      </c>
      <c r="Q59" s="42">
        <f t="shared" si="125"/>
        <v>594</v>
      </c>
      <c r="R59" s="42">
        <f t="shared" si="124"/>
        <v>648</v>
      </c>
      <c r="S59" s="42">
        <f t="shared" si="124"/>
        <v>702</v>
      </c>
      <c r="T59" s="42">
        <f t="shared" si="124"/>
        <v>756</v>
      </c>
      <c r="U59" s="42">
        <f t="shared" si="124"/>
        <v>810</v>
      </c>
      <c r="V59" s="42">
        <f t="shared" si="124"/>
        <v>864</v>
      </c>
      <c r="W59" s="42">
        <f t="shared" si="124"/>
        <v>918</v>
      </c>
      <c r="X59" s="42">
        <f t="shared" si="124"/>
        <v>972</v>
      </c>
      <c r="Y59" s="42">
        <f t="shared" si="124"/>
        <v>1026</v>
      </c>
      <c r="Z59" s="42">
        <f t="shared" si="124"/>
        <v>1080</v>
      </c>
      <c r="AA59" s="42">
        <f t="shared" si="124"/>
        <v>1134</v>
      </c>
      <c r="AB59" s="42">
        <f t="shared" si="124"/>
        <v>1188</v>
      </c>
      <c r="AC59" s="42">
        <f t="shared" si="124"/>
        <v>1242</v>
      </c>
      <c r="AD59" s="42">
        <f t="shared" si="124"/>
        <v>1296</v>
      </c>
      <c r="AE59" s="42">
        <f t="shared" si="124"/>
        <v>1350</v>
      </c>
      <c r="AF59" s="42">
        <f t="shared" si="124"/>
        <v>1404</v>
      </c>
      <c r="AG59" s="42">
        <f t="shared" si="124"/>
        <v>1458</v>
      </c>
      <c r="AH59" s="42">
        <f t="shared" si="124"/>
        <v>1512</v>
      </c>
      <c r="AI59" s="42">
        <f t="shared" si="124"/>
        <v>1566</v>
      </c>
      <c r="AJ59" s="42">
        <f t="shared" si="124"/>
        <v>1620</v>
      </c>
      <c r="AK59" s="42">
        <f t="shared" si="124"/>
        <v>1674</v>
      </c>
      <c r="AL59" s="42">
        <f t="shared" si="124"/>
        <v>1728</v>
      </c>
      <c r="AM59" s="42">
        <f t="shared" si="124"/>
        <v>1782</v>
      </c>
      <c r="AN59" s="42">
        <f t="shared" si="124"/>
        <v>1836</v>
      </c>
      <c r="AO59" s="42">
        <f t="shared" si="124"/>
        <v>1890</v>
      </c>
      <c r="AP59" s="42">
        <f t="shared" si="124"/>
        <v>1944</v>
      </c>
      <c r="AQ59" s="42">
        <f t="shared" si="124"/>
        <v>1998</v>
      </c>
      <c r="AR59" s="42">
        <f t="shared" si="124"/>
        <v>2052</v>
      </c>
      <c r="AS59" s="42">
        <f t="shared" si="124"/>
        <v>2106</v>
      </c>
      <c r="AT59" s="42">
        <f t="shared" si="124"/>
        <v>2160</v>
      </c>
      <c r="AU59" s="42">
        <f t="shared" si="124"/>
        <v>2214</v>
      </c>
      <c r="AV59" s="42">
        <f t="shared" si="124"/>
        <v>2268</v>
      </c>
      <c r="AW59" s="42">
        <f t="shared" si="124"/>
        <v>2322</v>
      </c>
      <c r="AX59" s="42">
        <f t="shared" si="124"/>
        <v>2376</v>
      </c>
      <c r="AY59" s="42">
        <f t="shared" si="124"/>
        <v>2430</v>
      </c>
      <c r="AZ59" s="42">
        <f t="shared" si="124"/>
        <v>2484</v>
      </c>
      <c r="BA59" s="42">
        <f t="shared" si="124"/>
        <v>2538</v>
      </c>
      <c r="BB59" s="42">
        <f t="shared" si="124"/>
        <v>2592</v>
      </c>
      <c r="BC59" s="42">
        <f t="shared" si="124"/>
        <v>2646</v>
      </c>
      <c r="BD59" s="42">
        <f t="shared" si="124"/>
        <v>2700</v>
      </c>
      <c r="BE59" s="42">
        <f t="shared" si="124"/>
        <v>2754</v>
      </c>
      <c r="BF59" s="42">
        <f t="shared" si="124"/>
        <v>2808</v>
      </c>
      <c r="BG59" s="42">
        <f t="shared" si="124"/>
        <v>2862</v>
      </c>
      <c r="BH59" s="42">
        <f t="shared" si="124"/>
        <v>2916</v>
      </c>
      <c r="BI59" s="42">
        <f t="shared" si="124"/>
        <v>2970</v>
      </c>
      <c r="BJ59" s="42">
        <f t="shared" si="124"/>
        <v>3024</v>
      </c>
      <c r="BK59" s="42">
        <f t="shared" si="124"/>
        <v>3078</v>
      </c>
      <c r="BL59" s="42">
        <f t="shared" si="124"/>
        <v>3132</v>
      </c>
      <c r="BM59" s="42">
        <f t="shared" si="124"/>
        <v>3186</v>
      </c>
      <c r="BN59" s="42">
        <f t="shared" si="124"/>
        <v>3240</v>
      </c>
      <c r="BO59" s="42">
        <f t="shared" si="124"/>
        <v>3294</v>
      </c>
      <c r="BP59" s="42">
        <f t="shared" si="124"/>
        <v>3348</v>
      </c>
      <c r="BQ59" s="42">
        <f t="shared" si="124"/>
        <v>3402</v>
      </c>
      <c r="BR59" s="42">
        <f t="shared" si="124"/>
        <v>3456</v>
      </c>
      <c r="BS59" s="42">
        <f t="shared" si="124"/>
        <v>3510</v>
      </c>
      <c r="BT59" s="42">
        <f t="shared" ref="BT59:CU59" si="126">$B59*$A35*BT34</f>
        <v>3564</v>
      </c>
      <c r="BU59" s="42">
        <f t="shared" si="126"/>
        <v>3618</v>
      </c>
      <c r="BV59" s="42">
        <f t="shared" si="126"/>
        <v>3672</v>
      </c>
      <c r="BW59" s="42">
        <f t="shared" si="126"/>
        <v>3726</v>
      </c>
      <c r="BX59" s="42">
        <f t="shared" si="126"/>
        <v>3780</v>
      </c>
      <c r="BY59" s="42">
        <f t="shared" si="126"/>
        <v>3834</v>
      </c>
      <c r="BZ59" s="42">
        <f t="shared" si="126"/>
        <v>3888</v>
      </c>
      <c r="CA59" s="42">
        <f t="shared" si="126"/>
        <v>3942</v>
      </c>
      <c r="CB59" s="42">
        <f t="shared" si="126"/>
        <v>3996</v>
      </c>
      <c r="CC59" s="42">
        <f t="shared" si="126"/>
        <v>4050</v>
      </c>
      <c r="CD59" s="42">
        <f t="shared" si="126"/>
        <v>4104</v>
      </c>
      <c r="CE59" s="42">
        <f t="shared" si="126"/>
        <v>4158</v>
      </c>
      <c r="CF59" s="42">
        <f t="shared" si="126"/>
        <v>4212</v>
      </c>
      <c r="CG59" s="42">
        <f t="shared" si="126"/>
        <v>4266</v>
      </c>
      <c r="CH59" s="42">
        <f t="shared" si="126"/>
        <v>4320</v>
      </c>
      <c r="CI59" s="42">
        <f t="shared" si="126"/>
        <v>4374</v>
      </c>
      <c r="CJ59" s="42">
        <f t="shared" si="126"/>
        <v>4428</v>
      </c>
      <c r="CK59" s="42">
        <f t="shared" si="126"/>
        <v>4482</v>
      </c>
      <c r="CL59" s="42">
        <f t="shared" si="126"/>
        <v>4536</v>
      </c>
      <c r="CM59" s="42">
        <f t="shared" si="126"/>
        <v>4590</v>
      </c>
      <c r="CN59" s="42">
        <f t="shared" si="126"/>
        <v>4644</v>
      </c>
      <c r="CO59" s="42">
        <f t="shared" si="126"/>
        <v>4698</v>
      </c>
      <c r="CP59" s="42">
        <f t="shared" si="126"/>
        <v>4752</v>
      </c>
      <c r="CQ59" s="42">
        <f t="shared" si="126"/>
        <v>4806</v>
      </c>
      <c r="CR59" s="42">
        <f t="shared" si="126"/>
        <v>4860</v>
      </c>
      <c r="CS59" s="42">
        <f t="shared" si="126"/>
        <v>4914</v>
      </c>
      <c r="CT59" s="42">
        <f t="shared" si="126"/>
        <v>4968</v>
      </c>
      <c r="CU59" s="42">
        <f t="shared" si="126"/>
        <v>5022</v>
      </c>
      <c r="CV59" s="42">
        <f t="shared" ref="CV59:DQ59" si="127">$B59*$A35*CV34</f>
        <v>5076</v>
      </c>
      <c r="CW59" s="42">
        <f t="shared" si="127"/>
        <v>5130</v>
      </c>
      <c r="CX59" s="42">
        <f t="shared" si="127"/>
        <v>5184</v>
      </c>
      <c r="CY59" s="42">
        <f t="shared" si="127"/>
        <v>5238</v>
      </c>
      <c r="CZ59" s="42">
        <f t="shared" si="127"/>
        <v>5292</v>
      </c>
      <c r="DA59" s="42">
        <f t="shared" si="127"/>
        <v>5346</v>
      </c>
      <c r="DB59" s="42">
        <f t="shared" si="127"/>
        <v>5400</v>
      </c>
      <c r="DC59" s="42">
        <f t="shared" si="127"/>
        <v>5454</v>
      </c>
      <c r="DD59" s="42">
        <f t="shared" si="127"/>
        <v>5508</v>
      </c>
      <c r="DE59" s="42">
        <f t="shared" si="127"/>
        <v>5562</v>
      </c>
      <c r="DF59" s="42">
        <f t="shared" si="127"/>
        <v>5616</v>
      </c>
      <c r="DG59" s="42">
        <f t="shared" si="127"/>
        <v>5670</v>
      </c>
      <c r="DH59" s="42">
        <f t="shared" si="127"/>
        <v>5724</v>
      </c>
      <c r="DI59" s="42">
        <f t="shared" si="127"/>
        <v>5778</v>
      </c>
      <c r="DJ59" s="42">
        <f t="shared" si="127"/>
        <v>5832</v>
      </c>
      <c r="DK59" s="42">
        <f t="shared" si="127"/>
        <v>5886</v>
      </c>
      <c r="DL59" s="42">
        <f t="shared" si="127"/>
        <v>5940</v>
      </c>
      <c r="DM59" s="42">
        <f t="shared" si="127"/>
        <v>5994</v>
      </c>
      <c r="DN59" s="42">
        <f t="shared" si="127"/>
        <v>6048</v>
      </c>
      <c r="DO59" s="42">
        <f t="shared" si="127"/>
        <v>6102</v>
      </c>
      <c r="DP59" s="42">
        <f t="shared" si="127"/>
        <v>6156</v>
      </c>
      <c r="DQ59" s="42">
        <f t="shared" si="127"/>
        <v>6210</v>
      </c>
      <c r="DR59" s="42">
        <f t="shared" ref="DR59:GC59" si="128">$B59*$A35*DR34</f>
        <v>6264</v>
      </c>
      <c r="DS59" s="42">
        <f t="shared" si="128"/>
        <v>6318</v>
      </c>
      <c r="DT59" s="42">
        <f t="shared" si="128"/>
        <v>6372</v>
      </c>
      <c r="DU59" s="42">
        <f t="shared" si="128"/>
        <v>6426</v>
      </c>
      <c r="DV59" s="42">
        <f t="shared" si="128"/>
        <v>6480</v>
      </c>
      <c r="DW59" s="42">
        <f t="shared" si="128"/>
        <v>6534</v>
      </c>
      <c r="DX59" s="42">
        <f t="shared" si="128"/>
        <v>6588</v>
      </c>
      <c r="DY59" s="42">
        <f t="shared" si="128"/>
        <v>6642</v>
      </c>
      <c r="DZ59" s="42">
        <f t="shared" si="128"/>
        <v>6696</v>
      </c>
      <c r="EA59" s="42">
        <f t="shared" si="128"/>
        <v>6750</v>
      </c>
      <c r="EB59" s="42">
        <f t="shared" si="128"/>
        <v>6804</v>
      </c>
      <c r="EC59" s="42">
        <f t="shared" si="128"/>
        <v>6858</v>
      </c>
      <c r="ED59" s="42">
        <f t="shared" si="128"/>
        <v>6912</v>
      </c>
      <c r="EE59" s="42">
        <f t="shared" si="128"/>
        <v>6966</v>
      </c>
      <c r="EF59" s="42">
        <f t="shared" si="128"/>
        <v>7020</v>
      </c>
      <c r="EG59" s="42">
        <f t="shared" si="128"/>
        <v>7074</v>
      </c>
      <c r="EH59" s="42">
        <f t="shared" si="128"/>
        <v>7128</v>
      </c>
      <c r="EI59" s="42">
        <f t="shared" si="128"/>
        <v>7182</v>
      </c>
      <c r="EJ59" s="42">
        <f t="shared" si="128"/>
        <v>7236</v>
      </c>
      <c r="EK59" s="42">
        <f t="shared" si="128"/>
        <v>7290</v>
      </c>
      <c r="EL59" s="42">
        <f t="shared" si="128"/>
        <v>7344</v>
      </c>
      <c r="EM59" s="42">
        <f t="shared" si="128"/>
        <v>7398</v>
      </c>
      <c r="EN59" s="42">
        <f t="shared" si="128"/>
        <v>7452</v>
      </c>
      <c r="EO59" s="42">
        <f t="shared" si="128"/>
        <v>7506</v>
      </c>
      <c r="EP59" s="42">
        <f t="shared" si="128"/>
        <v>7560</v>
      </c>
      <c r="EQ59" s="42">
        <f t="shared" si="128"/>
        <v>7614</v>
      </c>
      <c r="ER59" s="42">
        <f t="shared" si="128"/>
        <v>7668</v>
      </c>
      <c r="ES59" s="42">
        <f t="shared" si="128"/>
        <v>7722</v>
      </c>
      <c r="ET59" s="42">
        <f t="shared" si="128"/>
        <v>7776</v>
      </c>
      <c r="EU59" s="42">
        <f t="shared" si="128"/>
        <v>7830</v>
      </c>
      <c r="EV59" s="42">
        <f t="shared" si="128"/>
        <v>7884</v>
      </c>
      <c r="EW59" s="42">
        <f t="shared" si="128"/>
        <v>7938</v>
      </c>
      <c r="EX59" s="42">
        <f t="shared" si="128"/>
        <v>7992</v>
      </c>
      <c r="EY59" s="42">
        <f t="shared" si="128"/>
        <v>8046</v>
      </c>
      <c r="EZ59" s="42">
        <f t="shared" si="128"/>
        <v>8100</v>
      </c>
      <c r="FA59" s="42">
        <f t="shared" si="128"/>
        <v>8154</v>
      </c>
      <c r="FB59" s="42">
        <f t="shared" si="128"/>
        <v>8208</v>
      </c>
      <c r="FC59" s="42">
        <f t="shared" si="128"/>
        <v>8262</v>
      </c>
      <c r="FD59" s="42">
        <f t="shared" si="128"/>
        <v>8316</v>
      </c>
      <c r="FE59" s="42">
        <f t="shared" si="128"/>
        <v>8370</v>
      </c>
      <c r="FF59" s="42">
        <f t="shared" si="128"/>
        <v>8424</v>
      </c>
      <c r="FG59" s="42">
        <f t="shared" si="128"/>
        <v>8478</v>
      </c>
      <c r="FH59" s="42">
        <f t="shared" si="128"/>
        <v>8532</v>
      </c>
      <c r="FI59" s="42">
        <f t="shared" si="128"/>
        <v>8586</v>
      </c>
      <c r="FJ59" s="42">
        <f t="shared" si="128"/>
        <v>8640</v>
      </c>
      <c r="FK59" s="42">
        <f t="shared" si="128"/>
        <v>8694</v>
      </c>
      <c r="FL59" s="42">
        <f t="shared" si="128"/>
        <v>8748</v>
      </c>
      <c r="FM59" s="42">
        <f t="shared" si="128"/>
        <v>8802</v>
      </c>
      <c r="FN59" s="42">
        <f t="shared" si="128"/>
        <v>8856</v>
      </c>
      <c r="FO59" s="42">
        <f t="shared" si="128"/>
        <v>8910</v>
      </c>
      <c r="FP59" s="42">
        <f t="shared" si="128"/>
        <v>8964</v>
      </c>
      <c r="FQ59" s="42">
        <f t="shared" si="128"/>
        <v>9018</v>
      </c>
      <c r="FR59" s="42">
        <f t="shared" si="128"/>
        <v>9072</v>
      </c>
      <c r="FS59" s="42">
        <f t="shared" si="128"/>
        <v>9126</v>
      </c>
      <c r="FT59" s="42">
        <f t="shared" si="128"/>
        <v>9180</v>
      </c>
      <c r="FU59" s="42">
        <f t="shared" si="128"/>
        <v>9234</v>
      </c>
      <c r="FV59" s="42">
        <f t="shared" si="128"/>
        <v>9288</v>
      </c>
      <c r="FW59" s="42">
        <f t="shared" si="128"/>
        <v>9342</v>
      </c>
      <c r="FX59" s="42">
        <f t="shared" si="128"/>
        <v>9396</v>
      </c>
      <c r="FY59" s="42">
        <f t="shared" si="128"/>
        <v>9450</v>
      </c>
      <c r="FZ59" s="42">
        <f t="shared" si="128"/>
        <v>9504</v>
      </c>
      <c r="GA59" s="42">
        <f t="shared" si="128"/>
        <v>9558</v>
      </c>
      <c r="GB59" s="42">
        <f t="shared" si="128"/>
        <v>9612</v>
      </c>
      <c r="GC59" s="42">
        <f t="shared" si="128"/>
        <v>9666</v>
      </c>
      <c r="GD59" s="42">
        <f t="shared" ref="GD59:GI59" si="129">$B59*$A35*GD34</f>
        <v>9720</v>
      </c>
      <c r="GE59" s="42">
        <f t="shared" si="129"/>
        <v>9774</v>
      </c>
      <c r="GF59" s="42">
        <f t="shared" si="129"/>
        <v>9828</v>
      </c>
      <c r="GG59" s="42">
        <f t="shared" si="129"/>
        <v>9882</v>
      </c>
      <c r="GH59" s="42">
        <f t="shared" si="129"/>
        <v>9936</v>
      </c>
      <c r="GI59" s="42">
        <f t="shared" si="129"/>
        <v>9990</v>
      </c>
    </row>
    <row r="60" spans="1:191">
      <c r="B60" s="30">
        <v>12.5</v>
      </c>
      <c r="C60" s="30">
        <f t="shared" si="78"/>
        <v>14.5</v>
      </c>
      <c r="G60" s="42">
        <f>$B$60*$A$35*G34</f>
        <v>56.25</v>
      </c>
      <c r="H60" s="42">
        <f t="shared" ref="H60:BS60" si="130">$B$60*$A$35*H34</f>
        <v>112.5</v>
      </c>
      <c r="I60" s="42">
        <f t="shared" si="130"/>
        <v>168.75</v>
      </c>
      <c r="J60" s="42">
        <f t="shared" si="130"/>
        <v>225</v>
      </c>
      <c r="K60" s="42">
        <f t="shared" si="130"/>
        <v>281.25</v>
      </c>
      <c r="L60" s="42">
        <f t="shared" si="130"/>
        <v>337.5</v>
      </c>
      <c r="M60" s="42">
        <f t="shared" si="130"/>
        <v>393.75</v>
      </c>
      <c r="N60" s="42">
        <f t="shared" si="130"/>
        <v>450</v>
      </c>
      <c r="O60" s="42">
        <f t="shared" si="130"/>
        <v>506.25</v>
      </c>
      <c r="P60" s="42">
        <f t="shared" si="130"/>
        <v>562.5</v>
      </c>
      <c r="Q60" s="42">
        <f t="shared" si="130"/>
        <v>618.75</v>
      </c>
      <c r="R60" s="42">
        <f t="shared" si="130"/>
        <v>675</v>
      </c>
      <c r="S60" s="42">
        <f t="shared" si="130"/>
        <v>731.25</v>
      </c>
      <c r="T60" s="42">
        <f t="shared" si="130"/>
        <v>787.5</v>
      </c>
      <c r="U60" s="42">
        <f t="shared" si="130"/>
        <v>843.75</v>
      </c>
      <c r="V60" s="42">
        <f t="shared" si="130"/>
        <v>900</v>
      </c>
      <c r="W60" s="42">
        <f t="shared" si="130"/>
        <v>956.25</v>
      </c>
      <c r="X60" s="42">
        <f t="shared" si="130"/>
        <v>1012.5</v>
      </c>
      <c r="Y60" s="42">
        <f t="shared" si="130"/>
        <v>1068.75</v>
      </c>
      <c r="Z60" s="42">
        <f t="shared" si="130"/>
        <v>1125</v>
      </c>
      <c r="AA60" s="42">
        <f t="shared" si="130"/>
        <v>1181.25</v>
      </c>
      <c r="AB60" s="42">
        <f t="shared" si="130"/>
        <v>1237.5</v>
      </c>
      <c r="AC60" s="42">
        <f t="shared" si="130"/>
        <v>1293.75</v>
      </c>
      <c r="AD60" s="42">
        <f t="shared" si="130"/>
        <v>1350</v>
      </c>
      <c r="AE60" s="42">
        <f t="shared" si="130"/>
        <v>1406.25</v>
      </c>
      <c r="AF60" s="42">
        <f t="shared" si="130"/>
        <v>1462.5</v>
      </c>
      <c r="AG60" s="42">
        <f t="shared" si="130"/>
        <v>1518.75</v>
      </c>
      <c r="AH60" s="42">
        <f t="shared" si="130"/>
        <v>1575</v>
      </c>
      <c r="AI60" s="42">
        <f t="shared" si="130"/>
        <v>1631.25</v>
      </c>
      <c r="AJ60" s="42">
        <f t="shared" si="130"/>
        <v>1687.5</v>
      </c>
      <c r="AK60" s="42">
        <f t="shared" si="130"/>
        <v>1743.75</v>
      </c>
      <c r="AL60" s="42">
        <f t="shared" si="130"/>
        <v>1800</v>
      </c>
      <c r="AM60" s="42">
        <f t="shared" si="130"/>
        <v>1856.25</v>
      </c>
      <c r="AN60" s="42">
        <f t="shared" si="130"/>
        <v>1912.5</v>
      </c>
      <c r="AO60" s="42">
        <f t="shared" si="130"/>
        <v>1968.75</v>
      </c>
      <c r="AP60" s="42">
        <f t="shared" si="130"/>
        <v>2025</v>
      </c>
      <c r="AQ60" s="42">
        <f t="shared" si="130"/>
        <v>2081.25</v>
      </c>
      <c r="AR60" s="42">
        <f t="shared" si="130"/>
        <v>2137.5</v>
      </c>
      <c r="AS60" s="42">
        <f t="shared" si="130"/>
        <v>2193.75</v>
      </c>
      <c r="AT60" s="42">
        <f t="shared" si="130"/>
        <v>2250</v>
      </c>
      <c r="AU60" s="42">
        <f t="shared" si="130"/>
        <v>2306.25</v>
      </c>
      <c r="AV60" s="42">
        <f t="shared" si="130"/>
        <v>2362.5</v>
      </c>
      <c r="AW60" s="42">
        <f t="shared" si="130"/>
        <v>2418.75</v>
      </c>
      <c r="AX60" s="42">
        <f t="shared" si="130"/>
        <v>2475</v>
      </c>
      <c r="AY60" s="42">
        <f t="shared" si="130"/>
        <v>2531.25</v>
      </c>
      <c r="AZ60" s="42">
        <f t="shared" si="130"/>
        <v>2587.5</v>
      </c>
      <c r="BA60" s="42">
        <f t="shared" si="130"/>
        <v>2643.75</v>
      </c>
      <c r="BB60" s="42">
        <f t="shared" si="130"/>
        <v>2700</v>
      </c>
      <c r="BC60" s="42">
        <f t="shared" si="130"/>
        <v>2756.25</v>
      </c>
      <c r="BD60" s="42">
        <f t="shared" si="130"/>
        <v>2812.5</v>
      </c>
      <c r="BE60" s="42">
        <f t="shared" si="130"/>
        <v>2868.75</v>
      </c>
      <c r="BF60" s="42">
        <f t="shared" si="130"/>
        <v>2925</v>
      </c>
      <c r="BG60" s="42">
        <f t="shared" si="130"/>
        <v>2981.25</v>
      </c>
      <c r="BH60" s="42">
        <f t="shared" si="130"/>
        <v>3037.5</v>
      </c>
      <c r="BI60" s="42">
        <f t="shared" si="130"/>
        <v>3093.75</v>
      </c>
      <c r="BJ60" s="42">
        <f t="shared" si="130"/>
        <v>3150</v>
      </c>
      <c r="BK60" s="42">
        <f t="shared" si="130"/>
        <v>3206.25</v>
      </c>
      <c r="BL60" s="42">
        <f t="shared" si="130"/>
        <v>3262.5</v>
      </c>
      <c r="BM60" s="42">
        <f t="shared" si="130"/>
        <v>3318.75</v>
      </c>
      <c r="BN60" s="42">
        <f t="shared" si="130"/>
        <v>3375</v>
      </c>
      <c r="BO60" s="42">
        <f t="shared" si="130"/>
        <v>3431.25</v>
      </c>
      <c r="BP60" s="42">
        <f t="shared" si="130"/>
        <v>3487.5</v>
      </c>
      <c r="BQ60" s="42">
        <f t="shared" si="130"/>
        <v>3543.75</v>
      </c>
      <c r="BR60" s="42">
        <f t="shared" si="130"/>
        <v>3600</v>
      </c>
      <c r="BS60" s="42">
        <f t="shared" si="130"/>
        <v>3656.25</v>
      </c>
      <c r="BT60" s="42">
        <f t="shared" ref="BT60:CU60" si="131">$B$60*$A$35*BT34</f>
        <v>3712.5</v>
      </c>
      <c r="BU60" s="42">
        <f t="shared" si="131"/>
        <v>3768.75</v>
      </c>
      <c r="BV60" s="42">
        <f t="shared" si="131"/>
        <v>3825</v>
      </c>
      <c r="BW60" s="42">
        <f t="shared" si="131"/>
        <v>3881.25</v>
      </c>
      <c r="BX60" s="42">
        <f t="shared" si="131"/>
        <v>3937.5</v>
      </c>
      <c r="BY60" s="42">
        <f t="shared" si="131"/>
        <v>3993.75</v>
      </c>
      <c r="BZ60" s="42">
        <f t="shared" si="131"/>
        <v>4050</v>
      </c>
      <c r="CA60" s="42">
        <f t="shared" si="131"/>
        <v>4106.25</v>
      </c>
      <c r="CB60" s="42">
        <f t="shared" si="131"/>
        <v>4162.5</v>
      </c>
      <c r="CC60" s="42">
        <f t="shared" si="131"/>
        <v>4218.75</v>
      </c>
      <c r="CD60" s="42">
        <f t="shared" si="131"/>
        <v>4275</v>
      </c>
      <c r="CE60" s="42">
        <f t="shared" si="131"/>
        <v>4331.25</v>
      </c>
      <c r="CF60" s="42">
        <f t="shared" si="131"/>
        <v>4387.5</v>
      </c>
      <c r="CG60" s="42">
        <f t="shared" si="131"/>
        <v>4443.75</v>
      </c>
      <c r="CH60" s="42">
        <f t="shared" si="131"/>
        <v>4500</v>
      </c>
      <c r="CI60" s="42">
        <f t="shared" si="131"/>
        <v>4556.25</v>
      </c>
      <c r="CJ60" s="42">
        <f t="shared" si="131"/>
        <v>4612.5</v>
      </c>
      <c r="CK60" s="42">
        <f t="shared" si="131"/>
        <v>4668.75</v>
      </c>
      <c r="CL60" s="42">
        <f t="shared" si="131"/>
        <v>4725</v>
      </c>
      <c r="CM60" s="42">
        <f t="shared" si="131"/>
        <v>4781.25</v>
      </c>
      <c r="CN60" s="42">
        <f t="shared" si="131"/>
        <v>4837.5</v>
      </c>
      <c r="CO60" s="42">
        <f t="shared" si="131"/>
        <v>4893.75</v>
      </c>
      <c r="CP60" s="42">
        <f t="shared" si="131"/>
        <v>4950</v>
      </c>
      <c r="CQ60" s="42">
        <f t="shared" si="131"/>
        <v>5006.25</v>
      </c>
      <c r="CR60" s="42">
        <f t="shared" si="131"/>
        <v>5062.5</v>
      </c>
      <c r="CS60" s="42">
        <f t="shared" si="131"/>
        <v>5118.75</v>
      </c>
      <c r="CT60" s="42">
        <f t="shared" si="131"/>
        <v>5175</v>
      </c>
      <c r="CU60" s="42">
        <f t="shared" si="131"/>
        <v>5231.25</v>
      </c>
      <c r="CV60" s="42">
        <f t="shared" ref="CV60:DQ60" si="132">$B$60*$A$35*CV34</f>
        <v>5287.5</v>
      </c>
      <c r="CW60" s="42">
        <f t="shared" si="132"/>
        <v>5343.75</v>
      </c>
      <c r="CX60" s="42">
        <f t="shared" si="132"/>
        <v>5400</v>
      </c>
      <c r="CY60" s="42">
        <f t="shared" si="132"/>
        <v>5456.25</v>
      </c>
      <c r="CZ60" s="42">
        <f t="shared" si="132"/>
        <v>5512.5</v>
      </c>
      <c r="DA60" s="42">
        <f t="shared" si="132"/>
        <v>5568.75</v>
      </c>
      <c r="DB60" s="42">
        <f t="shared" si="132"/>
        <v>5625</v>
      </c>
      <c r="DC60" s="42">
        <f t="shared" si="132"/>
        <v>5681.25</v>
      </c>
      <c r="DD60" s="42">
        <f t="shared" si="132"/>
        <v>5737.5</v>
      </c>
      <c r="DE60" s="42">
        <f t="shared" si="132"/>
        <v>5793.75</v>
      </c>
      <c r="DF60" s="42">
        <f t="shared" si="132"/>
        <v>5850</v>
      </c>
      <c r="DG60" s="42">
        <f t="shared" si="132"/>
        <v>5906.25</v>
      </c>
      <c r="DH60" s="42">
        <f t="shared" si="132"/>
        <v>5962.5</v>
      </c>
      <c r="DI60" s="42">
        <f t="shared" si="132"/>
        <v>6018.75</v>
      </c>
      <c r="DJ60" s="42">
        <f t="shared" si="132"/>
        <v>6075</v>
      </c>
      <c r="DK60" s="42">
        <f t="shared" si="132"/>
        <v>6131.25</v>
      </c>
      <c r="DL60" s="42">
        <f t="shared" si="132"/>
        <v>6187.5</v>
      </c>
      <c r="DM60" s="42">
        <f t="shared" si="132"/>
        <v>6243.75</v>
      </c>
      <c r="DN60" s="42">
        <f t="shared" si="132"/>
        <v>6300</v>
      </c>
      <c r="DO60" s="42">
        <f t="shared" si="132"/>
        <v>6356.25</v>
      </c>
      <c r="DP60" s="42">
        <f t="shared" si="132"/>
        <v>6412.5</v>
      </c>
      <c r="DQ60" s="42">
        <f t="shared" si="132"/>
        <v>6468.75</v>
      </c>
      <c r="DR60" s="42">
        <f t="shared" ref="DR60:GC60" si="133">$B$60*$A$35*DR34</f>
        <v>6525</v>
      </c>
      <c r="DS60" s="42">
        <f t="shared" si="133"/>
        <v>6581.25</v>
      </c>
      <c r="DT60" s="42">
        <f t="shared" si="133"/>
        <v>6637.5</v>
      </c>
      <c r="DU60" s="42">
        <f t="shared" si="133"/>
        <v>6693.75</v>
      </c>
      <c r="DV60" s="42">
        <f t="shared" si="133"/>
        <v>6750</v>
      </c>
      <c r="DW60" s="42">
        <f t="shared" si="133"/>
        <v>6806.25</v>
      </c>
      <c r="DX60" s="42">
        <f t="shared" si="133"/>
        <v>6862.5</v>
      </c>
      <c r="DY60" s="42">
        <f t="shared" si="133"/>
        <v>6918.75</v>
      </c>
      <c r="DZ60" s="42">
        <f t="shared" si="133"/>
        <v>6975</v>
      </c>
      <c r="EA60" s="42">
        <f t="shared" si="133"/>
        <v>7031.25</v>
      </c>
      <c r="EB60" s="42">
        <f t="shared" si="133"/>
        <v>7087.5</v>
      </c>
      <c r="EC60" s="42">
        <f t="shared" si="133"/>
        <v>7143.75</v>
      </c>
      <c r="ED60" s="42">
        <f t="shared" si="133"/>
        <v>7200</v>
      </c>
      <c r="EE60" s="42">
        <f t="shared" si="133"/>
        <v>7256.25</v>
      </c>
      <c r="EF60" s="42">
        <f t="shared" si="133"/>
        <v>7312.5</v>
      </c>
      <c r="EG60" s="42">
        <f t="shared" si="133"/>
        <v>7368.75</v>
      </c>
      <c r="EH60" s="42">
        <f t="shared" si="133"/>
        <v>7425</v>
      </c>
      <c r="EI60" s="42">
        <f t="shared" si="133"/>
        <v>7481.25</v>
      </c>
      <c r="EJ60" s="42">
        <f t="shared" si="133"/>
        <v>7537.5</v>
      </c>
      <c r="EK60" s="42">
        <f t="shared" si="133"/>
        <v>7593.75</v>
      </c>
      <c r="EL60" s="42">
        <f t="shared" si="133"/>
        <v>7650</v>
      </c>
      <c r="EM60" s="42">
        <f t="shared" si="133"/>
        <v>7706.25</v>
      </c>
      <c r="EN60" s="42">
        <f t="shared" si="133"/>
        <v>7762.5</v>
      </c>
      <c r="EO60" s="42">
        <f t="shared" si="133"/>
        <v>7818.75</v>
      </c>
      <c r="EP60" s="42">
        <f t="shared" si="133"/>
        <v>7875</v>
      </c>
      <c r="EQ60" s="42">
        <f t="shared" si="133"/>
        <v>7931.25</v>
      </c>
      <c r="ER60" s="42">
        <f t="shared" si="133"/>
        <v>7987.5</v>
      </c>
      <c r="ES60" s="42">
        <f t="shared" si="133"/>
        <v>8043.75</v>
      </c>
      <c r="ET60" s="42">
        <f t="shared" si="133"/>
        <v>8100</v>
      </c>
      <c r="EU60" s="42">
        <f t="shared" si="133"/>
        <v>8156.25</v>
      </c>
      <c r="EV60" s="42">
        <f t="shared" si="133"/>
        <v>8212.5</v>
      </c>
      <c r="EW60" s="42">
        <f t="shared" si="133"/>
        <v>8268.75</v>
      </c>
      <c r="EX60" s="42">
        <f t="shared" si="133"/>
        <v>8325</v>
      </c>
      <c r="EY60" s="42">
        <f t="shared" si="133"/>
        <v>8381.25</v>
      </c>
      <c r="EZ60" s="42">
        <f t="shared" si="133"/>
        <v>8437.5</v>
      </c>
      <c r="FA60" s="42">
        <f t="shared" si="133"/>
        <v>8493.75</v>
      </c>
      <c r="FB60" s="42">
        <f t="shared" si="133"/>
        <v>8550</v>
      </c>
      <c r="FC60" s="42">
        <f t="shared" si="133"/>
        <v>8606.25</v>
      </c>
      <c r="FD60" s="42">
        <f t="shared" si="133"/>
        <v>8662.5</v>
      </c>
      <c r="FE60" s="42">
        <f t="shared" si="133"/>
        <v>8718.75</v>
      </c>
      <c r="FF60" s="42">
        <f t="shared" si="133"/>
        <v>8775</v>
      </c>
      <c r="FG60" s="42">
        <f t="shared" si="133"/>
        <v>8831.25</v>
      </c>
      <c r="FH60" s="42">
        <f t="shared" si="133"/>
        <v>8887.5</v>
      </c>
      <c r="FI60" s="42">
        <f t="shared" si="133"/>
        <v>8943.75</v>
      </c>
      <c r="FJ60" s="42">
        <f t="shared" si="133"/>
        <v>9000</v>
      </c>
      <c r="FK60" s="42">
        <f t="shared" si="133"/>
        <v>9056.25</v>
      </c>
      <c r="FL60" s="42">
        <f t="shared" si="133"/>
        <v>9112.5</v>
      </c>
      <c r="FM60" s="42">
        <f t="shared" si="133"/>
        <v>9168.75</v>
      </c>
      <c r="FN60" s="42">
        <f t="shared" si="133"/>
        <v>9225</v>
      </c>
      <c r="FO60" s="42">
        <f t="shared" si="133"/>
        <v>9281.25</v>
      </c>
      <c r="FP60" s="42">
        <f t="shared" si="133"/>
        <v>9337.5</v>
      </c>
      <c r="FQ60" s="42">
        <f t="shared" si="133"/>
        <v>9393.75</v>
      </c>
      <c r="FR60" s="42">
        <f t="shared" si="133"/>
        <v>9450</v>
      </c>
      <c r="FS60" s="42">
        <f t="shared" si="133"/>
        <v>9506.25</v>
      </c>
      <c r="FT60" s="42">
        <f t="shared" si="133"/>
        <v>9562.5</v>
      </c>
      <c r="FU60" s="42">
        <f t="shared" si="133"/>
        <v>9618.75</v>
      </c>
      <c r="FV60" s="42">
        <f t="shared" si="133"/>
        <v>9675</v>
      </c>
      <c r="FW60" s="42">
        <f t="shared" si="133"/>
        <v>9731.25</v>
      </c>
      <c r="FX60" s="42">
        <f t="shared" si="133"/>
        <v>9787.5</v>
      </c>
      <c r="FY60" s="42">
        <f t="shared" si="133"/>
        <v>9843.75</v>
      </c>
      <c r="FZ60" s="42">
        <f t="shared" si="133"/>
        <v>9900</v>
      </c>
      <c r="GA60" s="42">
        <f t="shared" si="133"/>
        <v>9956.25</v>
      </c>
      <c r="GB60" s="42">
        <f t="shared" si="133"/>
        <v>10012.5</v>
      </c>
      <c r="GC60" s="42">
        <f t="shared" si="133"/>
        <v>10068.75</v>
      </c>
      <c r="GD60" s="42">
        <f t="shared" ref="GD60:GI60" si="134">$B$60*$A$35*GD34</f>
        <v>10125</v>
      </c>
      <c r="GE60" s="42">
        <f t="shared" si="134"/>
        <v>10181.25</v>
      </c>
      <c r="GF60" s="42">
        <f t="shared" si="134"/>
        <v>10237.5</v>
      </c>
      <c r="GG60" s="42">
        <f t="shared" si="134"/>
        <v>10293.75</v>
      </c>
      <c r="GH60" s="42">
        <f t="shared" si="134"/>
        <v>10350</v>
      </c>
      <c r="GI60" s="42">
        <f t="shared" si="134"/>
        <v>10406.25</v>
      </c>
    </row>
    <row r="61" spans="1:191">
      <c r="B61" s="30">
        <v>13</v>
      </c>
      <c r="C61" s="30">
        <f t="shared" si="78"/>
        <v>15</v>
      </c>
      <c r="G61" s="42">
        <f>$B$61*$A$35*G34</f>
        <v>58.5</v>
      </c>
      <c r="H61" s="42">
        <f t="shared" ref="H61:BS61" si="135">$B$61*$A$35*H34</f>
        <v>117</v>
      </c>
      <c r="I61" s="42">
        <f t="shared" si="135"/>
        <v>175.5</v>
      </c>
      <c r="J61" s="42">
        <f t="shared" si="135"/>
        <v>234</v>
      </c>
      <c r="K61" s="42">
        <f t="shared" si="135"/>
        <v>292.5</v>
      </c>
      <c r="L61" s="42">
        <f t="shared" si="135"/>
        <v>351</v>
      </c>
      <c r="M61" s="42">
        <f t="shared" si="135"/>
        <v>409.5</v>
      </c>
      <c r="N61" s="42">
        <f t="shared" si="135"/>
        <v>468</v>
      </c>
      <c r="O61" s="42">
        <f t="shared" si="135"/>
        <v>526.5</v>
      </c>
      <c r="P61" s="42">
        <f t="shared" si="135"/>
        <v>585</v>
      </c>
      <c r="Q61" s="42">
        <f t="shared" si="135"/>
        <v>643.5</v>
      </c>
      <c r="R61" s="42">
        <f t="shared" si="135"/>
        <v>702</v>
      </c>
      <c r="S61" s="42">
        <f t="shared" si="135"/>
        <v>760.5</v>
      </c>
      <c r="T61" s="42">
        <f t="shared" si="135"/>
        <v>819</v>
      </c>
      <c r="U61" s="42">
        <f t="shared" si="135"/>
        <v>877.5</v>
      </c>
      <c r="V61" s="42">
        <f t="shared" si="135"/>
        <v>936</v>
      </c>
      <c r="W61" s="42">
        <f t="shared" si="135"/>
        <v>994.5</v>
      </c>
      <c r="X61" s="42">
        <f t="shared" si="135"/>
        <v>1053</v>
      </c>
      <c r="Y61" s="42">
        <f t="shared" si="135"/>
        <v>1111.5</v>
      </c>
      <c r="Z61" s="42">
        <f t="shared" si="135"/>
        <v>1170</v>
      </c>
      <c r="AA61" s="42">
        <f t="shared" si="135"/>
        <v>1228.5</v>
      </c>
      <c r="AB61" s="42">
        <f t="shared" si="135"/>
        <v>1287</v>
      </c>
      <c r="AC61" s="42">
        <f t="shared" si="135"/>
        <v>1345.5</v>
      </c>
      <c r="AD61" s="42">
        <f t="shared" si="135"/>
        <v>1404</v>
      </c>
      <c r="AE61" s="42">
        <f t="shared" si="135"/>
        <v>1462.5</v>
      </c>
      <c r="AF61" s="42">
        <f t="shared" si="135"/>
        <v>1521</v>
      </c>
      <c r="AG61" s="42">
        <f t="shared" si="135"/>
        <v>1579.5</v>
      </c>
      <c r="AH61" s="42">
        <f t="shared" si="135"/>
        <v>1638</v>
      </c>
      <c r="AI61" s="42">
        <f t="shared" si="135"/>
        <v>1696.5</v>
      </c>
      <c r="AJ61" s="42">
        <f t="shared" si="135"/>
        <v>1755</v>
      </c>
      <c r="AK61" s="42">
        <f t="shared" si="135"/>
        <v>1813.5</v>
      </c>
      <c r="AL61" s="42">
        <f t="shared" si="135"/>
        <v>1872</v>
      </c>
      <c r="AM61" s="42">
        <f t="shared" si="135"/>
        <v>1930.5</v>
      </c>
      <c r="AN61" s="42">
        <f t="shared" si="135"/>
        <v>1989</v>
      </c>
      <c r="AO61" s="42">
        <f t="shared" si="135"/>
        <v>2047.5</v>
      </c>
      <c r="AP61" s="42">
        <f t="shared" si="135"/>
        <v>2106</v>
      </c>
      <c r="AQ61" s="42">
        <f t="shared" si="135"/>
        <v>2164.5</v>
      </c>
      <c r="AR61" s="42">
        <f t="shared" si="135"/>
        <v>2223</v>
      </c>
      <c r="AS61" s="42">
        <f t="shared" si="135"/>
        <v>2281.5</v>
      </c>
      <c r="AT61" s="42">
        <f t="shared" si="135"/>
        <v>2340</v>
      </c>
      <c r="AU61" s="42">
        <f t="shared" si="135"/>
        <v>2398.5</v>
      </c>
      <c r="AV61" s="42">
        <f t="shared" si="135"/>
        <v>2457</v>
      </c>
      <c r="AW61" s="42">
        <f t="shared" si="135"/>
        <v>2515.5</v>
      </c>
      <c r="AX61" s="42">
        <f t="shared" si="135"/>
        <v>2574</v>
      </c>
      <c r="AY61" s="42">
        <f t="shared" si="135"/>
        <v>2632.5</v>
      </c>
      <c r="AZ61" s="42">
        <f t="shared" si="135"/>
        <v>2691</v>
      </c>
      <c r="BA61" s="42">
        <f t="shared" si="135"/>
        <v>2749.5</v>
      </c>
      <c r="BB61" s="42">
        <f t="shared" si="135"/>
        <v>2808</v>
      </c>
      <c r="BC61" s="42">
        <f t="shared" si="135"/>
        <v>2866.5</v>
      </c>
      <c r="BD61" s="42">
        <f t="shared" si="135"/>
        <v>2925</v>
      </c>
      <c r="BE61" s="42">
        <f t="shared" si="135"/>
        <v>2983.5</v>
      </c>
      <c r="BF61" s="42">
        <f t="shared" si="135"/>
        <v>3042</v>
      </c>
      <c r="BG61" s="42">
        <f t="shared" si="135"/>
        <v>3100.5</v>
      </c>
      <c r="BH61" s="42">
        <f t="shared" si="135"/>
        <v>3159</v>
      </c>
      <c r="BI61" s="42">
        <f t="shared" si="135"/>
        <v>3217.5</v>
      </c>
      <c r="BJ61" s="42">
        <f t="shared" si="135"/>
        <v>3276</v>
      </c>
      <c r="BK61" s="42">
        <f t="shared" si="135"/>
        <v>3334.5</v>
      </c>
      <c r="BL61" s="42">
        <f t="shared" si="135"/>
        <v>3393</v>
      </c>
      <c r="BM61" s="42">
        <f t="shared" si="135"/>
        <v>3451.5</v>
      </c>
      <c r="BN61" s="42">
        <f t="shared" si="135"/>
        <v>3510</v>
      </c>
      <c r="BO61" s="42">
        <f t="shared" si="135"/>
        <v>3568.5</v>
      </c>
      <c r="BP61" s="42">
        <f t="shared" si="135"/>
        <v>3627</v>
      </c>
      <c r="BQ61" s="42">
        <f t="shared" si="135"/>
        <v>3685.5</v>
      </c>
      <c r="BR61" s="42">
        <f t="shared" si="135"/>
        <v>3744</v>
      </c>
      <c r="BS61" s="42">
        <f t="shared" si="135"/>
        <v>3802.5</v>
      </c>
      <c r="BT61" s="42">
        <f t="shared" ref="BT61:CU61" si="136">$B$61*$A$35*BT34</f>
        <v>3861</v>
      </c>
      <c r="BU61" s="42">
        <f t="shared" si="136"/>
        <v>3919.5</v>
      </c>
      <c r="BV61" s="42">
        <f t="shared" si="136"/>
        <v>3978</v>
      </c>
      <c r="BW61" s="42">
        <f t="shared" si="136"/>
        <v>4036.5</v>
      </c>
      <c r="BX61" s="42">
        <f t="shared" si="136"/>
        <v>4095</v>
      </c>
      <c r="BY61" s="42">
        <f t="shared" si="136"/>
        <v>4153.5</v>
      </c>
      <c r="BZ61" s="42">
        <f t="shared" si="136"/>
        <v>4212</v>
      </c>
      <c r="CA61" s="42">
        <f t="shared" si="136"/>
        <v>4270.5</v>
      </c>
      <c r="CB61" s="42">
        <f t="shared" si="136"/>
        <v>4329</v>
      </c>
      <c r="CC61" s="42">
        <f t="shared" si="136"/>
        <v>4387.5</v>
      </c>
      <c r="CD61" s="42">
        <f t="shared" si="136"/>
        <v>4446</v>
      </c>
      <c r="CE61" s="42">
        <f t="shared" si="136"/>
        <v>4504.5</v>
      </c>
      <c r="CF61" s="42">
        <f t="shared" si="136"/>
        <v>4563</v>
      </c>
      <c r="CG61" s="42">
        <f t="shared" si="136"/>
        <v>4621.5</v>
      </c>
      <c r="CH61" s="42">
        <f t="shared" si="136"/>
        <v>4680</v>
      </c>
      <c r="CI61" s="42">
        <f t="shared" si="136"/>
        <v>4738.5</v>
      </c>
      <c r="CJ61" s="42">
        <f t="shared" si="136"/>
        <v>4797</v>
      </c>
      <c r="CK61" s="42">
        <f t="shared" si="136"/>
        <v>4855.5</v>
      </c>
      <c r="CL61" s="42">
        <f t="shared" si="136"/>
        <v>4914</v>
      </c>
      <c r="CM61" s="42">
        <f t="shared" si="136"/>
        <v>4972.5</v>
      </c>
      <c r="CN61" s="42">
        <f t="shared" si="136"/>
        <v>5031</v>
      </c>
      <c r="CO61" s="42">
        <f t="shared" si="136"/>
        <v>5089.5</v>
      </c>
      <c r="CP61" s="42">
        <f t="shared" si="136"/>
        <v>5148</v>
      </c>
      <c r="CQ61" s="42">
        <f t="shared" si="136"/>
        <v>5206.5</v>
      </c>
      <c r="CR61" s="42">
        <f t="shared" si="136"/>
        <v>5265</v>
      </c>
      <c r="CS61" s="42">
        <f t="shared" si="136"/>
        <v>5323.5</v>
      </c>
      <c r="CT61" s="42">
        <f t="shared" si="136"/>
        <v>5382</v>
      </c>
      <c r="CU61" s="42">
        <f t="shared" si="136"/>
        <v>5440.5</v>
      </c>
      <c r="CV61" s="42">
        <f t="shared" ref="CV61:DQ61" si="137">$B$61*$A$35*CV34</f>
        <v>5499</v>
      </c>
      <c r="CW61" s="42">
        <f t="shared" si="137"/>
        <v>5557.5</v>
      </c>
      <c r="CX61" s="42">
        <f t="shared" si="137"/>
        <v>5616</v>
      </c>
      <c r="CY61" s="42">
        <f t="shared" si="137"/>
        <v>5674.5</v>
      </c>
      <c r="CZ61" s="42">
        <f t="shared" si="137"/>
        <v>5733</v>
      </c>
      <c r="DA61" s="42">
        <f t="shared" si="137"/>
        <v>5791.5</v>
      </c>
      <c r="DB61" s="42">
        <f t="shared" si="137"/>
        <v>5850</v>
      </c>
      <c r="DC61" s="42">
        <f t="shared" si="137"/>
        <v>5908.5</v>
      </c>
      <c r="DD61" s="42">
        <f t="shared" si="137"/>
        <v>5967</v>
      </c>
      <c r="DE61" s="42">
        <f t="shared" si="137"/>
        <v>6025.5</v>
      </c>
      <c r="DF61" s="42">
        <f t="shared" si="137"/>
        <v>6084</v>
      </c>
      <c r="DG61" s="42">
        <f t="shared" si="137"/>
        <v>6142.5</v>
      </c>
      <c r="DH61" s="42">
        <f t="shared" si="137"/>
        <v>6201</v>
      </c>
      <c r="DI61" s="42">
        <f t="shared" si="137"/>
        <v>6259.5</v>
      </c>
      <c r="DJ61" s="42">
        <f t="shared" si="137"/>
        <v>6318</v>
      </c>
      <c r="DK61" s="42">
        <f t="shared" si="137"/>
        <v>6376.5</v>
      </c>
      <c r="DL61" s="42">
        <f t="shared" si="137"/>
        <v>6435</v>
      </c>
      <c r="DM61" s="42">
        <f t="shared" si="137"/>
        <v>6493.5</v>
      </c>
      <c r="DN61" s="42">
        <f t="shared" si="137"/>
        <v>6552</v>
      </c>
      <c r="DO61" s="42">
        <f t="shared" si="137"/>
        <v>6610.5</v>
      </c>
      <c r="DP61" s="42">
        <f t="shared" si="137"/>
        <v>6669</v>
      </c>
      <c r="DQ61" s="42">
        <f t="shared" si="137"/>
        <v>6727.5</v>
      </c>
      <c r="DR61" s="42">
        <f t="shared" ref="DR61:GC61" si="138">$B$61*$A$35*DR34</f>
        <v>6786</v>
      </c>
      <c r="DS61" s="42">
        <f t="shared" si="138"/>
        <v>6844.5</v>
      </c>
      <c r="DT61" s="42">
        <f t="shared" si="138"/>
        <v>6903</v>
      </c>
      <c r="DU61" s="42">
        <f t="shared" si="138"/>
        <v>6961.5</v>
      </c>
      <c r="DV61" s="42">
        <f t="shared" si="138"/>
        <v>7020</v>
      </c>
      <c r="DW61" s="42">
        <f t="shared" si="138"/>
        <v>7078.5</v>
      </c>
      <c r="DX61" s="42">
        <f t="shared" si="138"/>
        <v>7137</v>
      </c>
      <c r="DY61" s="42">
        <f t="shared" si="138"/>
        <v>7195.5</v>
      </c>
      <c r="DZ61" s="42">
        <f t="shared" si="138"/>
        <v>7254</v>
      </c>
      <c r="EA61" s="42">
        <f t="shared" si="138"/>
        <v>7312.5</v>
      </c>
      <c r="EB61" s="42">
        <f t="shared" si="138"/>
        <v>7371</v>
      </c>
      <c r="EC61" s="42">
        <f t="shared" si="138"/>
        <v>7429.5</v>
      </c>
      <c r="ED61" s="42">
        <f t="shared" si="138"/>
        <v>7488</v>
      </c>
      <c r="EE61" s="42">
        <f t="shared" si="138"/>
        <v>7546.5</v>
      </c>
      <c r="EF61" s="42">
        <f t="shared" si="138"/>
        <v>7605</v>
      </c>
      <c r="EG61" s="42">
        <f t="shared" si="138"/>
        <v>7663.5</v>
      </c>
      <c r="EH61" s="42">
        <f t="shared" si="138"/>
        <v>7722</v>
      </c>
      <c r="EI61" s="42">
        <f t="shared" si="138"/>
        <v>7780.5</v>
      </c>
      <c r="EJ61" s="42">
        <f t="shared" si="138"/>
        <v>7839</v>
      </c>
      <c r="EK61" s="42">
        <f t="shared" si="138"/>
        <v>7897.5</v>
      </c>
      <c r="EL61" s="42">
        <f t="shared" si="138"/>
        <v>7956</v>
      </c>
      <c r="EM61" s="42">
        <f t="shared" si="138"/>
        <v>8014.5</v>
      </c>
      <c r="EN61" s="42">
        <f t="shared" si="138"/>
        <v>8073</v>
      </c>
      <c r="EO61" s="42">
        <f t="shared" si="138"/>
        <v>8131.5</v>
      </c>
      <c r="EP61" s="42">
        <f t="shared" si="138"/>
        <v>8190</v>
      </c>
      <c r="EQ61" s="42">
        <f t="shared" si="138"/>
        <v>8248.5</v>
      </c>
      <c r="ER61" s="42">
        <f t="shared" si="138"/>
        <v>8307</v>
      </c>
      <c r="ES61" s="42">
        <f t="shared" si="138"/>
        <v>8365.5</v>
      </c>
      <c r="ET61" s="42">
        <f t="shared" si="138"/>
        <v>8424</v>
      </c>
      <c r="EU61" s="42">
        <f t="shared" si="138"/>
        <v>8482.5</v>
      </c>
      <c r="EV61" s="42">
        <f t="shared" si="138"/>
        <v>8541</v>
      </c>
      <c r="EW61" s="42">
        <f t="shared" si="138"/>
        <v>8599.5</v>
      </c>
      <c r="EX61" s="42">
        <f t="shared" si="138"/>
        <v>8658</v>
      </c>
      <c r="EY61" s="42">
        <f t="shared" si="138"/>
        <v>8716.5</v>
      </c>
      <c r="EZ61" s="42">
        <f t="shared" si="138"/>
        <v>8775</v>
      </c>
      <c r="FA61" s="42">
        <f t="shared" si="138"/>
        <v>8833.5</v>
      </c>
      <c r="FB61" s="42">
        <f t="shared" si="138"/>
        <v>8892</v>
      </c>
      <c r="FC61" s="42">
        <f t="shared" si="138"/>
        <v>8950.5</v>
      </c>
      <c r="FD61" s="42">
        <f t="shared" si="138"/>
        <v>9009</v>
      </c>
      <c r="FE61" s="42">
        <f t="shared" si="138"/>
        <v>9067.5</v>
      </c>
      <c r="FF61" s="42">
        <f t="shared" si="138"/>
        <v>9126</v>
      </c>
      <c r="FG61" s="42">
        <f t="shared" si="138"/>
        <v>9184.5</v>
      </c>
      <c r="FH61" s="42">
        <f t="shared" si="138"/>
        <v>9243</v>
      </c>
      <c r="FI61" s="42">
        <f t="shared" si="138"/>
        <v>9301.5</v>
      </c>
      <c r="FJ61" s="42">
        <f t="shared" si="138"/>
        <v>9360</v>
      </c>
      <c r="FK61" s="42">
        <f t="shared" si="138"/>
        <v>9418.5</v>
      </c>
      <c r="FL61" s="42">
        <f t="shared" si="138"/>
        <v>9477</v>
      </c>
      <c r="FM61" s="42">
        <f t="shared" si="138"/>
        <v>9535.5</v>
      </c>
      <c r="FN61" s="42">
        <f t="shared" si="138"/>
        <v>9594</v>
      </c>
      <c r="FO61" s="42">
        <f t="shared" si="138"/>
        <v>9652.5</v>
      </c>
      <c r="FP61" s="42">
        <f t="shared" si="138"/>
        <v>9711</v>
      </c>
      <c r="FQ61" s="42">
        <f t="shared" si="138"/>
        <v>9769.5</v>
      </c>
      <c r="FR61" s="42">
        <f t="shared" si="138"/>
        <v>9828</v>
      </c>
      <c r="FS61" s="42">
        <f t="shared" si="138"/>
        <v>9886.5</v>
      </c>
      <c r="FT61" s="42">
        <f t="shared" si="138"/>
        <v>9945</v>
      </c>
      <c r="FU61" s="42">
        <f t="shared" si="138"/>
        <v>10003.5</v>
      </c>
      <c r="FV61" s="42">
        <f t="shared" si="138"/>
        <v>10062</v>
      </c>
      <c r="FW61" s="42">
        <f t="shared" si="138"/>
        <v>10120.5</v>
      </c>
      <c r="FX61" s="42">
        <f t="shared" si="138"/>
        <v>10179</v>
      </c>
      <c r="FY61" s="42">
        <f t="shared" si="138"/>
        <v>10237.5</v>
      </c>
      <c r="FZ61" s="42">
        <f t="shared" si="138"/>
        <v>10296</v>
      </c>
      <c r="GA61" s="42">
        <f t="shared" si="138"/>
        <v>10354.5</v>
      </c>
      <c r="GB61" s="42">
        <f t="shared" si="138"/>
        <v>10413</v>
      </c>
      <c r="GC61" s="42">
        <f t="shared" si="138"/>
        <v>10471.5</v>
      </c>
      <c r="GD61" s="42">
        <f t="shared" ref="GD61:GI61" si="139">$B$61*$A$35*GD34</f>
        <v>10530</v>
      </c>
      <c r="GE61" s="42">
        <f t="shared" si="139"/>
        <v>10588.5</v>
      </c>
      <c r="GF61" s="42">
        <f t="shared" si="139"/>
        <v>10647</v>
      </c>
      <c r="GG61" s="42">
        <f t="shared" si="139"/>
        <v>10705.5</v>
      </c>
      <c r="GH61" s="42">
        <f t="shared" si="139"/>
        <v>10764</v>
      </c>
      <c r="GI61" s="42">
        <f t="shared" si="139"/>
        <v>10822.5</v>
      </c>
    </row>
    <row r="62" spans="1:191">
      <c r="B62" s="30">
        <v>13.5</v>
      </c>
      <c r="C62" s="30">
        <f t="shared" si="78"/>
        <v>15.5</v>
      </c>
      <c r="G62" s="42">
        <f>$B$62*$A$35*G34</f>
        <v>60.75</v>
      </c>
      <c r="H62" s="42">
        <f t="shared" ref="H62:BS62" si="140">$B$62*$A$35*H34</f>
        <v>121.5</v>
      </c>
      <c r="I62" s="42">
        <f t="shared" si="140"/>
        <v>182.25</v>
      </c>
      <c r="J62" s="42">
        <f t="shared" si="140"/>
        <v>243</v>
      </c>
      <c r="K62" s="42">
        <f t="shared" si="140"/>
        <v>303.75</v>
      </c>
      <c r="L62" s="42">
        <f t="shared" si="140"/>
        <v>364.5</v>
      </c>
      <c r="M62" s="42">
        <f t="shared" si="140"/>
        <v>425.25</v>
      </c>
      <c r="N62" s="42">
        <f t="shared" si="140"/>
        <v>486</v>
      </c>
      <c r="O62" s="42">
        <f t="shared" si="140"/>
        <v>546.75</v>
      </c>
      <c r="P62" s="42">
        <f t="shared" si="140"/>
        <v>607.5</v>
      </c>
      <c r="Q62" s="42">
        <f t="shared" si="140"/>
        <v>668.25</v>
      </c>
      <c r="R62" s="42">
        <f t="shared" si="140"/>
        <v>729</v>
      </c>
      <c r="S62" s="42">
        <f t="shared" si="140"/>
        <v>789.75</v>
      </c>
      <c r="T62" s="42">
        <f t="shared" si="140"/>
        <v>850.5</v>
      </c>
      <c r="U62" s="42">
        <f t="shared" si="140"/>
        <v>911.25</v>
      </c>
      <c r="V62" s="42">
        <f t="shared" si="140"/>
        <v>972</v>
      </c>
      <c r="W62" s="42">
        <f t="shared" si="140"/>
        <v>1032.75</v>
      </c>
      <c r="X62" s="42">
        <f t="shared" si="140"/>
        <v>1093.5</v>
      </c>
      <c r="Y62" s="42">
        <f t="shared" si="140"/>
        <v>1154.25</v>
      </c>
      <c r="Z62" s="42">
        <f t="shared" si="140"/>
        <v>1215</v>
      </c>
      <c r="AA62" s="42">
        <f t="shared" si="140"/>
        <v>1275.75</v>
      </c>
      <c r="AB62" s="42">
        <f t="shared" si="140"/>
        <v>1336.5</v>
      </c>
      <c r="AC62" s="42">
        <f t="shared" si="140"/>
        <v>1397.25</v>
      </c>
      <c r="AD62" s="42">
        <f t="shared" si="140"/>
        <v>1458</v>
      </c>
      <c r="AE62" s="42">
        <f t="shared" si="140"/>
        <v>1518.75</v>
      </c>
      <c r="AF62" s="42">
        <f t="shared" si="140"/>
        <v>1579.5</v>
      </c>
      <c r="AG62" s="42">
        <f t="shared" si="140"/>
        <v>1640.25</v>
      </c>
      <c r="AH62" s="42">
        <f t="shared" si="140"/>
        <v>1701</v>
      </c>
      <c r="AI62" s="42">
        <f t="shared" si="140"/>
        <v>1761.75</v>
      </c>
      <c r="AJ62" s="42">
        <f t="shared" si="140"/>
        <v>1822.5</v>
      </c>
      <c r="AK62" s="42">
        <f t="shared" si="140"/>
        <v>1883.25</v>
      </c>
      <c r="AL62" s="42">
        <f t="shared" si="140"/>
        <v>1944</v>
      </c>
      <c r="AM62" s="42">
        <f t="shared" si="140"/>
        <v>2004.75</v>
      </c>
      <c r="AN62" s="42">
        <f t="shared" si="140"/>
        <v>2065.5</v>
      </c>
      <c r="AO62" s="42">
        <f t="shared" si="140"/>
        <v>2126.25</v>
      </c>
      <c r="AP62" s="42">
        <f t="shared" si="140"/>
        <v>2187</v>
      </c>
      <c r="AQ62" s="42">
        <f t="shared" si="140"/>
        <v>2247.75</v>
      </c>
      <c r="AR62" s="42">
        <f t="shared" si="140"/>
        <v>2308.5</v>
      </c>
      <c r="AS62" s="42">
        <f t="shared" si="140"/>
        <v>2369.25</v>
      </c>
      <c r="AT62" s="42">
        <f t="shared" si="140"/>
        <v>2430</v>
      </c>
      <c r="AU62" s="42">
        <f t="shared" si="140"/>
        <v>2490.75</v>
      </c>
      <c r="AV62" s="42">
        <f t="shared" si="140"/>
        <v>2551.5</v>
      </c>
      <c r="AW62" s="42">
        <f t="shared" si="140"/>
        <v>2612.25</v>
      </c>
      <c r="AX62" s="42">
        <f t="shared" si="140"/>
        <v>2673</v>
      </c>
      <c r="AY62" s="42">
        <f t="shared" si="140"/>
        <v>2733.75</v>
      </c>
      <c r="AZ62" s="42">
        <f t="shared" si="140"/>
        <v>2794.5</v>
      </c>
      <c r="BA62" s="42">
        <f t="shared" si="140"/>
        <v>2855.25</v>
      </c>
      <c r="BB62" s="42">
        <f t="shared" si="140"/>
        <v>2916</v>
      </c>
      <c r="BC62" s="42">
        <f t="shared" si="140"/>
        <v>2976.75</v>
      </c>
      <c r="BD62" s="42">
        <f t="shared" si="140"/>
        <v>3037.5</v>
      </c>
      <c r="BE62" s="42">
        <f t="shared" si="140"/>
        <v>3098.25</v>
      </c>
      <c r="BF62" s="42">
        <f t="shared" si="140"/>
        <v>3159</v>
      </c>
      <c r="BG62" s="42">
        <f t="shared" si="140"/>
        <v>3219.75</v>
      </c>
      <c r="BH62" s="42">
        <f t="shared" si="140"/>
        <v>3280.5</v>
      </c>
      <c r="BI62" s="42">
        <f t="shared" si="140"/>
        <v>3341.25</v>
      </c>
      <c r="BJ62" s="42">
        <f t="shared" si="140"/>
        <v>3402</v>
      </c>
      <c r="BK62" s="42">
        <f t="shared" si="140"/>
        <v>3462.75</v>
      </c>
      <c r="BL62" s="42">
        <f t="shared" si="140"/>
        <v>3523.5</v>
      </c>
      <c r="BM62" s="42">
        <f t="shared" si="140"/>
        <v>3584.25</v>
      </c>
      <c r="BN62" s="42">
        <f t="shared" si="140"/>
        <v>3645</v>
      </c>
      <c r="BO62" s="42">
        <f t="shared" si="140"/>
        <v>3705.75</v>
      </c>
      <c r="BP62" s="42">
        <f t="shared" si="140"/>
        <v>3766.5</v>
      </c>
      <c r="BQ62" s="42">
        <f t="shared" si="140"/>
        <v>3827.25</v>
      </c>
      <c r="BR62" s="42">
        <f t="shared" si="140"/>
        <v>3888</v>
      </c>
      <c r="BS62" s="42">
        <f t="shared" si="140"/>
        <v>3948.75</v>
      </c>
      <c r="BT62" s="42">
        <f t="shared" ref="BT62:CU62" si="141">$B$62*$A$35*BT34</f>
        <v>4009.5</v>
      </c>
      <c r="BU62" s="42">
        <f t="shared" si="141"/>
        <v>4070.25</v>
      </c>
      <c r="BV62" s="42">
        <f t="shared" si="141"/>
        <v>4131</v>
      </c>
      <c r="BW62" s="42">
        <f t="shared" si="141"/>
        <v>4191.75</v>
      </c>
      <c r="BX62" s="42">
        <f t="shared" si="141"/>
        <v>4252.5</v>
      </c>
      <c r="BY62" s="42">
        <f t="shared" si="141"/>
        <v>4313.25</v>
      </c>
      <c r="BZ62" s="42">
        <f t="shared" si="141"/>
        <v>4374</v>
      </c>
      <c r="CA62" s="42">
        <f t="shared" si="141"/>
        <v>4434.75</v>
      </c>
      <c r="CB62" s="42">
        <f t="shared" si="141"/>
        <v>4495.5</v>
      </c>
      <c r="CC62" s="42">
        <f t="shared" si="141"/>
        <v>4556.25</v>
      </c>
      <c r="CD62" s="42">
        <f t="shared" si="141"/>
        <v>4617</v>
      </c>
      <c r="CE62" s="42">
        <f t="shared" si="141"/>
        <v>4677.75</v>
      </c>
      <c r="CF62" s="42">
        <f t="shared" si="141"/>
        <v>4738.5</v>
      </c>
      <c r="CG62" s="42">
        <f t="shared" si="141"/>
        <v>4799.25</v>
      </c>
      <c r="CH62" s="42">
        <f t="shared" si="141"/>
        <v>4860</v>
      </c>
      <c r="CI62" s="42">
        <f t="shared" si="141"/>
        <v>4920.75</v>
      </c>
      <c r="CJ62" s="42">
        <f t="shared" si="141"/>
        <v>4981.5</v>
      </c>
      <c r="CK62" s="42">
        <f t="shared" si="141"/>
        <v>5042.25</v>
      </c>
      <c r="CL62" s="42">
        <f t="shared" si="141"/>
        <v>5103</v>
      </c>
      <c r="CM62" s="42">
        <f t="shared" si="141"/>
        <v>5163.75</v>
      </c>
      <c r="CN62" s="42">
        <f t="shared" si="141"/>
        <v>5224.5</v>
      </c>
      <c r="CO62" s="42">
        <f t="shared" si="141"/>
        <v>5285.25</v>
      </c>
      <c r="CP62" s="42">
        <f t="shared" si="141"/>
        <v>5346</v>
      </c>
      <c r="CQ62" s="42">
        <f t="shared" si="141"/>
        <v>5406.75</v>
      </c>
      <c r="CR62" s="42">
        <f t="shared" si="141"/>
        <v>5467.5</v>
      </c>
      <c r="CS62" s="42">
        <f t="shared" si="141"/>
        <v>5528.25</v>
      </c>
      <c r="CT62" s="42">
        <f t="shared" si="141"/>
        <v>5589</v>
      </c>
      <c r="CU62" s="42">
        <f t="shared" si="141"/>
        <v>5649.75</v>
      </c>
      <c r="CV62" s="42">
        <f t="shared" ref="CV62:DQ62" si="142">$B$62*$A$35*CV34</f>
        <v>5710.5</v>
      </c>
      <c r="CW62" s="42">
        <f t="shared" si="142"/>
        <v>5771.25</v>
      </c>
      <c r="CX62" s="42">
        <f t="shared" si="142"/>
        <v>5832</v>
      </c>
      <c r="CY62" s="42">
        <f t="shared" si="142"/>
        <v>5892.75</v>
      </c>
      <c r="CZ62" s="42">
        <f t="shared" si="142"/>
        <v>5953.5</v>
      </c>
      <c r="DA62" s="42">
        <f t="shared" si="142"/>
        <v>6014.25</v>
      </c>
      <c r="DB62" s="42">
        <f t="shared" si="142"/>
        <v>6075</v>
      </c>
      <c r="DC62" s="42">
        <f t="shared" si="142"/>
        <v>6135.75</v>
      </c>
      <c r="DD62" s="42">
        <f t="shared" si="142"/>
        <v>6196.5</v>
      </c>
      <c r="DE62" s="42">
        <f t="shared" si="142"/>
        <v>6257.25</v>
      </c>
      <c r="DF62" s="42">
        <f t="shared" si="142"/>
        <v>6318</v>
      </c>
      <c r="DG62" s="42">
        <f t="shared" si="142"/>
        <v>6378.75</v>
      </c>
      <c r="DH62" s="42">
        <f t="shared" si="142"/>
        <v>6439.5</v>
      </c>
      <c r="DI62" s="42">
        <f t="shared" si="142"/>
        <v>6500.25</v>
      </c>
      <c r="DJ62" s="42">
        <f t="shared" si="142"/>
        <v>6561</v>
      </c>
      <c r="DK62" s="42">
        <f t="shared" si="142"/>
        <v>6621.75</v>
      </c>
      <c r="DL62" s="42">
        <f t="shared" si="142"/>
        <v>6682.5</v>
      </c>
      <c r="DM62" s="42">
        <f t="shared" si="142"/>
        <v>6743.25</v>
      </c>
      <c r="DN62" s="42">
        <f t="shared" si="142"/>
        <v>6804</v>
      </c>
      <c r="DO62" s="42">
        <f t="shared" si="142"/>
        <v>6864.75</v>
      </c>
      <c r="DP62" s="42">
        <f t="shared" si="142"/>
        <v>6925.5</v>
      </c>
      <c r="DQ62" s="42">
        <f t="shared" si="142"/>
        <v>6986.25</v>
      </c>
      <c r="DR62" s="42">
        <f t="shared" ref="DR62:GC62" si="143">$B$62*$A$35*DR34</f>
        <v>7047</v>
      </c>
      <c r="DS62" s="42">
        <f t="shared" si="143"/>
        <v>7107.75</v>
      </c>
      <c r="DT62" s="42">
        <f t="shared" si="143"/>
        <v>7168.5</v>
      </c>
      <c r="DU62" s="42">
        <f t="shared" si="143"/>
        <v>7229.25</v>
      </c>
      <c r="DV62" s="42">
        <f t="shared" si="143"/>
        <v>7290</v>
      </c>
      <c r="DW62" s="42">
        <f t="shared" si="143"/>
        <v>7350.75</v>
      </c>
      <c r="DX62" s="42">
        <f t="shared" si="143"/>
        <v>7411.5</v>
      </c>
      <c r="DY62" s="42">
        <f t="shared" si="143"/>
        <v>7472.25</v>
      </c>
      <c r="DZ62" s="42">
        <f t="shared" si="143"/>
        <v>7533</v>
      </c>
      <c r="EA62" s="42">
        <f t="shared" si="143"/>
        <v>7593.75</v>
      </c>
      <c r="EB62" s="42">
        <f t="shared" si="143"/>
        <v>7654.5</v>
      </c>
      <c r="EC62" s="42">
        <f t="shared" si="143"/>
        <v>7715.25</v>
      </c>
      <c r="ED62" s="42">
        <f t="shared" si="143"/>
        <v>7776</v>
      </c>
      <c r="EE62" s="42">
        <f t="shared" si="143"/>
        <v>7836.75</v>
      </c>
      <c r="EF62" s="42">
        <f t="shared" si="143"/>
        <v>7897.5</v>
      </c>
      <c r="EG62" s="42">
        <f t="shared" si="143"/>
        <v>7958.25</v>
      </c>
      <c r="EH62" s="42">
        <f t="shared" si="143"/>
        <v>8019</v>
      </c>
      <c r="EI62" s="42">
        <f t="shared" si="143"/>
        <v>8079.75</v>
      </c>
      <c r="EJ62" s="42">
        <f t="shared" si="143"/>
        <v>8140.5</v>
      </c>
      <c r="EK62" s="42">
        <f t="shared" si="143"/>
        <v>8201.25</v>
      </c>
      <c r="EL62" s="42">
        <f t="shared" si="143"/>
        <v>8262</v>
      </c>
      <c r="EM62" s="42">
        <f t="shared" si="143"/>
        <v>8322.75</v>
      </c>
      <c r="EN62" s="42">
        <f t="shared" si="143"/>
        <v>8383.5</v>
      </c>
      <c r="EO62" s="42">
        <f t="shared" si="143"/>
        <v>8444.25</v>
      </c>
      <c r="EP62" s="42">
        <f t="shared" si="143"/>
        <v>8505</v>
      </c>
      <c r="EQ62" s="42">
        <f t="shared" si="143"/>
        <v>8565.75</v>
      </c>
      <c r="ER62" s="42">
        <f t="shared" si="143"/>
        <v>8626.5</v>
      </c>
      <c r="ES62" s="42">
        <f t="shared" si="143"/>
        <v>8687.25</v>
      </c>
      <c r="ET62" s="42">
        <f t="shared" si="143"/>
        <v>8748</v>
      </c>
      <c r="EU62" s="42">
        <f t="shared" si="143"/>
        <v>8808.75</v>
      </c>
      <c r="EV62" s="42">
        <f t="shared" si="143"/>
        <v>8869.5</v>
      </c>
      <c r="EW62" s="42">
        <f t="shared" si="143"/>
        <v>8930.25</v>
      </c>
      <c r="EX62" s="42">
        <f t="shared" si="143"/>
        <v>8991</v>
      </c>
      <c r="EY62" s="42">
        <f t="shared" si="143"/>
        <v>9051.75</v>
      </c>
      <c r="EZ62" s="42">
        <f t="shared" si="143"/>
        <v>9112.5</v>
      </c>
      <c r="FA62" s="42">
        <f t="shared" si="143"/>
        <v>9173.25</v>
      </c>
      <c r="FB62" s="42">
        <f t="shared" si="143"/>
        <v>9234</v>
      </c>
      <c r="FC62" s="42">
        <f t="shared" si="143"/>
        <v>9294.75</v>
      </c>
      <c r="FD62" s="42">
        <f t="shared" si="143"/>
        <v>9355.5</v>
      </c>
      <c r="FE62" s="42">
        <f t="shared" si="143"/>
        <v>9416.25</v>
      </c>
      <c r="FF62" s="42">
        <f t="shared" si="143"/>
        <v>9477</v>
      </c>
      <c r="FG62" s="42">
        <f t="shared" si="143"/>
        <v>9537.75</v>
      </c>
      <c r="FH62" s="42">
        <f t="shared" si="143"/>
        <v>9598.5</v>
      </c>
      <c r="FI62" s="42">
        <f t="shared" si="143"/>
        <v>9659.25</v>
      </c>
      <c r="FJ62" s="42">
        <f t="shared" si="143"/>
        <v>9720</v>
      </c>
      <c r="FK62" s="42">
        <f t="shared" si="143"/>
        <v>9780.75</v>
      </c>
      <c r="FL62" s="42">
        <f t="shared" si="143"/>
        <v>9841.5</v>
      </c>
      <c r="FM62" s="42">
        <f t="shared" si="143"/>
        <v>9902.25</v>
      </c>
      <c r="FN62" s="42">
        <f t="shared" si="143"/>
        <v>9963</v>
      </c>
      <c r="FO62" s="42">
        <f t="shared" si="143"/>
        <v>10023.75</v>
      </c>
      <c r="FP62" s="42">
        <f t="shared" si="143"/>
        <v>10084.5</v>
      </c>
      <c r="FQ62" s="42">
        <f t="shared" si="143"/>
        <v>10145.25</v>
      </c>
      <c r="FR62" s="42">
        <f t="shared" si="143"/>
        <v>10206</v>
      </c>
      <c r="FS62" s="42">
        <f t="shared" si="143"/>
        <v>10266.75</v>
      </c>
      <c r="FT62" s="42">
        <f t="shared" si="143"/>
        <v>10327.5</v>
      </c>
      <c r="FU62" s="42">
        <f t="shared" si="143"/>
        <v>10388.25</v>
      </c>
      <c r="FV62" s="42">
        <f t="shared" si="143"/>
        <v>10449</v>
      </c>
      <c r="FW62" s="42">
        <f t="shared" si="143"/>
        <v>10509.75</v>
      </c>
      <c r="FX62" s="42">
        <f t="shared" si="143"/>
        <v>10570.5</v>
      </c>
      <c r="FY62" s="42">
        <f t="shared" si="143"/>
        <v>10631.25</v>
      </c>
      <c r="FZ62" s="42">
        <f t="shared" si="143"/>
        <v>10692</v>
      </c>
      <c r="GA62" s="42">
        <f t="shared" si="143"/>
        <v>10752.75</v>
      </c>
      <c r="GB62" s="42">
        <f t="shared" si="143"/>
        <v>10813.5</v>
      </c>
      <c r="GC62" s="42">
        <f t="shared" si="143"/>
        <v>10874.25</v>
      </c>
      <c r="GD62" s="42">
        <f t="shared" ref="GD62:GI62" si="144">$B$62*$A$35*GD34</f>
        <v>10935</v>
      </c>
      <c r="GE62" s="42">
        <f t="shared" si="144"/>
        <v>10995.75</v>
      </c>
      <c r="GF62" s="42">
        <f t="shared" si="144"/>
        <v>11056.5</v>
      </c>
      <c r="GG62" s="42">
        <f t="shared" si="144"/>
        <v>11117.25</v>
      </c>
      <c r="GH62" s="42">
        <f t="shared" si="144"/>
        <v>11178</v>
      </c>
      <c r="GI62" s="42">
        <f t="shared" si="144"/>
        <v>11238.75</v>
      </c>
    </row>
    <row r="63" spans="1:191">
      <c r="B63" s="30">
        <v>14</v>
      </c>
      <c r="C63" s="30">
        <f t="shared" si="78"/>
        <v>16</v>
      </c>
      <c r="G63" s="42">
        <f>$B$63*$A$35*G34</f>
        <v>63</v>
      </c>
      <c r="H63" s="42">
        <f t="shared" ref="H63:BS63" si="145">$B$63*$A$35*H34</f>
        <v>126</v>
      </c>
      <c r="I63" s="42">
        <f t="shared" si="145"/>
        <v>189</v>
      </c>
      <c r="J63" s="42">
        <f t="shared" si="145"/>
        <v>252</v>
      </c>
      <c r="K63" s="42">
        <f t="shared" si="145"/>
        <v>315</v>
      </c>
      <c r="L63" s="42">
        <f t="shared" si="145"/>
        <v>378</v>
      </c>
      <c r="M63" s="42">
        <f t="shared" si="145"/>
        <v>441</v>
      </c>
      <c r="N63" s="42">
        <f t="shared" si="145"/>
        <v>504</v>
      </c>
      <c r="O63" s="42">
        <f t="shared" si="145"/>
        <v>567</v>
      </c>
      <c r="P63" s="42">
        <f t="shared" si="145"/>
        <v>630</v>
      </c>
      <c r="Q63" s="42">
        <f t="shared" si="145"/>
        <v>693</v>
      </c>
      <c r="R63" s="42">
        <f t="shared" si="145"/>
        <v>756</v>
      </c>
      <c r="S63" s="42">
        <f t="shared" si="145"/>
        <v>819</v>
      </c>
      <c r="T63" s="42">
        <f t="shared" si="145"/>
        <v>882</v>
      </c>
      <c r="U63" s="42">
        <f t="shared" si="145"/>
        <v>945</v>
      </c>
      <c r="V63" s="42">
        <f t="shared" si="145"/>
        <v>1008</v>
      </c>
      <c r="W63" s="42">
        <f t="shared" si="145"/>
        <v>1071</v>
      </c>
      <c r="X63" s="42">
        <f t="shared" si="145"/>
        <v>1134</v>
      </c>
      <c r="Y63" s="42">
        <f t="shared" si="145"/>
        <v>1197</v>
      </c>
      <c r="Z63" s="42">
        <f t="shared" si="145"/>
        <v>1260</v>
      </c>
      <c r="AA63" s="42">
        <f t="shared" si="145"/>
        <v>1323</v>
      </c>
      <c r="AB63" s="42">
        <f t="shared" si="145"/>
        <v>1386</v>
      </c>
      <c r="AC63" s="42">
        <f t="shared" si="145"/>
        <v>1449</v>
      </c>
      <c r="AD63" s="42">
        <f t="shared" si="145"/>
        <v>1512</v>
      </c>
      <c r="AE63" s="42">
        <f t="shared" si="145"/>
        <v>1575</v>
      </c>
      <c r="AF63" s="42">
        <f t="shared" si="145"/>
        <v>1638</v>
      </c>
      <c r="AG63" s="42">
        <f t="shared" si="145"/>
        <v>1701</v>
      </c>
      <c r="AH63" s="42">
        <f t="shared" si="145"/>
        <v>1764</v>
      </c>
      <c r="AI63" s="42">
        <f t="shared" si="145"/>
        <v>1827</v>
      </c>
      <c r="AJ63" s="42">
        <f t="shared" si="145"/>
        <v>1890</v>
      </c>
      <c r="AK63" s="42">
        <f t="shared" si="145"/>
        <v>1953</v>
      </c>
      <c r="AL63" s="42">
        <f t="shared" si="145"/>
        <v>2016</v>
      </c>
      <c r="AM63" s="42">
        <f t="shared" si="145"/>
        <v>2079</v>
      </c>
      <c r="AN63" s="42">
        <f t="shared" si="145"/>
        <v>2142</v>
      </c>
      <c r="AO63" s="42">
        <f t="shared" si="145"/>
        <v>2205</v>
      </c>
      <c r="AP63" s="42">
        <f t="shared" si="145"/>
        <v>2268</v>
      </c>
      <c r="AQ63" s="42">
        <f t="shared" si="145"/>
        <v>2331</v>
      </c>
      <c r="AR63" s="42">
        <f t="shared" si="145"/>
        <v>2394</v>
      </c>
      <c r="AS63" s="42">
        <f t="shared" si="145"/>
        <v>2457</v>
      </c>
      <c r="AT63" s="42">
        <f t="shared" si="145"/>
        <v>2520</v>
      </c>
      <c r="AU63" s="42">
        <f t="shared" si="145"/>
        <v>2583</v>
      </c>
      <c r="AV63" s="42">
        <f t="shared" si="145"/>
        <v>2646</v>
      </c>
      <c r="AW63" s="42">
        <f t="shared" si="145"/>
        <v>2709</v>
      </c>
      <c r="AX63" s="42">
        <f t="shared" si="145"/>
        <v>2772</v>
      </c>
      <c r="AY63" s="42">
        <f t="shared" si="145"/>
        <v>2835</v>
      </c>
      <c r="AZ63" s="42">
        <f t="shared" si="145"/>
        <v>2898</v>
      </c>
      <c r="BA63" s="42">
        <f t="shared" si="145"/>
        <v>2961</v>
      </c>
      <c r="BB63" s="42">
        <f t="shared" si="145"/>
        <v>3024</v>
      </c>
      <c r="BC63" s="42">
        <f t="shared" si="145"/>
        <v>3087</v>
      </c>
      <c r="BD63" s="42">
        <f t="shared" si="145"/>
        <v>3150</v>
      </c>
      <c r="BE63" s="42">
        <f t="shared" si="145"/>
        <v>3213</v>
      </c>
      <c r="BF63" s="42">
        <f t="shared" si="145"/>
        <v>3276</v>
      </c>
      <c r="BG63" s="42">
        <f t="shared" si="145"/>
        <v>3339</v>
      </c>
      <c r="BH63" s="42">
        <f t="shared" si="145"/>
        <v>3402</v>
      </c>
      <c r="BI63" s="42">
        <f t="shared" si="145"/>
        <v>3465</v>
      </c>
      <c r="BJ63" s="42">
        <f t="shared" si="145"/>
        <v>3528</v>
      </c>
      <c r="BK63" s="42">
        <f t="shared" si="145"/>
        <v>3591</v>
      </c>
      <c r="BL63" s="42">
        <f t="shared" si="145"/>
        <v>3654</v>
      </c>
      <c r="BM63" s="42">
        <f t="shared" si="145"/>
        <v>3717</v>
      </c>
      <c r="BN63" s="42">
        <f t="shared" si="145"/>
        <v>3780</v>
      </c>
      <c r="BO63" s="42">
        <f t="shared" si="145"/>
        <v>3843</v>
      </c>
      <c r="BP63" s="42">
        <f t="shared" si="145"/>
        <v>3906</v>
      </c>
      <c r="BQ63" s="42">
        <f t="shared" si="145"/>
        <v>3969</v>
      </c>
      <c r="BR63" s="42">
        <f t="shared" si="145"/>
        <v>4032</v>
      </c>
      <c r="BS63" s="42">
        <f t="shared" si="145"/>
        <v>4095</v>
      </c>
      <c r="BT63" s="42">
        <f t="shared" ref="BT63:CU63" si="146">$B$63*$A$35*BT34</f>
        <v>4158</v>
      </c>
      <c r="BU63" s="42">
        <f t="shared" si="146"/>
        <v>4221</v>
      </c>
      <c r="BV63" s="42">
        <f t="shared" si="146"/>
        <v>4284</v>
      </c>
      <c r="BW63" s="42">
        <f t="shared" si="146"/>
        <v>4347</v>
      </c>
      <c r="BX63" s="42">
        <f t="shared" si="146"/>
        <v>4410</v>
      </c>
      <c r="BY63" s="42">
        <f t="shared" si="146"/>
        <v>4473</v>
      </c>
      <c r="BZ63" s="42">
        <f t="shared" si="146"/>
        <v>4536</v>
      </c>
      <c r="CA63" s="42">
        <f t="shared" si="146"/>
        <v>4599</v>
      </c>
      <c r="CB63" s="42">
        <f t="shared" si="146"/>
        <v>4662</v>
      </c>
      <c r="CC63" s="42">
        <f t="shared" si="146"/>
        <v>4725</v>
      </c>
      <c r="CD63" s="42">
        <f t="shared" si="146"/>
        <v>4788</v>
      </c>
      <c r="CE63" s="42">
        <f t="shared" si="146"/>
        <v>4851</v>
      </c>
      <c r="CF63" s="42">
        <f t="shared" si="146"/>
        <v>4914</v>
      </c>
      <c r="CG63" s="42">
        <f t="shared" si="146"/>
        <v>4977</v>
      </c>
      <c r="CH63" s="42">
        <f t="shared" si="146"/>
        <v>5040</v>
      </c>
      <c r="CI63" s="42">
        <f t="shared" si="146"/>
        <v>5103</v>
      </c>
      <c r="CJ63" s="42">
        <f t="shared" si="146"/>
        <v>5166</v>
      </c>
      <c r="CK63" s="42">
        <f t="shared" si="146"/>
        <v>5229</v>
      </c>
      <c r="CL63" s="42">
        <f t="shared" si="146"/>
        <v>5292</v>
      </c>
      <c r="CM63" s="42">
        <f t="shared" si="146"/>
        <v>5355</v>
      </c>
      <c r="CN63" s="42">
        <f t="shared" si="146"/>
        <v>5418</v>
      </c>
      <c r="CO63" s="42">
        <f t="shared" si="146"/>
        <v>5481</v>
      </c>
      <c r="CP63" s="42">
        <f t="shared" si="146"/>
        <v>5544</v>
      </c>
      <c r="CQ63" s="42">
        <f t="shared" si="146"/>
        <v>5607</v>
      </c>
      <c r="CR63" s="42">
        <f t="shared" si="146"/>
        <v>5670</v>
      </c>
      <c r="CS63" s="42">
        <f t="shared" si="146"/>
        <v>5733</v>
      </c>
      <c r="CT63" s="42">
        <f t="shared" si="146"/>
        <v>5796</v>
      </c>
      <c r="CU63" s="42">
        <f t="shared" si="146"/>
        <v>5859</v>
      </c>
      <c r="CV63" s="42">
        <f t="shared" ref="CV63:DQ63" si="147">$B$63*$A$35*CV34</f>
        <v>5922</v>
      </c>
      <c r="CW63" s="42">
        <f t="shared" si="147"/>
        <v>5985</v>
      </c>
      <c r="CX63" s="42">
        <f t="shared" si="147"/>
        <v>6048</v>
      </c>
      <c r="CY63" s="42">
        <f t="shared" si="147"/>
        <v>6111</v>
      </c>
      <c r="CZ63" s="42">
        <f t="shared" si="147"/>
        <v>6174</v>
      </c>
      <c r="DA63" s="42">
        <f t="shared" si="147"/>
        <v>6237</v>
      </c>
      <c r="DB63" s="42">
        <f t="shared" si="147"/>
        <v>6300</v>
      </c>
      <c r="DC63" s="42">
        <f t="shared" si="147"/>
        <v>6363</v>
      </c>
      <c r="DD63" s="42">
        <f t="shared" si="147"/>
        <v>6426</v>
      </c>
      <c r="DE63" s="42">
        <f t="shared" si="147"/>
        <v>6489</v>
      </c>
      <c r="DF63" s="42">
        <f t="shared" si="147"/>
        <v>6552</v>
      </c>
      <c r="DG63" s="42">
        <f t="shared" si="147"/>
        <v>6615</v>
      </c>
      <c r="DH63" s="42">
        <f t="shared" si="147"/>
        <v>6678</v>
      </c>
      <c r="DI63" s="42">
        <f t="shared" si="147"/>
        <v>6741</v>
      </c>
      <c r="DJ63" s="42">
        <f t="shared" si="147"/>
        <v>6804</v>
      </c>
      <c r="DK63" s="42">
        <f t="shared" si="147"/>
        <v>6867</v>
      </c>
      <c r="DL63" s="42">
        <f t="shared" si="147"/>
        <v>6930</v>
      </c>
      <c r="DM63" s="42">
        <f t="shared" si="147"/>
        <v>6993</v>
      </c>
      <c r="DN63" s="42">
        <f t="shared" si="147"/>
        <v>7056</v>
      </c>
      <c r="DO63" s="42">
        <f t="shared" si="147"/>
        <v>7119</v>
      </c>
      <c r="DP63" s="42">
        <f t="shared" si="147"/>
        <v>7182</v>
      </c>
      <c r="DQ63" s="42">
        <f t="shared" si="147"/>
        <v>7245</v>
      </c>
      <c r="DR63" s="42">
        <f t="shared" ref="DR63:GC63" si="148">$B$63*$A$35*DR34</f>
        <v>7308</v>
      </c>
      <c r="DS63" s="42">
        <f t="shared" si="148"/>
        <v>7371</v>
      </c>
      <c r="DT63" s="42">
        <f t="shared" si="148"/>
        <v>7434</v>
      </c>
      <c r="DU63" s="42">
        <f t="shared" si="148"/>
        <v>7497</v>
      </c>
      <c r="DV63" s="42">
        <f t="shared" si="148"/>
        <v>7560</v>
      </c>
      <c r="DW63" s="42">
        <f t="shared" si="148"/>
        <v>7623</v>
      </c>
      <c r="DX63" s="42">
        <f t="shared" si="148"/>
        <v>7686</v>
      </c>
      <c r="DY63" s="42">
        <f t="shared" si="148"/>
        <v>7749</v>
      </c>
      <c r="DZ63" s="42">
        <f t="shared" si="148"/>
        <v>7812</v>
      </c>
      <c r="EA63" s="42">
        <f t="shared" si="148"/>
        <v>7875</v>
      </c>
      <c r="EB63" s="42">
        <f t="shared" si="148"/>
        <v>7938</v>
      </c>
      <c r="EC63" s="42">
        <f t="shared" si="148"/>
        <v>8001</v>
      </c>
      <c r="ED63" s="42">
        <f t="shared" si="148"/>
        <v>8064</v>
      </c>
      <c r="EE63" s="42">
        <f t="shared" si="148"/>
        <v>8127</v>
      </c>
      <c r="EF63" s="42">
        <f t="shared" si="148"/>
        <v>8190</v>
      </c>
      <c r="EG63" s="42">
        <f t="shared" si="148"/>
        <v>8253</v>
      </c>
      <c r="EH63" s="42">
        <f t="shared" si="148"/>
        <v>8316</v>
      </c>
      <c r="EI63" s="42">
        <f t="shared" si="148"/>
        <v>8379</v>
      </c>
      <c r="EJ63" s="42">
        <f t="shared" si="148"/>
        <v>8442</v>
      </c>
      <c r="EK63" s="42">
        <f t="shared" si="148"/>
        <v>8505</v>
      </c>
      <c r="EL63" s="42">
        <f t="shared" si="148"/>
        <v>8568</v>
      </c>
      <c r="EM63" s="42">
        <f t="shared" si="148"/>
        <v>8631</v>
      </c>
      <c r="EN63" s="42">
        <f t="shared" si="148"/>
        <v>8694</v>
      </c>
      <c r="EO63" s="42">
        <f t="shared" si="148"/>
        <v>8757</v>
      </c>
      <c r="EP63" s="42">
        <f t="shared" si="148"/>
        <v>8820</v>
      </c>
      <c r="EQ63" s="42">
        <f t="shared" si="148"/>
        <v>8883</v>
      </c>
      <c r="ER63" s="42">
        <f t="shared" si="148"/>
        <v>8946</v>
      </c>
      <c r="ES63" s="42">
        <f t="shared" si="148"/>
        <v>9009</v>
      </c>
      <c r="ET63" s="42">
        <f t="shared" si="148"/>
        <v>9072</v>
      </c>
      <c r="EU63" s="42">
        <f t="shared" si="148"/>
        <v>9135</v>
      </c>
      <c r="EV63" s="42">
        <f t="shared" si="148"/>
        <v>9198</v>
      </c>
      <c r="EW63" s="42">
        <f t="shared" si="148"/>
        <v>9261</v>
      </c>
      <c r="EX63" s="42">
        <f t="shared" si="148"/>
        <v>9324</v>
      </c>
      <c r="EY63" s="42">
        <f t="shared" si="148"/>
        <v>9387</v>
      </c>
      <c r="EZ63" s="42">
        <f t="shared" si="148"/>
        <v>9450</v>
      </c>
      <c r="FA63" s="42">
        <f t="shared" si="148"/>
        <v>9513</v>
      </c>
      <c r="FB63" s="42">
        <f t="shared" si="148"/>
        <v>9576</v>
      </c>
      <c r="FC63" s="42">
        <f t="shared" si="148"/>
        <v>9639</v>
      </c>
      <c r="FD63" s="42">
        <f t="shared" si="148"/>
        <v>9702</v>
      </c>
      <c r="FE63" s="42">
        <f t="shared" si="148"/>
        <v>9765</v>
      </c>
      <c r="FF63" s="42">
        <f t="shared" si="148"/>
        <v>9828</v>
      </c>
      <c r="FG63" s="42">
        <f t="shared" si="148"/>
        <v>9891</v>
      </c>
      <c r="FH63" s="42">
        <f t="shared" si="148"/>
        <v>9954</v>
      </c>
      <c r="FI63" s="42">
        <f t="shared" si="148"/>
        <v>10017</v>
      </c>
      <c r="FJ63" s="42">
        <f t="shared" si="148"/>
        <v>10080</v>
      </c>
      <c r="FK63" s="42">
        <f t="shared" si="148"/>
        <v>10143</v>
      </c>
      <c r="FL63" s="42">
        <f t="shared" si="148"/>
        <v>10206</v>
      </c>
      <c r="FM63" s="42">
        <f t="shared" si="148"/>
        <v>10269</v>
      </c>
      <c r="FN63" s="42">
        <f t="shared" si="148"/>
        <v>10332</v>
      </c>
      <c r="FO63" s="42">
        <f t="shared" si="148"/>
        <v>10395</v>
      </c>
      <c r="FP63" s="42">
        <f t="shared" si="148"/>
        <v>10458</v>
      </c>
      <c r="FQ63" s="42">
        <f t="shared" si="148"/>
        <v>10521</v>
      </c>
      <c r="FR63" s="42">
        <f t="shared" si="148"/>
        <v>10584</v>
      </c>
      <c r="FS63" s="42">
        <f t="shared" si="148"/>
        <v>10647</v>
      </c>
      <c r="FT63" s="42">
        <f t="shared" si="148"/>
        <v>10710</v>
      </c>
      <c r="FU63" s="42">
        <f t="shared" si="148"/>
        <v>10773</v>
      </c>
      <c r="FV63" s="42">
        <f t="shared" si="148"/>
        <v>10836</v>
      </c>
      <c r="FW63" s="42">
        <f t="shared" si="148"/>
        <v>10899</v>
      </c>
      <c r="FX63" s="42">
        <f t="shared" si="148"/>
        <v>10962</v>
      </c>
      <c r="FY63" s="42">
        <f t="shared" si="148"/>
        <v>11025</v>
      </c>
      <c r="FZ63" s="42">
        <f t="shared" si="148"/>
        <v>11088</v>
      </c>
      <c r="GA63" s="42">
        <f t="shared" si="148"/>
        <v>11151</v>
      </c>
      <c r="GB63" s="42">
        <f t="shared" si="148"/>
        <v>11214</v>
      </c>
      <c r="GC63" s="42">
        <f t="shared" si="148"/>
        <v>11277</v>
      </c>
      <c r="GD63" s="42">
        <f t="shared" ref="GD63:GI63" si="149">$B$63*$A$35*GD34</f>
        <v>11340</v>
      </c>
      <c r="GE63" s="42">
        <f t="shared" si="149"/>
        <v>11403</v>
      </c>
      <c r="GF63" s="42">
        <f t="shared" si="149"/>
        <v>11466</v>
      </c>
      <c r="GG63" s="42">
        <f t="shared" si="149"/>
        <v>11529</v>
      </c>
      <c r="GH63" s="42">
        <f t="shared" si="149"/>
        <v>11592</v>
      </c>
      <c r="GI63" s="42">
        <f t="shared" si="149"/>
        <v>11655</v>
      </c>
    </row>
    <row r="64" spans="1:191">
      <c r="B64" s="30">
        <v>14.5</v>
      </c>
      <c r="C64" s="30">
        <f t="shared" si="78"/>
        <v>16.5</v>
      </c>
      <c r="G64" s="42">
        <f>$B$64*$A$35*G34</f>
        <v>65.25</v>
      </c>
      <c r="H64" s="42">
        <f t="shared" ref="H64:BS64" si="150">$B$64*$A$35*H34</f>
        <v>130.5</v>
      </c>
      <c r="I64" s="42">
        <f t="shared" si="150"/>
        <v>195.75</v>
      </c>
      <c r="J64" s="42">
        <f t="shared" si="150"/>
        <v>261</v>
      </c>
      <c r="K64" s="42">
        <f t="shared" si="150"/>
        <v>326.25</v>
      </c>
      <c r="L64" s="42">
        <f t="shared" si="150"/>
        <v>391.5</v>
      </c>
      <c r="M64" s="42">
        <f t="shared" si="150"/>
        <v>456.75</v>
      </c>
      <c r="N64" s="42">
        <f t="shared" si="150"/>
        <v>522</v>
      </c>
      <c r="O64" s="42">
        <f t="shared" si="150"/>
        <v>587.25</v>
      </c>
      <c r="P64" s="42">
        <f t="shared" si="150"/>
        <v>652.5</v>
      </c>
      <c r="Q64" s="42">
        <f t="shared" si="150"/>
        <v>717.75</v>
      </c>
      <c r="R64" s="42">
        <f t="shared" si="150"/>
        <v>783</v>
      </c>
      <c r="S64" s="42">
        <f t="shared" si="150"/>
        <v>848.25</v>
      </c>
      <c r="T64" s="42">
        <f t="shared" si="150"/>
        <v>913.5</v>
      </c>
      <c r="U64" s="42">
        <f t="shared" si="150"/>
        <v>978.75</v>
      </c>
      <c r="V64" s="42">
        <f t="shared" si="150"/>
        <v>1044</v>
      </c>
      <c r="W64" s="42">
        <f t="shared" si="150"/>
        <v>1109.25</v>
      </c>
      <c r="X64" s="42">
        <f t="shared" si="150"/>
        <v>1174.5</v>
      </c>
      <c r="Y64" s="42">
        <f t="shared" si="150"/>
        <v>1239.75</v>
      </c>
      <c r="Z64" s="42">
        <f t="shared" si="150"/>
        <v>1305</v>
      </c>
      <c r="AA64" s="42">
        <f t="shared" si="150"/>
        <v>1370.25</v>
      </c>
      <c r="AB64" s="42">
        <f t="shared" si="150"/>
        <v>1435.5</v>
      </c>
      <c r="AC64" s="42">
        <f t="shared" si="150"/>
        <v>1500.75</v>
      </c>
      <c r="AD64" s="42">
        <f t="shared" si="150"/>
        <v>1566</v>
      </c>
      <c r="AE64" s="42">
        <f t="shared" si="150"/>
        <v>1631.25</v>
      </c>
      <c r="AF64" s="42">
        <f t="shared" si="150"/>
        <v>1696.5</v>
      </c>
      <c r="AG64" s="42">
        <f t="shared" si="150"/>
        <v>1761.75</v>
      </c>
      <c r="AH64" s="42">
        <f t="shared" si="150"/>
        <v>1827</v>
      </c>
      <c r="AI64" s="42">
        <f t="shared" si="150"/>
        <v>1892.25</v>
      </c>
      <c r="AJ64" s="42">
        <f t="shared" si="150"/>
        <v>1957.5</v>
      </c>
      <c r="AK64" s="42">
        <f t="shared" si="150"/>
        <v>2022.75</v>
      </c>
      <c r="AL64" s="42">
        <f t="shared" si="150"/>
        <v>2088</v>
      </c>
      <c r="AM64" s="42">
        <f t="shared" si="150"/>
        <v>2153.25</v>
      </c>
      <c r="AN64" s="42">
        <f t="shared" si="150"/>
        <v>2218.5</v>
      </c>
      <c r="AO64" s="42">
        <f t="shared" si="150"/>
        <v>2283.75</v>
      </c>
      <c r="AP64" s="42">
        <f t="shared" si="150"/>
        <v>2349</v>
      </c>
      <c r="AQ64" s="42">
        <f t="shared" si="150"/>
        <v>2414.25</v>
      </c>
      <c r="AR64" s="42">
        <f t="shared" si="150"/>
        <v>2479.5</v>
      </c>
      <c r="AS64" s="42">
        <f t="shared" si="150"/>
        <v>2544.75</v>
      </c>
      <c r="AT64" s="42">
        <f t="shared" si="150"/>
        <v>2610</v>
      </c>
      <c r="AU64" s="42">
        <f t="shared" si="150"/>
        <v>2675.25</v>
      </c>
      <c r="AV64" s="42">
        <f t="shared" si="150"/>
        <v>2740.5</v>
      </c>
      <c r="AW64" s="42">
        <f t="shared" si="150"/>
        <v>2805.75</v>
      </c>
      <c r="AX64" s="42">
        <f t="shared" si="150"/>
        <v>2871</v>
      </c>
      <c r="AY64" s="42">
        <f t="shared" si="150"/>
        <v>2936.25</v>
      </c>
      <c r="AZ64" s="42">
        <f t="shared" si="150"/>
        <v>3001.5</v>
      </c>
      <c r="BA64" s="42">
        <f t="shared" si="150"/>
        <v>3066.75</v>
      </c>
      <c r="BB64" s="42">
        <f t="shared" si="150"/>
        <v>3132</v>
      </c>
      <c r="BC64" s="42">
        <f t="shared" si="150"/>
        <v>3197.25</v>
      </c>
      <c r="BD64" s="42">
        <f t="shared" si="150"/>
        <v>3262.5</v>
      </c>
      <c r="BE64" s="42">
        <f t="shared" si="150"/>
        <v>3327.75</v>
      </c>
      <c r="BF64" s="42">
        <f t="shared" si="150"/>
        <v>3393</v>
      </c>
      <c r="BG64" s="42">
        <f t="shared" si="150"/>
        <v>3458.25</v>
      </c>
      <c r="BH64" s="42">
        <f t="shared" si="150"/>
        <v>3523.5</v>
      </c>
      <c r="BI64" s="42">
        <f t="shared" si="150"/>
        <v>3588.75</v>
      </c>
      <c r="BJ64" s="42">
        <f t="shared" si="150"/>
        <v>3654</v>
      </c>
      <c r="BK64" s="42">
        <f t="shared" si="150"/>
        <v>3719.25</v>
      </c>
      <c r="BL64" s="42">
        <f t="shared" si="150"/>
        <v>3784.5</v>
      </c>
      <c r="BM64" s="42">
        <f t="shared" si="150"/>
        <v>3849.75</v>
      </c>
      <c r="BN64" s="42">
        <f t="shared" si="150"/>
        <v>3915</v>
      </c>
      <c r="BO64" s="42">
        <f t="shared" si="150"/>
        <v>3980.25</v>
      </c>
      <c r="BP64" s="42">
        <f t="shared" si="150"/>
        <v>4045.5</v>
      </c>
      <c r="BQ64" s="42">
        <f t="shared" si="150"/>
        <v>4110.75</v>
      </c>
      <c r="BR64" s="42">
        <f t="shared" si="150"/>
        <v>4176</v>
      </c>
      <c r="BS64" s="42">
        <f t="shared" si="150"/>
        <v>4241.25</v>
      </c>
      <c r="BT64" s="42">
        <f t="shared" ref="BT64:CU64" si="151">$B$64*$A$35*BT34</f>
        <v>4306.5</v>
      </c>
      <c r="BU64" s="42">
        <f t="shared" si="151"/>
        <v>4371.75</v>
      </c>
      <c r="BV64" s="42">
        <f t="shared" si="151"/>
        <v>4437</v>
      </c>
      <c r="BW64" s="42">
        <f t="shared" si="151"/>
        <v>4502.25</v>
      </c>
      <c r="BX64" s="42">
        <f t="shared" si="151"/>
        <v>4567.5</v>
      </c>
      <c r="BY64" s="42">
        <f t="shared" si="151"/>
        <v>4632.75</v>
      </c>
      <c r="BZ64" s="42">
        <f t="shared" si="151"/>
        <v>4698</v>
      </c>
      <c r="CA64" s="42">
        <f t="shared" si="151"/>
        <v>4763.25</v>
      </c>
      <c r="CB64" s="42">
        <f t="shared" si="151"/>
        <v>4828.5</v>
      </c>
      <c r="CC64" s="42">
        <f t="shared" si="151"/>
        <v>4893.75</v>
      </c>
      <c r="CD64" s="42">
        <f t="shared" si="151"/>
        <v>4959</v>
      </c>
      <c r="CE64" s="42">
        <f t="shared" si="151"/>
        <v>5024.25</v>
      </c>
      <c r="CF64" s="42">
        <f t="shared" si="151"/>
        <v>5089.5</v>
      </c>
      <c r="CG64" s="42">
        <f t="shared" si="151"/>
        <v>5154.75</v>
      </c>
      <c r="CH64" s="42">
        <f t="shared" si="151"/>
        <v>5220</v>
      </c>
      <c r="CI64" s="42">
        <f t="shared" si="151"/>
        <v>5285.25</v>
      </c>
      <c r="CJ64" s="42">
        <f t="shared" si="151"/>
        <v>5350.5</v>
      </c>
      <c r="CK64" s="42">
        <f t="shared" si="151"/>
        <v>5415.75</v>
      </c>
      <c r="CL64" s="42">
        <f t="shared" si="151"/>
        <v>5481</v>
      </c>
      <c r="CM64" s="42">
        <f t="shared" si="151"/>
        <v>5546.25</v>
      </c>
      <c r="CN64" s="42">
        <f t="shared" si="151"/>
        <v>5611.5</v>
      </c>
      <c r="CO64" s="42">
        <f t="shared" si="151"/>
        <v>5676.75</v>
      </c>
      <c r="CP64" s="42">
        <f t="shared" si="151"/>
        <v>5742</v>
      </c>
      <c r="CQ64" s="42">
        <f t="shared" si="151"/>
        <v>5807.25</v>
      </c>
      <c r="CR64" s="42">
        <f t="shared" si="151"/>
        <v>5872.5</v>
      </c>
      <c r="CS64" s="42">
        <f t="shared" si="151"/>
        <v>5937.75</v>
      </c>
      <c r="CT64" s="42">
        <f t="shared" si="151"/>
        <v>6003</v>
      </c>
      <c r="CU64" s="42">
        <f t="shared" si="151"/>
        <v>6068.25</v>
      </c>
      <c r="CV64" s="42">
        <f t="shared" ref="CV64:DQ64" si="152">$B$64*$A$35*CV34</f>
        <v>6133.5</v>
      </c>
      <c r="CW64" s="42">
        <f t="shared" si="152"/>
        <v>6198.75</v>
      </c>
      <c r="CX64" s="42">
        <f t="shared" si="152"/>
        <v>6264</v>
      </c>
      <c r="CY64" s="42">
        <f t="shared" si="152"/>
        <v>6329.25</v>
      </c>
      <c r="CZ64" s="42">
        <f t="shared" si="152"/>
        <v>6394.5</v>
      </c>
      <c r="DA64" s="42">
        <f t="shared" si="152"/>
        <v>6459.75</v>
      </c>
      <c r="DB64" s="42">
        <f t="shared" si="152"/>
        <v>6525</v>
      </c>
      <c r="DC64" s="42">
        <f t="shared" si="152"/>
        <v>6590.25</v>
      </c>
      <c r="DD64" s="42">
        <f t="shared" si="152"/>
        <v>6655.5</v>
      </c>
      <c r="DE64" s="42">
        <f t="shared" si="152"/>
        <v>6720.75</v>
      </c>
      <c r="DF64" s="42">
        <f t="shared" si="152"/>
        <v>6786</v>
      </c>
      <c r="DG64" s="42">
        <f t="shared" si="152"/>
        <v>6851.25</v>
      </c>
      <c r="DH64" s="42">
        <f t="shared" si="152"/>
        <v>6916.5</v>
      </c>
      <c r="DI64" s="42">
        <f t="shared" si="152"/>
        <v>6981.75</v>
      </c>
      <c r="DJ64" s="42">
        <f t="shared" si="152"/>
        <v>7047</v>
      </c>
      <c r="DK64" s="42">
        <f t="shared" si="152"/>
        <v>7112.25</v>
      </c>
      <c r="DL64" s="42">
        <f t="shared" si="152"/>
        <v>7177.5</v>
      </c>
      <c r="DM64" s="42">
        <f t="shared" si="152"/>
        <v>7242.75</v>
      </c>
      <c r="DN64" s="42">
        <f t="shared" si="152"/>
        <v>7308</v>
      </c>
      <c r="DO64" s="42">
        <f t="shared" si="152"/>
        <v>7373.25</v>
      </c>
      <c r="DP64" s="42">
        <f t="shared" si="152"/>
        <v>7438.5</v>
      </c>
      <c r="DQ64" s="42">
        <f t="shared" si="152"/>
        <v>7503.75</v>
      </c>
      <c r="DR64" s="42">
        <f t="shared" ref="DR64:GC64" si="153">$B$64*$A$35*DR34</f>
        <v>7569</v>
      </c>
      <c r="DS64" s="42">
        <f t="shared" si="153"/>
        <v>7634.25</v>
      </c>
      <c r="DT64" s="42">
        <f t="shared" si="153"/>
        <v>7699.5</v>
      </c>
      <c r="DU64" s="42">
        <f t="shared" si="153"/>
        <v>7764.75</v>
      </c>
      <c r="DV64" s="42">
        <f t="shared" si="153"/>
        <v>7830</v>
      </c>
      <c r="DW64" s="42">
        <f t="shared" si="153"/>
        <v>7895.25</v>
      </c>
      <c r="DX64" s="42">
        <f t="shared" si="153"/>
        <v>7960.5</v>
      </c>
      <c r="DY64" s="42">
        <f t="shared" si="153"/>
        <v>8025.75</v>
      </c>
      <c r="DZ64" s="42">
        <f t="shared" si="153"/>
        <v>8091</v>
      </c>
      <c r="EA64" s="42">
        <f t="shared" si="153"/>
        <v>8156.25</v>
      </c>
      <c r="EB64" s="42">
        <f t="shared" si="153"/>
        <v>8221.5</v>
      </c>
      <c r="EC64" s="42">
        <f t="shared" si="153"/>
        <v>8286.75</v>
      </c>
      <c r="ED64" s="42">
        <f t="shared" si="153"/>
        <v>8352</v>
      </c>
      <c r="EE64" s="42">
        <f t="shared" si="153"/>
        <v>8417.25</v>
      </c>
      <c r="EF64" s="42">
        <f t="shared" si="153"/>
        <v>8482.5</v>
      </c>
      <c r="EG64" s="42">
        <f t="shared" si="153"/>
        <v>8547.75</v>
      </c>
      <c r="EH64" s="42">
        <f t="shared" si="153"/>
        <v>8613</v>
      </c>
      <c r="EI64" s="42">
        <f t="shared" si="153"/>
        <v>8678.25</v>
      </c>
      <c r="EJ64" s="42">
        <f t="shared" si="153"/>
        <v>8743.5</v>
      </c>
      <c r="EK64" s="42">
        <f t="shared" si="153"/>
        <v>8808.75</v>
      </c>
      <c r="EL64" s="42">
        <f t="shared" si="153"/>
        <v>8874</v>
      </c>
      <c r="EM64" s="42">
        <f t="shared" si="153"/>
        <v>8939.25</v>
      </c>
      <c r="EN64" s="42">
        <f t="shared" si="153"/>
        <v>9004.5</v>
      </c>
      <c r="EO64" s="42">
        <f t="shared" si="153"/>
        <v>9069.75</v>
      </c>
      <c r="EP64" s="42">
        <f t="shared" si="153"/>
        <v>9135</v>
      </c>
      <c r="EQ64" s="42">
        <f t="shared" si="153"/>
        <v>9200.25</v>
      </c>
      <c r="ER64" s="42">
        <f t="shared" si="153"/>
        <v>9265.5</v>
      </c>
      <c r="ES64" s="42">
        <f t="shared" si="153"/>
        <v>9330.75</v>
      </c>
      <c r="ET64" s="42">
        <f t="shared" si="153"/>
        <v>9396</v>
      </c>
      <c r="EU64" s="42">
        <f t="shared" si="153"/>
        <v>9461.25</v>
      </c>
      <c r="EV64" s="42">
        <f t="shared" si="153"/>
        <v>9526.5</v>
      </c>
      <c r="EW64" s="42">
        <f t="shared" si="153"/>
        <v>9591.75</v>
      </c>
      <c r="EX64" s="42">
        <f t="shared" si="153"/>
        <v>9657</v>
      </c>
      <c r="EY64" s="42">
        <f t="shared" si="153"/>
        <v>9722.25</v>
      </c>
      <c r="EZ64" s="42">
        <f t="shared" si="153"/>
        <v>9787.5</v>
      </c>
      <c r="FA64" s="42">
        <f t="shared" si="153"/>
        <v>9852.75</v>
      </c>
      <c r="FB64" s="42">
        <f t="shared" si="153"/>
        <v>9918</v>
      </c>
      <c r="FC64" s="42">
        <f t="shared" si="153"/>
        <v>9983.25</v>
      </c>
      <c r="FD64" s="42">
        <f t="shared" si="153"/>
        <v>10048.5</v>
      </c>
      <c r="FE64" s="42">
        <f t="shared" si="153"/>
        <v>10113.75</v>
      </c>
      <c r="FF64" s="42">
        <f t="shared" si="153"/>
        <v>10179</v>
      </c>
      <c r="FG64" s="42">
        <f t="shared" si="153"/>
        <v>10244.25</v>
      </c>
      <c r="FH64" s="42">
        <f t="shared" si="153"/>
        <v>10309.5</v>
      </c>
      <c r="FI64" s="42">
        <f t="shared" si="153"/>
        <v>10374.75</v>
      </c>
      <c r="FJ64" s="42">
        <f t="shared" si="153"/>
        <v>10440</v>
      </c>
      <c r="FK64" s="42">
        <f t="shared" si="153"/>
        <v>10505.25</v>
      </c>
      <c r="FL64" s="42">
        <f t="shared" si="153"/>
        <v>10570.5</v>
      </c>
      <c r="FM64" s="42">
        <f t="shared" si="153"/>
        <v>10635.75</v>
      </c>
      <c r="FN64" s="42">
        <f t="shared" si="153"/>
        <v>10701</v>
      </c>
      <c r="FO64" s="42">
        <f t="shared" si="153"/>
        <v>10766.25</v>
      </c>
      <c r="FP64" s="42">
        <f t="shared" si="153"/>
        <v>10831.5</v>
      </c>
      <c r="FQ64" s="42">
        <f t="shared" si="153"/>
        <v>10896.75</v>
      </c>
      <c r="FR64" s="42">
        <f t="shared" si="153"/>
        <v>10962</v>
      </c>
      <c r="FS64" s="42">
        <f t="shared" si="153"/>
        <v>11027.25</v>
      </c>
      <c r="FT64" s="42">
        <f t="shared" si="153"/>
        <v>11092.5</v>
      </c>
      <c r="FU64" s="42">
        <f t="shared" si="153"/>
        <v>11157.75</v>
      </c>
      <c r="FV64" s="42">
        <f t="shared" si="153"/>
        <v>11223</v>
      </c>
      <c r="FW64" s="42">
        <f t="shared" si="153"/>
        <v>11288.25</v>
      </c>
      <c r="FX64" s="42">
        <f t="shared" si="153"/>
        <v>11353.5</v>
      </c>
      <c r="FY64" s="42">
        <f t="shared" si="153"/>
        <v>11418.75</v>
      </c>
      <c r="FZ64" s="42">
        <f t="shared" si="153"/>
        <v>11484</v>
      </c>
      <c r="GA64" s="42">
        <f t="shared" si="153"/>
        <v>11549.25</v>
      </c>
      <c r="GB64" s="42">
        <f t="shared" si="153"/>
        <v>11614.5</v>
      </c>
      <c r="GC64" s="42">
        <f t="shared" si="153"/>
        <v>11679.75</v>
      </c>
      <c r="GD64" s="42">
        <f t="shared" ref="GD64:GI64" si="154">$B$64*$A$35*GD34</f>
        <v>11745</v>
      </c>
      <c r="GE64" s="42">
        <f t="shared" si="154"/>
        <v>11810.25</v>
      </c>
      <c r="GF64" s="42">
        <f t="shared" si="154"/>
        <v>11875.5</v>
      </c>
      <c r="GG64" s="42">
        <f t="shared" si="154"/>
        <v>11940.75</v>
      </c>
      <c r="GH64" s="42">
        <f t="shared" si="154"/>
        <v>12006</v>
      </c>
      <c r="GI64" s="42">
        <f t="shared" si="154"/>
        <v>12071.25</v>
      </c>
    </row>
    <row r="65" spans="1:191" ht="7.5" customHeight="1"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</row>
    <row r="66" spans="1:191" ht="15" customHeight="1">
      <c r="G66" s="33">
        <f>SUMIF($B$49:$B$64,$B$70,G49:G64)/G34</f>
        <v>40.5</v>
      </c>
      <c r="H66" s="33">
        <f>SUMIF($B$49:$B$64,$B$70,H49:H64)/H34</f>
        <v>40.5</v>
      </c>
      <c r="I66" s="33">
        <f t="shared" ref="I66:BT66" si="155">SUMIF($B$49:$B$64,$B$70,I49:I64)/I34</f>
        <v>40.5</v>
      </c>
      <c r="J66" s="33">
        <f t="shared" si="155"/>
        <v>40.5</v>
      </c>
      <c r="K66" s="33">
        <f t="shared" si="155"/>
        <v>40.5</v>
      </c>
      <c r="L66" s="33">
        <f t="shared" si="155"/>
        <v>40.5</v>
      </c>
      <c r="M66" s="33">
        <f t="shared" si="155"/>
        <v>40.5</v>
      </c>
      <c r="N66" s="33">
        <f t="shared" si="155"/>
        <v>40.5</v>
      </c>
      <c r="O66" s="33">
        <f t="shared" si="155"/>
        <v>40.5</v>
      </c>
      <c r="P66" s="33">
        <f t="shared" si="155"/>
        <v>40.5</v>
      </c>
      <c r="Q66" s="33">
        <f t="shared" si="155"/>
        <v>40.5</v>
      </c>
      <c r="R66" s="33">
        <f t="shared" si="155"/>
        <v>40.5</v>
      </c>
      <c r="S66" s="33">
        <f t="shared" si="155"/>
        <v>40.5</v>
      </c>
      <c r="T66" s="33">
        <f t="shared" si="155"/>
        <v>40.5</v>
      </c>
      <c r="U66" s="33">
        <f t="shared" si="155"/>
        <v>40.5</v>
      </c>
      <c r="V66" s="33">
        <f t="shared" si="155"/>
        <v>40.5</v>
      </c>
      <c r="W66" s="33">
        <f t="shared" si="155"/>
        <v>40.5</v>
      </c>
      <c r="X66" s="33">
        <f t="shared" si="155"/>
        <v>40.5</v>
      </c>
      <c r="Y66" s="33">
        <f t="shared" si="155"/>
        <v>40.5</v>
      </c>
      <c r="Z66" s="33">
        <f t="shared" si="155"/>
        <v>40.5</v>
      </c>
      <c r="AA66" s="33">
        <f t="shared" si="155"/>
        <v>40.5</v>
      </c>
      <c r="AB66" s="33">
        <f t="shared" si="155"/>
        <v>40.5</v>
      </c>
      <c r="AC66" s="33">
        <f t="shared" si="155"/>
        <v>40.5</v>
      </c>
      <c r="AD66" s="33">
        <f t="shared" si="155"/>
        <v>40.5</v>
      </c>
      <c r="AE66" s="33">
        <f t="shared" si="155"/>
        <v>40.5</v>
      </c>
      <c r="AF66" s="33">
        <f t="shared" si="155"/>
        <v>40.5</v>
      </c>
      <c r="AG66" s="33">
        <f t="shared" si="155"/>
        <v>40.5</v>
      </c>
      <c r="AH66" s="33">
        <f t="shared" si="155"/>
        <v>40.5</v>
      </c>
      <c r="AI66" s="33">
        <f t="shared" si="155"/>
        <v>40.5</v>
      </c>
      <c r="AJ66" s="33">
        <f t="shared" si="155"/>
        <v>40.5</v>
      </c>
      <c r="AK66" s="33">
        <f t="shared" si="155"/>
        <v>40.5</v>
      </c>
      <c r="AL66" s="33">
        <f t="shared" si="155"/>
        <v>40.5</v>
      </c>
      <c r="AM66" s="33">
        <f t="shared" si="155"/>
        <v>40.5</v>
      </c>
      <c r="AN66" s="33">
        <f t="shared" si="155"/>
        <v>40.5</v>
      </c>
      <c r="AO66" s="33">
        <f t="shared" si="155"/>
        <v>40.5</v>
      </c>
      <c r="AP66" s="33">
        <f t="shared" si="155"/>
        <v>40.5</v>
      </c>
      <c r="AQ66" s="33">
        <f t="shared" si="155"/>
        <v>40.5</v>
      </c>
      <c r="AR66" s="33">
        <f t="shared" si="155"/>
        <v>40.5</v>
      </c>
      <c r="AS66" s="33">
        <f t="shared" si="155"/>
        <v>40.5</v>
      </c>
      <c r="AT66" s="33">
        <f t="shared" si="155"/>
        <v>40.5</v>
      </c>
      <c r="AU66" s="33">
        <f t="shared" si="155"/>
        <v>40.5</v>
      </c>
      <c r="AV66" s="33">
        <f t="shared" si="155"/>
        <v>40.5</v>
      </c>
      <c r="AW66" s="33">
        <f t="shared" si="155"/>
        <v>40.5</v>
      </c>
      <c r="AX66" s="33">
        <f t="shared" si="155"/>
        <v>40.5</v>
      </c>
      <c r="AY66" s="33">
        <f t="shared" si="155"/>
        <v>40.5</v>
      </c>
      <c r="AZ66" s="33">
        <f t="shared" si="155"/>
        <v>40.5</v>
      </c>
      <c r="BA66" s="33">
        <f t="shared" si="155"/>
        <v>40.5</v>
      </c>
      <c r="BB66" s="33">
        <f t="shared" si="155"/>
        <v>40.5</v>
      </c>
      <c r="BC66" s="33">
        <f t="shared" si="155"/>
        <v>40.5</v>
      </c>
      <c r="BD66" s="33">
        <f t="shared" si="155"/>
        <v>40.5</v>
      </c>
      <c r="BE66" s="33">
        <f t="shared" si="155"/>
        <v>40.5</v>
      </c>
      <c r="BF66" s="33">
        <f t="shared" si="155"/>
        <v>40.5</v>
      </c>
      <c r="BG66" s="33">
        <f t="shared" si="155"/>
        <v>40.5</v>
      </c>
      <c r="BH66" s="33">
        <f t="shared" si="155"/>
        <v>40.5</v>
      </c>
      <c r="BI66" s="33">
        <f t="shared" si="155"/>
        <v>40.5</v>
      </c>
      <c r="BJ66" s="33">
        <f t="shared" si="155"/>
        <v>40.5</v>
      </c>
      <c r="BK66" s="33">
        <f t="shared" si="155"/>
        <v>40.5</v>
      </c>
      <c r="BL66" s="33">
        <f t="shared" si="155"/>
        <v>40.5</v>
      </c>
      <c r="BM66" s="33">
        <f t="shared" si="155"/>
        <v>40.5</v>
      </c>
      <c r="BN66" s="33">
        <f t="shared" si="155"/>
        <v>40.5</v>
      </c>
      <c r="BO66" s="33">
        <f t="shared" si="155"/>
        <v>40.5</v>
      </c>
      <c r="BP66" s="33">
        <f t="shared" si="155"/>
        <v>40.5</v>
      </c>
      <c r="BQ66" s="33">
        <f t="shared" si="155"/>
        <v>40.5</v>
      </c>
      <c r="BR66" s="33">
        <f t="shared" si="155"/>
        <v>40.5</v>
      </c>
      <c r="BS66" s="33">
        <f t="shared" si="155"/>
        <v>40.5</v>
      </c>
      <c r="BT66" s="33">
        <f t="shared" si="155"/>
        <v>40.5</v>
      </c>
      <c r="BU66" s="33">
        <f t="shared" ref="BU66:CU66" si="156">SUMIF($B$49:$B$64,$B$70,BU49:BU64)/BU34</f>
        <v>40.5</v>
      </c>
      <c r="BV66" s="33">
        <f t="shared" si="156"/>
        <v>40.5</v>
      </c>
      <c r="BW66" s="33">
        <f t="shared" si="156"/>
        <v>40.5</v>
      </c>
      <c r="BX66" s="33">
        <f t="shared" si="156"/>
        <v>40.5</v>
      </c>
      <c r="BY66" s="33">
        <f t="shared" si="156"/>
        <v>40.5</v>
      </c>
      <c r="BZ66" s="33">
        <f t="shared" si="156"/>
        <v>40.5</v>
      </c>
      <c r="CA66" s="33">
        <f t="shared" si="156"/>
        <v>40.5</v>
      </c>
      <c r="CB66" s="33">
        <f t="shared" si="156"/>
        <v>40.5</v>
      </c>
      <c r="CC66" s="33">
        <f t="shared" si="156"/>
        <v>40.5</v>
      </c>
      <c r="CD66" s="33">
        <f t="shared" si="156"/>
        <v>40.5</v>
      </c>
      <c r="CE66" s="33">
        <f t="shared" si="156"/>
        <v>40.5</v>
      </c>
      <c r="CF66" s="33">
        <f t="shared" si="156"/>
        <v>40.5</v>
      </c>
      <c r="CG66" s="33">
        <f t="shared" si="156"/>
        <v>40.5</v>
      </c>
      <c r="CH66" s="33">
        <f t="shared" si="156"/>
        <v>40.5</v>
      </c>
      <c r="CI66" s="33">
        <f t="shared" si="156"/>
        <v>40.5</v>
      </c>
      <c r="CJ66" s="33">
        <f t="shared" si="156"/>
        <v>40.5</v>
      </c>
      <c r="CK66" s="33">
        <f t="shared" si="156"/>
        <v>40.5</v>
      </c>
      <c r="CL66" s="33">
        <f t="shared" si="156"/>
        <v>40.5</v>
      </c>
      <c r="CM66" s="33">
        <f t="shared" si="156"/>
        <v>40.5</v>
      </c>
      <c r="CN66" s="33">
        <f t="shared" si="156"/>
        <v>40.5</v>
      </c>
      <c r="CO66" s="33">
        <f t="shared" si="156"/>
        <v>40.5</v>
      </c>
      <c r="CP66" s="33">
        <f t="shared" si="156"/>
        <v>40.5</v>
      </c>
      <c r="CQ66" s="33">
        <f t="shared" si="156"/>
        <v>40.5</v>
      </c>
      <c r="CR66" s="33">
        <f t="shared" si="156"/>
        <v>40.5</v>
      </c>
      <c r="CS66" s="33">
        <f t="shared" si="156"/>
        <v>40.5</v>
      </c>
      <c r="CT66" s="33">
        <f t="shared" si="156"/>
        <v>40.5</v>
      </c>
      <c r="CU66" s="33">
        <f t="shared" si="156"/>
        <v>40.5</v>
      </c>
      <c r="CV66" s="33">
        <f t="shared" ref="CV66:DQ66" si="157">SUMIF($B$49:$B$64,$B$70,CV49:CV64)/CV34</f>
        <v>40.5</v>
      </c>
      <c r="CW66" s="33">
        <f t="shared" si="157"/>
        <v>40.5</v>
      </c>
      <c r="CX66" s="33">
        <f t="shared" si="157"/>
        <v>40.5</v>
      </c>
      <c r="CY66" s="33">
        <f t="shared" si="157"/>
        <v>40.5</v>
      </c>
      <c r="CZ66" s="33">
        <f t="shared" si="157"/>
        <v>40.5</v>
      </c>
      <c r="DA66" s="33">
        <f t="shared" si="157"/>
        <v>40.5</v>
      </c>
      <c r="DB66" s="33">
        <f t="shared" si="157"/>
        <v>40.5</v>
      </c>
      <c r="DC66" s="33">
        <f t="shared" si="157"/>
        <v>40.5</v>
      </c>
      <c r="DD66" s="33">
        <f t="shared" si="157"/>
        <v>40.5</v>
      </c>
      <c r="DE66" s="33">
        <f t="shared" si="157"/>
        <v>40.5</v>
      </c>
      <c r="DF66" s="33">
        <f t="shared" si="157"/>
        <v>40.5</v>
      </c>
      <c r="DG66" s="33">
        <f t="shared" si="157"/>
        <v>40.5</v>
      </c>
      <c r="DH66" s="33">
        <f t="shared" si="157"/>
        <v>40.5</v>
      </c>
      <c r="DI66" s="33">
        <f t="shared" si="157"/>
        <v>40.5</v>
      </c>
      <c r="DJ66" s="33">
        <f t="shared" si="157"/>
        <v>40.5</v>
      </c>
      <c r="DK66" s="33">
        <f t="shared" si="157"/>
        <v>40.5</v>
      </c>
      <c r="DL66" s="33">
        <f t="shared" si="157"/>
        <v>40.5</v>
      </c>
      <c r="DM66" s="33">
        <f t="shared" si="157"/>
        <v>40.5</v>
      </c>
      <c r="DN66" s="33">
        <f t="shared" si="157"/>
        <v>40.5</v>
      </c>
      <c r="DO66" s="33">
        <f t="shared" si="157"/>
        <v>40.5</v>
      </c>
      <c r="DP66" s="33">
        <f t="shared" si="157"/>
        <v>40.5</v>
      </c>
      <c r="DQ66" s="33">
        <f t="shared" si="157"/>
        <v>40.5</v>
      </c>
      <c r="DR66" s="33">
        <f t="shared" ref="DR66:GC66" si="158">SUMIF($B$49:$B$64,$B$70,DR49:DR64)/DR34</f>
        <v>40.5</v>
      </c>
      <c r="DS66" s="33">
        <f t="shared" si="158"/>
        <v>40.5</v>
      </c>
      <c r="DT66" s="33">
        <f t="shared" si="158"/>
        <v>40.5</v>
      </c>
      <c r="DU66" s="33">
        <f t="shared" si="158"/>
        <v>40.5</v>
      </c>
      <c r="DV66" s="33">
        <f t="shared" si="158"/>
        <v>40.5</v>
      </c>
      <c r="DW66" s="33">
        <f t="shared" si="158"/>
        <v>40.5</v>
      </c>
      <c r="DX66" s="33">
        <f t="shared" si="158"/>
        <v>40.5</v>
      </c>
      <c r="DY66" s="33">
        <f t="shared" si="158"/>
        <v>40.5</v>
      </c>
      <c r="DZ66" s="33">
        <f t="shared" si="158"/>
        <v>40.5</v>
      </c>
      <c r="EA66" s="33">
        <f t="shared" si="158"/>
        <v>40.5</v>
      </c>
      <c r="EB66" s="33">
        <f t="shared" si="158"/>
        <v>40.5</v>
      </c>
      <c r="EC66" s="33">
        <f t="shared" si="158"/>
        <v>40.5</v>
      </c>
      <c r="ED66" s="33">
        <f t="shared" si="158"/>
        <v>40.5</v>
      </c>
      <c r="EE66" s="33">
        <f t="shared" si="158"/>
        <v>40.5</v>
      </c>
      <c r="EF66" s="33">
        <f t="shared" si="158"/>
        <v>40.5</v>
      </c>
      <c r="EG66" s="33">
        <f t="shared" si="158"/>
        <v>40.5</v>
      </c>
      <c r="EH66" s="33">
        <f t="shared" si="158"/>
        <v>40.5</v>
      </c>
      <c r="EI66" s="33">
        <f t="shared" si="158"/>
        <v>40.5</v>
      </c>
      <c r="EJ66" s="33">
        <f t="shared" si="158"/>
        <v>40.5</v>
      </c>
      <c r="EK66" s="33">
        <f t="shared" si="158"/>
        <v>40.5</v>
      </c>
      <c r="EL66" s="33">
        <f t="shared" si="158"/>
        <v>40.5</v>
      </c>
      <c r="EM66" s="33">
        <f t="shared" si="158"/>
        <v>40.5</v>
      </c>
      <c r="EN66" s="33">
        <f t="shared" si="158"/>
        <v>40.5</v>
      </c>
      <c r="EO66" s="33">
        <f t="shared" si="158"/>
        <v>40.5</v>
      </c>
      <c r="EP66" s="33">
        <f t="shared" si="158"/>
        <v>40.5</v>
      </c>
      <c r="EQ66" s="33">
        <f t="shared" si="158"/>
        <v>40.5</v>
      </c>
      <c r="ER66" s="33">
        <f t="shared" si="158"/>
        <v>40.5</v>
      </c>
      <c r="ES66" s="33">
        <f t="shared" si="158"/>
        <v>40.5</v>
      </c>
      <c r="ET66" s="33">
        <f t="shared" si="158"/>
        <v>40.5</v>
      </c>
      <c r="EU66" s="33">
        <f t="shared" si="158"/>
        <v>40.5</v>
      </c>
      <c r="EV66" s="33">
        <f t="shared" si="158"/>
        <v>40.5</v>
      </c>
      <c r="EW66" s="33">
        <f t="shared" si="158"/>
        <v>40.5</v>
      </c>
      <c r="EX66" s="33">
        <f t="shared" si="158"/>
        <v>40.5</v>
      </c>
      <c r="EY66" s="33">
        <f t="shared" si="158"/>
        <v>40.5</v>
      </c>
      <c r="EZ66" s="33">
        <f t="shared" si="158"/>
        <v>40.5</v>
      </c>
      <c r="FA66" s="33">
        <f t="shared" si="158"/>
        <v>40.5</v>
      </c>
      <c r="FB66" s="33">
        <f t="shared" si="158"/>
        <v>40.5</v>
      </c>
      <c r="FC66" s="33">
        <f t="shared" si="158"/>
        <v>40.5</v>
      </c>
      <c r="FD66" s="33">
        <f t="shared" si="158"/>
        <v>40.5</v>
      </c>
      <c r="FE66" s="33">
        <f t="shared" si="158"/>
        <v>40.5</v>
      </c>
      <c r="FF66" s="33">
        <f t="shared" si="158"/>
        <v>40.5</v>
      </c>
      <c r="FG66" s="33">
        <f t="shared" si="158"/>
        <v>40.5</v>
      </c>
      <c r="FH66" s="33">
        <f t="shared" si="158"/>
        <v>40.5</v>
      </c>
      <c r="FI66" s="33">
        <f t="shared" si="158"/>
        <v>40.5</v>
      </c>
      <c r="FJ66" s="33">
        <f t="shared" si="158"/>
        <v>40.5</v>
      </c>
      <c r="FK66" s="33">
        <f t="shared" si="158"/>
        <v>40.5</v>
      </c>
      <c r="FL66" s="33">
        <f t="shared" si="158"/>
        <v>40.5</v>
      </c>
      <c r="FM66" s="33">
        <f t="shared" si="158"/>
        <v>40.5</v>
      </c>
      <c r="FN66" s="33">
        <f t="shared" si="158"/>
        <v>40.5</v>
      </c>
      <c r="FO66" s="33">
        <f t="shared" si="158"/>
        <v>40.5</v>
      </c>
      <c r="FP66" s="33">
        <f t="shared" si="158"/>
        <v>40.5</v>
      </c>
      <c r="FQ66" s="33">
        <f t="shared" si="158"/>
        <v>40.5</v>
      </c>
      <c r="FR66" s="33">
        <f t="shared" si="158"/>
        <v>40.5</v>
      </c>
      <c r="FS66" s="33">
        <f t="shared" si="158"/>
        <v>40.5</v>
      </c>
      <c r="FT66" s="33">
        <f t="shared" si="158"/>
        <v>40.5</v>
      </c>
      <c r="FU66" s="33">
        <f t="shared" si="158"/>
        <v>40.5</v>
      </c>
      <c r="FV66" s="33">
        <f t="shared" si="158"/>
        <v>40.5</v>
      </c>
      <c r="FW66" s="33">
        <f t="shared" si="158"/>
        <v>40.5</v>
      </c>
      <c r="FX66" s="33">
        <f t="shared" si="158"/>
        <v>40.5</v>
      </c>
      <c r="FY66" s="33">
        <f t="shared" si="158"/>
        <v>40.5</v>
      </c>
      <c r="FZ66" s="33">
        <f t="shared" si="158"/>
        <v>40.5</v>
      </c>
      <c r="GA66" s="33">
        <f t="shared" si="158"/>
        <v>40.5</v>
      </c>
      <c r="GB66" s="33">
        <f t="shared" si="158"/>
        <v>40.5</v>
      </c>
      <c r="GC66" s="33">
        <f t="shared" si="158"/>
        <v>40.5</v>
      </c>
      <c r="GD66" s="33">
        <f t="shared" ref="GD66:GI66" si="159">SUMIF($B$49:$B$64,$B$70,GD49:GD64)/GD34</f>
        <v>40.5</v>
      </c>
      <c r="GE66" s="33">
        <f t="shared" si="159"/>
        <v>40.5</v>
      </c>
      <c r="GF66" s="33">
        <f t="shared" si="159"/>
        <v>40.5</v>
      </c>
      <c r="GG66" s="33">
        <f t="shared" si="159"/>
        <v>40.5</v>
      </c>
      <c r="GH66" s="33">
        <f t="shared" si="159"/>
        <v>40.5</v>
      </c>
      <c r="GI66" s="33">
        <f t="shared" si="159"/>
        <v>40.5</v>
      </c>
    </row>
    <row r="67" spans="1:191" ht="7.5" customHeight="1"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</row>
    <row r="68" spans="1:191">
      <c r="C68" t="s">
        <v>138</v>
      </c>
      <c r="D68" s="181">
        <f>Parts!M70</f>
        <v>101.3591</v>
      </c>
      <c r="E68" s="2">
        <f>B14</f>
        <v>0</v>
      </c>
      <c r="G68" s="31">
        <v>0</v>
      </c>
      <c r="H68" s="31">
        <v>0</v>
      </c>
      <c r="I68" s="31">
        <v>0</v>
      </c>
      <c r="J68" s="31">
        <v>0</v>
      </c>
      <c r="K68" s="31">
        <v>0</v>
      </c>
      <c r="L68" s="31">
        <f>($D$68*1.6*$E$68)</f>
        <v>0</v>
      </c>
      <c r="M68" s="31">
        <f t="shared" ref="M68:BX68" si="160">($D$68*1.6*$E$68)</f>
        <v>0</v>
      </c>
      <c r="N68" s="31">
        <f t="shared" si="160"/>
        <v>0</v>
      </c>
      <c r="O68" s="31">
        <f t="shared" si="160"/>
        <v>0</v>
      </c>
      <c r="P68" s="31">
        <f t="shared" si="160"/>
        <v>0</v>
      </c>
      <c r="Q68" s="31">
        <f t="shared" si="160"/>
        <v>0</v>
      </c>
      <c r="R68" s="31">
        <f t="shared" si="160"/>
        <v>0</v>
      </c>
      <c r="S68" s="31">
        <f t="shared" si="160"/>
        <v>0</v>
      </c>
      <c r="T68" s="31">
        <f t="shared" si="160"/>
        <v>0</v>
      </c>
      <c r="U68" s="31">
        <f t="shared" si="160"/>
        <v>0</v>
      </c>
      <c r="V68" s="31">
        <f t="shared" si="160"/>
        <v>0</v>
      </c>
      <c r="W68" s="31">
        <f t="shared" si="160"/>
        <v>0</v>
      </c>
      <c r="X68" s="31">
        <f t="shared" si="160"/>
        <v>0</v>
      </c>
      <c r="Y68" s="31">
        <f t="shared" si="160"/>
        <v>0</v>
      </c>
      <c r="Z68" s="31">
        <f t="shared" si="160"/>
        <v>0</v>
      </c>
      <c r="AA68" s="31">
        <f t="shared" si="160"/>
        <v>0</v>
      </c>
      <c r="AB68" s="31">
        <f t="shared" si="160"/>
        <v>0</v>
      </c>
      <c r="AC68" s="31">
        <f t="shared" si="160"/>
        <v>0</v>
      </c>
      <c r="AD68" s="31">
        <f t="shared" si="160"/>
        <v>0</v>
      </c>
      <c r="AE68" s="31">
        <f t="shared" si="160"/>
        <v>0</v>
      </c>
      <c r="AF68" s="31">
        <f t="shared" si="160"/>
        <v>0</v>
      </c>
      <c r="AG68" s="31">
        <f t="shared" si="160"/>
        <v>0</v>
      </c>
      <c r="AH68" s="31">
        <f t="shared" si="160"/>
        <v>0</v>
      </c>
      <c r="AI68" s="31">
        <f t="shared" si="160"/>
        <v>0</v>
      </c>
      <c r="AJ68" s="31">
        <f t="shared" si="160"/>
        <v>0</v>
      </c>
      <c r="AK68" s="31">
        <f t="shared" si="160"/>
        <v>0</v>
      </c>
      <c r="AL68" s="31">
        <f t="shared" si="160"/>
        <v>0</v>
      </c>
      <c r="AM68" s="31">
        <f t="shared" si="160"/>
        <v>0</v>
      </c>
      <c r="AN68" s="31">
        <f t="shared" si="160"/>
        <v>0</v>
      </c>
      <c r="AO68" s="31">
        <f t="shared" si="160"/>
        <v>0</v>
      </c>
      <c r="AP68" s="31">
        <f t="shared" si="160"/>
        <v>0</v>
      </c>
      <c r="AQ68" s="31">
        <f t="shared" si="160"/>
        <v>0</v>
      </c>
      <c r="AR68" s="31">
        <f t="shared" si="160"/>
        <v>0</v>
      </c>
      <c r="AS68" s="31">
        <f t="shared" si="160"/>
        <v>0</v>
      </c>
      <c r="AT68" s="31">
        <f t="shared" si="160"/>
        <v>0</v>
      </c>
      <c r="AU68" s="31">
        <f t="shared" si="160"/>
        <v>0</v>
      </c>
      <c r="AV68" s="31">
        <f t="shared" si="160"/>
        <v>0</v>
      </c>
      <c r="AW68" s="31">
        <f t="shared" si="160"/>
        <v>0</v>
      </c>
      <c r="AX68" s="31">
        <f t="shared" si="160"/>
        <v>0</v>
      </c>
      <c r="AY68" s="31">
        <f t="shared" si="160"/>
        <v>0</v>
      </c>
      <c r="AZ68" s="31">
        <f t="shared" si="160"/>
        <v>0</v>
      </c>
      <c r="BA68" s="31">
        <f t="shared" si="160"/>
        <v>0</v>
      </c>
      <c r="BB68" s="31">
        <f t="shared" si="160"/>
        <v>0</v>
      </c>
      <c r="BC68" s="31">
        <f t="shared" si="160"/>
        <v>0</v>
      </c>
      <c r="BD68" s="31">
        <f t="shared" si="160"/>
        <v>0</v>
      </c>
      <c r="BE68" s="31">
        <f t="shared" si="160"/>
        <v>0</v>
      </c>
      <c r="BF68" s="31">
        <f t="shared" si="160"/>
        <v>0</v>
      </c>
      <c r="BG68" s="31">
        <f t="shared" si="160"/>
        <v>0</v>
      </c>
      <c r="BH68" s="31">
        <f t="shared" si="160"/>
        <v>0</v>
      </c>
      <c r="BI68" s="31">
        <f t="shared" si="160"/>
        <v>0</v>
      </c>
      <c r="BJ68" s="31">
        <f t="shared" si="160"/>
        <v>0</v>
      </c>
      <c r="BK68" s="31">
        <f t="shared" si="160"/>
        <v>0</v>
      </c>
      <c r="BL68" s="31">
        <f t="shared" si="160"/>
        <v>0</v>
      </c>
      <c r="BM68" s="31">
        <f t="shared" si="160"/>
        <v>0</v>
      </c>
      <c r="BN68" s="31">
        <f t="shared" si="160"/>
        <v>0</v>
      </c>
      <c r="BO68" s="31">
        <f t="shared" si="160"/>
        <v>0</v>
      </c>
      <c r="BP68" s="31">
        <f t="shared" si="160"/>
        <v>0</v>
      </c>
      <c r="BQ68" s="31">
        <f t="shared" si="160"/>
        <v>0</v>
      </c>
      <c r="BR68" s="31">
        <f t="shared" si="160"/>
        <v>0</v>
      </c>
      <c r="BS68" s="31">
        <f t="shared" si="160"/>
        <v>0</v>
      </c>
      <c r="BT68" s="31">
        <f t="shared" si="160"/>
        <v>0</v>
      </c>
      <c r="BU68" s="31">
        <f t="shared" si="160"/>
        <v>0</v>
      </c>
      <c r="BV68" s="31">
        <f t="shared" si="160"/>
        <v>0</v>
      </c>
      <c r="BW68" s="31">
        <f t="shared" si="160"/>
        <v>0</v>
      </c>
      <c r="BX68" s="31">
        <f t="shared" si="160"/>
        <v>0</v>
      </c>
      <c r="BY68" s="31">
        <f t="shared" ref="BY68:EJ68" si="161">($D$68*1.6*$E$68)</f>
        <v>0</v>
      </c>
      <c r="BZ68" s="31">
        <f t="shared" si="161"/>
        <v>0</v>
      </c>
      <c r="CA68" s="31">
        <f t="shared" si="161"/>
        <v>0</v>
      </c>
      <c r="CB68" s="31">
        <f t="shared" si="161"/>
        <v>0</v>
      </c>
      <c r="CC68" s="31">
        <f t="shared" si="161"/>
        <v>0</v>
      </c>
      <c r="CD68" s="31">
        <f t="shared" si="161"/>
        <v>0</v>
      </c>
      <c r="CE68" s="31">
        <f t="shared" si="161"/>
        <v>0</v>
      </c>
      <c r="CF68" s="31">
        <f t="shared" si="161"/>
        <v>0</v>
      </c>
      <c r="CG68" s="31">
        <f t="shared" si="161"/>
        <v>0</v>
      </c>
      <c r="CH68" s="31">
        <f t="shared" si="161"/>
        <v>0</v>
      </c>
      <c r="CI68" s="31">
        <f t="shared" si="161"/>
        <v>0</v>
      </c>
      <c r="CJ68" s="31">
        <f t="shared" si="161"/>
        <v>0</v>
      </c>
      <c r="CK68" s="31">
        <f t="shared" si="161"/>
        <v>0</v>
      </c>
      <c r="CL68" s="31">
        <f t="shared" si="161"/>
        <v>0</v>
      </c>
      <c r="CM68" s="31">
        <f t="shared" si="161"/>
        <v>0</v>
      </c>
      <c r="CN68" s="31">
        <f t="shared" si="161"/>
        <v>0</v>
      </c>
      <c r="CO68" s="31">
        <f t="shared" si="161"/>
        <v>0</v>
      </c>
      <c r="CP68" s="31">
        <f t="shared" si="161"/>
        <v>0</v>
      </c>
      <c r="CQ68" s="31">
        <f t="shared" si="161"/>
        <v>0</v>
      </c>
      <c r="CR68" s="31">
        <f t="shared" si="161"/>
        <v>0</v>
      </c>
      <c r="CS68" s="31">
        <f t="shared" si="161"/>
        <v>0</v>
      </c>
      <c r="CT68" s="31">
        <f t="shared" si="161"/>
        <v>0</v>
      </c>
      <c r="CU68" s="31">
        <f t="shared" si="161"/>
        <v>0</v>
      </c>
      <c r="CV68" s="31">
        <f t="shared" si="161"/>
        <v>0</v>
      </c>
      <c r="CW68" s="31">
        <f t="shared" si="161"/>
        <v>0</v>
      </c>
      <c r="CX68" s="31">
        <f t="shared" si="161"/>
        <v>0</v>
      </c>
      <c r="CY68" s="31">
        <f t="shared" si="161"/>
        <v>0</v>
      </c>
      <c r="CZ68" s="31">
        <f t="shared" si="161"/>
        <v>0</v>
      </c>
      <c r="DA68" s="31">
        <f t="shared" si="161"/>
        <v>0</v>
      </c>
      <c r="DB68" s="31">
        <f t="shared" si="161"/>
        <v>0</v>
      </c>
      <c r="DC68" s="31">
        <f t="shared" si="161"/>
        <v>0</v>
      </c>
      <c r="DD68" s="31">
        <f t="shared" si="161"/>
        <v>0</v>
      </c>
      <c r="DE68" s="31">
        <f t="shared" si="161"/>
        <v>0</v>
      </c>
      <c r="DF68" s="31">
        <f t="shared" si="161"/>
        <v>0</v>
      </c>
      <c r="DG68" s="31">
        <f t="shared" si="161"/>
        <v>0</v>
      </c>
      <c r="DH68" s="31">
        <f t="shared" si="161"/>
        <v>0</v>
      </c>
      <c r="DI68" s="31">
        <f t="shared" si="161"/>
        <v>0</v>
      </c>
      <c r="DJ68" s="31">
        <f t="shared" si="161"/>
        <v>0</v>
      </c>
      <c r="DK68" s="31">
        <f t="shared" si="161"/>
        <v>0</v>
      </c>
      <c r="DL68" s="31">
        <f t="shared" si="161"/>
        <v>0</v>
      </c>
      <c r="DM68" s="31">
        <f t="shared" si="161"/>
        <v>0</v>
      </c>
      <c r="DN68" s="31">
        <f t="shared" si="161"/>
        <v>0</v>
      </c>
      <c r="DO68" s="31">
        <f t="shared" si="161"/>
        <v>0</v>
      </c>
      <c r="DP68" s="31">
        <f t="shared" si="161"/>
        <v>0</v>
      </c>
      <c r="DQ68" s="31">
        <f t="shared" si="161"/>
        <v>0</v>
      </c>
      <c r="DR68" s="31">
        <f t="shared" si="161"/>
        <v>0</v>
      </c>
      <c r="DS68" s="31">
        <f t="shared" si="161"/>
        <v>0</v>
      </c>
      <c r="DT68" s="31">
        <f t="shared" si="161"/>
        <v>0</v>
      </c>
      <c r="DU68" s="31">
        <f t="shared" si="161"/>
        <v>0</v>
      </c>
      <c r="DV68" s="31">
        <f t="shared" si="161"/>
        <v>0</v>
      </c>
      <c r="DW68" s="31">
        <f t="shared" si="161"/>
        <v>0</v>
      </c>
      <c r="DX68" s="31">
        <f t="shared" si="161"/>
        <v>0</v>
      </c>
      <c r="DY68" s="31">
        <f t="shared" si="161"/>
        <v>0</v>
      </c>
      <c r="DZ68" s="31">
        <f t="shared" si="161"/>
        <v>0</v>
      </c>
      <c r="EA68" s="31">
        <f t="shared" si="161"/>
        <v>0</v>
      </c>
      <c r="EB68" s="31">
        <f t="shared" si="161"/>
        <v>0</v>
      </c>
      <c r="EC68" s="31">
        <f t="shared" si="161"/>
        <v>0</v>
      </c>
      <c r="ED68" s="31">
        <f t="shared" si="161"/>
        <v>0</v>
      </c>
      <c r="EE68" s="31">
        <f t="shared" si="161"/>
        <v>0</v>
      </c>
      <c r="EF68" s="31">
        <f t="shared" si="161"/>
        <v>0</v>
      </c>
      <c r="EG68" s="31">
        <f t="shared" si="161"/>
        <v>0</v>
      </c>
      <c r="EH68" s="31">
        <f t="shared" si="161"/>
        <v>0</v>
      </c>
      <c r="EI68" s="31">
        <f t="shared" si="161"/>
        <v>0</v>
      </c>
      <c r="EJ68" s="31">
        <f t="shared" si="161"/>
        <v>0</v>
      </c>
      <c r="EK68" s="31">
        <f t="shared" ref="EK68:GI68" si="162">($D$68*1.6*$E$68)</f>
        <v>0</v>
      </c>
      <c r="EL68" s="31">
        <f t="shared" si="162"/>
        <v>0</v>
      </c>
      <c r="EM68" s="31">
        <f t="shared" si="162"/>
        <v>0</v>
      </c>
      <c r="EN68" s="31">
        <f t="shared" si="162"/>
        <v>0</v>
      </c>
      <c r="EO68" s="31">
        <f t="shared" si="162"/>
        <v>0</v>
      </c>
      <c r="EP68" s="31">
        <f t="shared" si="162"/>
        <v>0</v>
      </c>
      <c r="EQ68" s="31">
        <f t="shared" si="162"/>
        <v>0</v>
      </c>
      <c r="ER68" s="31">
        <f t="shared" si="162"/>
        <v>0</v>
      </c>
      <c r="ES68" s="31">
        <f t="shared" si="162"/>
        <v>0</v>
      </c>
      <c r="ET68" s="31">
        <f t="shared" si="162"/>
        <v>0</v>
      </c>
      <c r="EU68" s="31">
        <f t="shared" si="162"/>
        <v>0</v>
      </c>
      <c r="EV68" s="31">
        <f t="shared" si="162"/>
        <v>0</v>
      </c>
      <c r="EW68" s="31">
        <f t="shared" si="162"/>
        <v>0</v>
      </c>
      <c r="EX68" s="31">
        <f t="shared" si="162"/>
        <v>0</v>
      </c>
      <c r="EY68" s="31">
        <f t="shared" si="162"/>
        <v>0</v>
      </c>
      <c r="EZ68" s="31">
        <f t="shared" si="162"/>
        <v>0</v>
      </c>
      <c r="FA68" s="31">
        <f t="shared" si="162"/>
        <v>0</v>
      </c>
      <c r="FB68" s="31">
        <f t="shared" si="162"/>
        <v>0</v>
      </c>
      <c r="FC68" s="31">
        <f t="shared" si="162"/>
        <v>0</v>
      </c>
      <c r="FD68" s="31">
        <f t="shared" si="162"/>
        <v>0</v>
      </c>
      <c r="FE68" s="31">
        <f t="shared" si="162"/>
        <v>0</v>
      </c>
      <c r="FF68" s="31">
        <f t="shared" si="162"/>
        <v>0</v>
      </c>
      <c r="FG68" s="31">
        <f t="shared" si="162"/>
        <v>0</v>
      </c>
      <c r="FH68" s="31">
        <f t="shared" si="162"/>
        <v>0</v>
      </c>
      <c r="FI68" s="31">
        <f t="shared" si="162"/>
        <v>0</v>
      </c>
      <c r="FJ68" s="31">
        <f t="shared" si="162"/>
        <v>0</v>
      </c>
      <c r="FK68" s="31">
        <f t="shared" si="162"/>
        <v>0</v>
      </c>
      <c r="FL68" s="31">
        <f t="shared" si="162"/>
        <v>0</v>
      </c>
      <c r="FM68" s="31">
        <f t="shared" si="162"/>
        <v>0</v>
      </c>
      <c r="FN68" s="31">
        <f t="shared" si="162"/>
        <v>0</v>
      </c>
      <c r="FO68" s="31">
        <f t="shared" si="162"/>
        <v>0</v>
      </c>
      <c r="FP68" s="31">
        <f t="shared" si="162"/>
        <v>0</v>
      </c>
      <c r="FQ68" s="31">
        <f t="shared" si="162"/>
        <v>0</v>
      </c>
      <c r="FR68" s="31">
        <f t="shared" si="162"/>
        <v>0</v>
      </c>
      <c r="FS68" s="31">
        <f t="shared" si="162"/>
        <v>0</v>
      </c>
      <c r="FT68" s="31">
        <f t="shared" si="162"/>
        <v>0</v>
      </c>
      <c r="FU68" s="31">
        <f t="shared" si="162"/>
        <v>0</v>
      </c>
      <c r="FV68" s="31">
        <f t="shared" si="162"/>
        <v>0</v>
      </c>
      <c r="FW68" s="31">
        <f t="shared" si="162"/>
        <v>0</v>
      </c>
      <c r="FX68" s="31">
        <f t="shared" si="162"/>
        <v>0</v>
      </c>
      <c r="FY68" s="31">
        <f t="shared" si="162"/>
        <v>0</v>
      </c>
      <c r="FZ68" s="31">
        <f t="shared" si="162"/>
        <v>0</v>
      </c>
      <c r="GA68" s="31">
        <f t="shared" si="162"/>
        <v>0</v>
      </c>
      <c r="GB68" s="31">
        <f t="shared" si="162"/>
        <v>0</v>
      </c>
      <c r="GC68" s="31">
        <f t="shared" si="162"/>
        <v>0</v>
      </c>
      <c r="GD68" s="31">
        <f t="shared" si="162"/>
        <v>0</v>
      </c>
      <c r="GE68" s="31">
        <f t="shared" si="162"/>
        <v>0</v>
      </c>
      <c r="GF68" s="31">
        <f t="shared" si="162"/>
        <v>0</v>
      </c>
      <c r="GG68" s="31">
        <f t="shared" si="162"/>
        <v>0</v>
      </c>
      <c r="GH68" s="31">
        <f t="shared" si="162"/>
        <v>0</v>
      </c>
      <c r="GI68" s="31">
        <f t="shared" si="162"/>
        <v>0</v>
      </c>
    </row>
    <row r="69" spans="1:191" ht="15.75" thickBot="1">
      <c r="C69" t="s">
        <v>139</v>
      </c>
      <c r="D69" s="181">
        <f>Parts!M76</f>
        <v>163.67440000000002</v>
      </c>
      <c r="E69" s="2">
        <f>B15</f>
        <v>0</v>
      </c>
      <c r="G69" s="31">
        <v>0</v>
      </c>
      <c r="H69" s="31">
        <v>0</v>
      </c>
      <c r="I69" s="31">
        <v>0</v>
      </c>
      <c r="J69" s="31">
        <v>0</v>
      </c>
      <c r="K69" s="31">
        <v>0</v>
      </c>
      <c r="L69" s="31">
        <f>$D$69*1.5*$E$69</f>
        <v>0</v>
      </c>
      <c r="M69" s="31">
        <f t="shared" ref="M69:BX69" si="163">$D$69*1.5*$E$69</f>
        <v>0</v>
      </c>
      <c r="N69" s="31">
        <f t="shared" si="163"/>
        <v>0</v>
      </c>
      <c r="O69" s="31">
        <f t="shared" si="163"/>
        <v>0</v>
      </c>
      <c r="P69" s="31">
        <f t="shared" si="163"/>
        <v>0</v>
      </c>
      <c r="Q69" s="31">
        <f t="shared" si="163"/>
        <v>0</v>
      </c>
      <c r="R69" s="31">
        <f t="shared" si="163"/>
        <v>0</v>
      </c>
      <c r="S69" s="31">
        <f t="shared" si="163"/>
        <v>0</v>
      </c>
      <c r="T69" s="31">
        <f t="shared" si="163"/>
        <v>0</v>
      </c>
      <c r="U69" s="31">
        <f t="shared" si="163"/>
        <v>0</v>
      </c>
      <c r="V69" s="31">
        <f t="shared" si="163"/>
        <v>0</v>
      </c>
      <c r="W69" s="31">
        <f t="shared" si="163"/>
        <v>0</v>
      </c>
      <c r="X69" s="31">
        <f t="shared" si="163"/>
        <v>0</v>
      </c>
      <c r="Y69" s="31">
        <f t="shared" si="163"/>
        <v>0</v>
      </c>
      <c r="Z69" s="31">
        <f t="shared" si="163"/>
        <v>0</v>
      </c>
      <c r="AA69" s="31">
        <f t="shared" si="163"/>
        <v>0</v>
      </c>
      <c r="AB69" s="31">
        <f t="shared" si="163"/>
        <v>0</v>
      </c>
      <c r="AC69" s="31">
        <f t="shared" si="163"/>
        <v>0</v>
      </c>
      <c r="AD69" s="31">
        <f t="shared" si="163"/>
        <v>0</v>
      </c>
      <c r="AE69" s="31">
        <f t="shared" si="163"/>
        <v>0</v>
      </c>
      <c r="AF69" s="31">
        <f t="shared" si="163"/>
        <v>0</v>
      </c>
      <c r="AG69" s="31">
        <f t="shared" si="163"/>
        <v>0</v>
      </c>
      <c r="AH69" s="31">
        <f t="shared" si="163"/>
        <v>0</v>
      </c>
      <c r="AI69" s="31">
        <f t="shared" si="163"/>
        <v>0</v>
      </c>
      <c r="AJ69" s="31">
        <f t="shared" si="163"/>
        <v>0</v>
      </c>
      <c r="AK69" s="31">
        <f t="shared" si="163"/>
        <v>0</v>
      </c>
      <c r="AL69" s="31">
        <f t="shared" si="163"/>
        <v>0</v>
      </c>
      <c r="AM69" s="31">
        <f t="shared" si="163"/>
        <v>0</v>
      </c>
      <c r="AN69" s="31">
        <f t="shared" si="163"/>
        <v>0</v>
      </c>
      <c r="AO69" s="31">
        <f t="shared" si="163"/>
        <v>0</v>
      </c>
      <c r="AP69" s="31">
        <f t="shared" si="163"/>
        <v>0</v>
      </c>
      <c r="AQ69" s="31">
        <f t="shared" si="163"/>
        <v>0</v>
      </c>
      <c r="AR69" s="31">
        <f t="shared" si="163"/>
        <v>0</v>
      </c>
      <c r="AS69" s="31">
        <f t="shared" si="163"/>
        <v>0</v>
      </c>
      <c r="AT69" s="31">
        <f t="shared" si="163"/>
        <v>0</v>
      </c>
      <c r="AU69" s="31">
        <f t="shared" si="163"/>
        <v>0</v>
      </c>
      <c r="AV69" s="31">
        <f t="shared" si="163"/>
        <v>0</v>
      </c>
      <c r="AW69" s="31">
        <f t="shared" si="163"/>
        <v>0</v>
      </c>
      <c r="AX69" s="31">
        <f t="shared" si="163"/>
        <v>0</v>
      </c>
      <c r="AY69" s="31">
        <f t="shared" si="163"/>
        <v>0</v>
      </c>
      <c r="AZ69" s="31">
        <f t="shared" si="163"/>
        <v>0</v>
      </c>
      <c r="BA69" s="31">
        <f t="shared" si="163"/>
        <v>0</v>
      </c>
      <c r="BB69" s="31">
        <f t="shared" si="163"/>
        <v>0</v>
      </c>
      <c r="BC69" s="31">
        <f t="shared" si="163"/>
        <v>0</v>
      </c>
      <c r="BD69" s="31">
        <f t="shared" si="163"/>
        <v>0</v>
      </c>
      <c r="BE69" s="31">
        <f t="shared" si="163"/>
        <v>0</v>
      </c>
      <c r="BF69" s="31">
        <f t="shared" si="163"/>
        <v>0</v>
      </c>
      <c r="BG69" s="31">
        <f t="shared" si="163"/>
        <v>0</v>
      </c>
      <c r="BH69" s="31">
        <f t="shared" si="163"/>
        <v>0</v>
      </c>
      <c r="BI69" s="31">
        <f t="shared" si="163"/>
        <v>0</v>
      </c>
      <c r="BJ69" s="31">
        <f t="shared" si="163"/>
        <v>0</v>
      </c>
      <c r="BK69" s="31">
        <f t="shared" si="163"/>
        <v>0</v>
      </c>
      <c r="BL69" s="31">
        <f t="shared" si="163"/>
        <v>0</v>
      </c>
      <c r="BM69" s="31">
        <f t="shared" si="163"/>
        <v>0</v>
      </c>
      <c r="BN69" s="31">
        <f t="shared" si="163"/>
        <v>0</v>
      </c>
      <c r="BO69" s="31">
        <f t="shared" si="163"/>
        <v>0</v>
      </c>
      <c r="BP69" s="31">
        <f t="shared" si="163"/>
        <v>0</v>
      </c>
      <c r="BQ69" s="31">
        <f t="shared" si="163"/>
        <v>0</v>
      </c>
      <c r="BR69" s="31">
        <f t="shared" si="163"/>
        <v>0</v>
      </c>
      <c r="BS69" s="31">
        <f t="shared" si="163"/>
        <v>0</v>
      </c>
      <c r="BT69" s="31">
        <f t="shared" si="163"/>
        <v>0</v>
      </c>
      <c r="BU69" s="31">
        <f t="shared" si="163"/>
        <v>0</v>
      </c>
      <c r="BV69" s="31">
        <f t="shared" si="163"/>
        <v>0</v>
      </c>
      <c r="BW69" s="31">
        <f t="shared" si="163"/>
        <v>0</v>
      </c>
      <c r="BX69" s="31">
        <f t="shared" si="163"/>
        <v>0</v>
      </c>
      <c r="BY69" s="31">
        <f t="shared" ref="BY69:EJ69" si="164">$D$69*1.5*$E$69</f>
        <v>0</v>
      </c>
      <c r="BZ69" s="31">
        <f t="shared" si="164"/>
        <v>0</v>
      </c>
      <c r="CA69" s="31">
        <f t="shared" si="164"/>
        <v>0</v>
      </c>
      <c r="CB69" s="31">
        <f t="shared" si="164"/>
        <v>0</v>
      </c>
      <c r="CC69" s="31">
        <f t="shared" si="164"/>
        <v>0</v>
      </c>
      <c r="CD69" s="31">
        <f t="shared" si="164"/>
        <v>0</v>
      </c>
      <c r="CE69" s="31">
        <f t="shared" si="164"/>
        <v>0</v>
      </c>
      <c r="CF69" s="31">
        <f t="shared" si="164"/>
        <v>0</v>
      </c>
      <c r="CG69" s="31">
        <f t="shared" si="164"/>
        <v>0</v>
      </c>
      <c r="CH69" s="31">
        <f t="shared" si="164"/>
        <v>0</v>
      </c>
      <c r="CI69" s="31">
        <f t="shared" si="164"/>
        <v>0</v>
      </c>
      <c r="CJ69" s="31">
        <f t="shared" si="164"/>
        <v>0</v>
      </c>
      <c r="CK69" s="31">
        <f t="shared" si="164"/>
        <v>0</v>
      </c>
      <c r="CL69" s="31">
        <f t="shared" si="164"/>
        <v>0</v>
      </c>
      <c r="CM69" s="31">
        <f t="shared" si="164"/>
        <v>0</v>
      </c>
      <c r="CN69" s="31">
        <f t="shared" si="164"/>
        <v>0</v>
      </c>
      <c r="CO69" s="31">
        <f t="shared" si="164"/>
        <v>0</v>
      </c>
      <c r="CP69" s="31">
        <f t="shared" si="164"/>
        <v>0</v>
      </c>
      <c r="CQ69" s="31">
        <f t="shared" si="164"/>
        <v>0</v>
      </c>
      <c r="CR69" s="31">
        <f t="shared" si="164"/>
        <v>0</v>
      </c>
      <c r="CS69" s="31">
        <f t="shared" si="164"/>
        <v>0</v>
      </c>
      <c r="CT69" s="31">
        <f t="shared" si="164"/>
        <v>0</v>
      </c>
      <c r="CU69" s="31">
        <f t="shared" si="164"/>
        <v>0</v>
      </c>
      <c r="CV69" s="31">
        <f t="shared" si="164"/>
        <v>0</v>
      </c>
      <c r="CW69" s="31">
        <f t="shared" si="164"/>
        <v>0</v>
      </c>
      <c r="CX69" s="31">
        <f t="shared" si="164"/>
        <v>0</v>
      </c>
      <c r="CY69" s="31">
        <f t="shared" si="164"/>
        <v>0</v>
      </c>
      <c r="CZ69" s="31">
        <f t="shared" si="164"/>
        <v>0</v>
      </c>
      <c r="DA69" s="31">
        <f t="shared" si="164"/>
        <v>0</v>
      </c>
      <c r="DB69" s="31">
        <f t="shared" si="164"/>
        <v>0</v>
      </c>
      <c r="DC69" s="31">
        <f t="shared" si="164"/>
        <v>0</v>
      </c>
      <c r="DD69" s="31">
        <f t="shared" si="164"/>
        <v>0</v>
      </c>
      <c r="DE69" s="31">
        <f t="shared" si="164"/>
        <v>0</v>
      </c>
      <c r="DF69" s="31">
        <f t="shared" si="164"/>
        <v>0</v>
      </c>
      <c r="DG69" s="31">
        <f t="shared" si="164"/>
        <v>0</v>
      </c>
      <c r="DH69" s="31">
        <f t="shared" si="164"/>
        <v>0</v>
      </c>
      <c r="DI69" s="31">
        <f t="shared" si="164"/>
        <v>0</v>
      </c>
      <c r="DJ69" s="31">
        <f t="shared" si="164"/>
        <v>0</v>
      </c>
      <c r="DK69" s="31">
        <f t="shared" si="164"/>
        <v>0</v>
      </c>
      <c r="DL69" s="31">
        <f t="shared" si="164"/>
        <v>0</v>
      </c>
      <c r="DM69" s="31">
        <f t="shared" si="164"/>
        <v>0</v>
      </c>
      <c r="DN69" s="31">
        <f t="shared" si="164"/>
        <v>0</v>
      </c>
      <c r="DO69" s="31">
        <f t="shared" si="164"/>
        <v>0</v>
      </c>
      <c r="DP69" s="31">
        <f t="shared" si="164"/>
        <v>0</v>
      </c>
      <c r="DQ69" s="31">
        <f t="shared" si="164"/>
        <v>0</v>
      </c>
      <c r="DR69" s="31">
        <f t="shared" si="164"/>
        <v>0</v>
      </c>
      <c r="DS69" s="31">
        <f t="shared" si="164"/>
        <v>0</v>
      </c>
      <c r="DT69" s="31">
        <f t="shared" si="164"/>
        <v>0</v>
      </c>
      <c r="DU69" s="31">
        <f t="shared" si="164"/>
        <v>0</v>
      </c>
      <c r="DV69" s="31">
        <f t="shared" si="164"/>
        <v>0</v>
      </c>
      <c r="DW69" s="31">
        <f t="shared" si="164"/>
        <v>0</v>
      </c>
      <c r="DX69" s="31">
        <f t="shared" si="164"/>
        <v>0</v>
      </c>
      <c r="DY69" s="31">
        <f t="shared" si="164"/>
        <v>0</v>
      </c>
      <c r="DZ69" s="31">
        <f t="shared" si="164"/>
        <v>0</v>
      </c>
      <c r="EA69" s="31">
        <f t="shared" si="164"/>
        <v>0</v>
      </c>
      <c r="EB69" s="31">
        <f t="shared" si="164"/>
        <v>0</v>
      </c>
      <c r="EC69" s="31">
        <f t="shared" si="164"/>
        <v>0</v>
      </c>
      <c r="ED69" s="31">
        <f t="shared" si="164"/>
        <v>0</v>
      </c>
      <c r="EE69" s="31">
        <f t="shared" si="164"/>
        <v>0</v>
      </c>
      <c r="EF69" s="31">
        <f t="shared" si="164"/>
        <v>0</v>
      </c>
      <c r="EG69" s="31">
        <f t="shared" si="164"/>
        <v>0</v>
      </c>
      <c r="EH69" s="31">
        <f t="shared" si="164"/>
        <v>0</v>
      </c>
      <c r="EI69" s="31">
        <f t="shared" si="164"/>
        <v>0</v>
      </c>
      <c r="EJ69" s="31">
        <f t="shared" si="164"/>
        <v>0</v>
      </c>
      <c r="EK69" s="31">
        <f t="shared" ref="EK69:GI69" si="165">$D$69*1.5*$E$69</f>
        <v>0</v>
      </c>
      <c r="EL69" s="31">
        <f t="shared" si="165"/>
        <v>0</v>
      </c>
      <c r="EM69" s="31">
        <f t="shared" si="165"/>
        <v>0</v>
      </c>
      <c r="EN69" s="31">
        <f t="shared" si="165"/>
        <v>0</v>
      </c>
      <c r="EO69" s="31">
        <f t="shared" si="165"/>
        <v>0</v>
      </c>
      <c r="EP69" s="31">
        <f t="shared" si="165"/>
        <v>0</v>
      </c>
      <c r="EQ69" s="31">
        <f t="shared" si="165"/>
        <v>0</v>
      </c>
      <c r="ER69" s="31">
        <f t="shared" si="165"/>
        <v>0</v>
      </c>
      <c r="ES69" s="31">
        <f t="shared" si="165"/>
        <v>0</v>
      </c>
      <c r="ET69" s="31">
        <f t="shared" si="165"/>
        <v>0</v>
      </c>
      <c r="EU69" s="31">
        <f t="shared" si="165"/>
        <v>0</v>
      </c>
      <c r="EV69" s="31">
        <f t="shared" si="165"/>
        <v>0</v>
      </c>
      <c r="EW69" s="31">
        <f t="shared" si="165"/>
        <v>0</v>
      </c>
      <c r="EX69" s="31">
        <f t="shared" si="165"/>
        <v>0</v>
      </c>
      <c r="EY69" s="31">
        <f t="shared" si="165"/>
        <v>0</v>
      </c>
      <c r="EZ69" s="31">
        <f t="shared" si="165"/>
        <v>0</v>
      </c>
      <c r="FA69" s="31">
        <f t="shared" si="165"/>
        <v>0</v>
      </c>
      <c r="FB69" s="31">
        <f t="shared" si="165"/>
        <v>0</v>
      </c>
      <c r="FC69" s="31">
        <f t="shared" si="165"/>
        <v>0</v>
      </c>
      <c r="FD69" s="31">
        <f t="shared" si="165"/>
        <v>0</v>
      </c>
      <c r="FE69" s="31">
        <f t="shared" si="165"/>
        <v>0</v>
      </c>
      <c r="FF69" s="31">
        <f t="shared" si="165"/>
        <v>0</v>
      </c>
      <c r="FG69" s="31">
        <f t="shared" si="165"/>
        <v>0</v>
      </c>
      <c r="FH69" s="31">
        <f t="shared" si="165"/>
        <v>0</v>
      </c>
      <c r="FI69" s="31">
        <f t="shared" si="165"/>
        <v>0</v>
      </c>
      <c r="FJ69" s="31">
        <f t="shared" si="165"/>
        <v>0</v>
      </c>
      <c r="FK69" s="31">
        <f t="shared" si="165"/>
        <v>0</v>
      </c>
      <c r="FL69" s="31">
        <f t="shared" si="165"/>
        <v>0</v>
      </c>
      <c r="FM69" s="31">
        <f t="shared" si="165"/>
        <v>0</v>
      </c>
      <c r="FN69" s="31">
        <f t="shared" si="165"/>
        <v>0</v>
      </c>
      <c r="FO69" s="31">
        <f t="shared" si="165"/>
        <v>0</v>
      </c>
      <c r="FP69" s="31">
        <f t="shared" si="165"/>
        <v>0</v>
      </c>
      <c r="FQ69" s="31">
        <f t="shared" si="165"/>
        <v>0</v>
      </c>
      <c r="FR69" s="31">
        <f t="shared" si="165"/>
        <v>0</v>
      </c>
      <c r="FS69" s="31">
        <f t="shared" si="165"/>
        <v>0</v>
      </c>
      <c r="FT69" s="31">
        <f t="shared" si="165"/>
        <v>0</v>
      </c>
      <c r="FU69" s="31">
        <f t="shared" si="165"/>
        <v>0</v>
      </c>
      <c r="FV69" s="31">
        <f t="shared" si="165"/>
        <v>0</v>
      </c>
      <c r="FW69" s="31">
        <f t="shared" si="165"/>
        <v>0</v>
      </c>
      <c r="FX69" s="31">
        <f t="shared" si="165"/>
        <v>0</v>
      </c>
      <c r="FY69" s="31">
        <f t="shared" si="165"/>
        <v>0</v>
      </c>
      <c r="FZ69" s="31">
        <f t="shared" si="165"/>
        <v>0</v>
      </c>
      <c r="GA69" s="31">
        <f t="shared" si="165"/>
        <v>0</v>
      </c>
      <c r="GB69" s="31">
        <f t="shared" si="165"/>
        <v>0</v>
      </c>
      <c r="GC69" s="31">
        <f t="shared" si="165"/>
        <v>0</v>
      </c>
      <c r="GD69" s="31">
        <f t="shared" si="165"/>
        <v>0</v>
      </c>
      <c r="GE69" s="31">
        <f t="shared" si="165"/>
        <v>0</v>
      </c>
      <c r="GF69" s="31">
        <f t="shared" si="165"/>
        <v>0</v>
      </c>
      <c r="GG69" s="31">
        <f t="shared" si="165"/>
        <v>0</v>
      </c>
      <c r="GH69" s="31">
        <f t="shared" si="165"/>
        <v>0</v>
      </c>
      <c r="GI69" s="31">
        <f t="shared" si="165"/>
        <v>0</v>
      </c>
    </row>
    <row r="70" spans="1:191" ht="15.75" thickBot="1">
      <c r="A70" s="2" t="s">
        <v>140</v>
      </c>
      <c r="B70" s="227">
        <f>B17</f>
        <v>9</v>
      </c>
      <c r="G70" s="232">
        <f>SUMIF($B$49:$B$64,$B$70,G49:G64)+G68+G69</f>
        <v>40.5</v>
      </c>
      <c r="H70" s="232">
        <f t="shared" ref="H70:BS70" si="166">SUMIF($B$49:$B$64,$B$70,H49:H64)+H68+H69</f>
        <v>81</v>
      </c>
      <c r="I70" s="232">
        <f t="shared" si="166"/>
        <v>121.5</v>
      </c>
      <c r="J70" s="232">
        <f>SUMIF($B$49:$B$64,$B$70,J49:J64)+J68+J69</f>
        <v>162</v>
      </c>
      <c r="K70" s="232">
        <f t="shared" si="166"/>
        <v>202.5</v>
      </c>
      <c r="L70" s="232">
        <f t="shared" si="166"/>
        <v>243</v>
      </c>
      <c r="M70" s="232">
        <f t="shared" si="166"/>
        <v>283.5</v>
      </c>
      <c r="N70" s="232">
        <f t="shared" si="166"/>
        <v>324</v>
      </c>
      <c r="O70" s="232">
        <f t="shared" si="166"/>
        <v>364.5</v>
      </c>
      <c r="P70" s="232">
        <f t="shared" si="166"/>
        <v>405</v>
      </c>
      <c r="Q70" s="232">
        <f t="shared" si="166"/>
        <v>445.5</v>
      </c>
      <c r="R70" s="232">
        <f t="shared" si="166"/>
        <v>486</v>
      </c>
      <c r="S70" s="232">
        <f t="shared" si="166"/>
        <v>526.5</v>
      </c>
      <c r="T70" s="232">
        <f t="shared" si="166"/>
        <v>567</v>
      </c>
      <c r="U70" s="232">
        <f t="shared" si="166"/>
        <v>607.5</v>
      </c>
      <c r="V70" s="232">
        <f t="shared" si="166"/>
        <v>648</v>
      </c>
      <c r="W70" s="232">
        <f t="shared" si="166"/>
        <v>688.5</v>
      </c>
      <c r="X70" s="232">
        <f t="shared" si="166"/>
        <v>729</v>
      </c>
      <c r="Y70" s="232">
        <f t="shared" si="166"/>
        <v>769.5</v>
      </c>
      <c r="Z70" s="232">
        <f t="shared" si="166"/>
        <v>810</v>
      </c>
      <c r="AA70" s="232">
        <f t="shared" si="166"/>
        <v>850.5</v>
      </c>
      <c r="AB70" s="232">
        <f t="shared" si="166"/>
        <v>891</v>
      </c>
      <c r="AC70" s="232">
        <f t="shared" si="166"/>
        <v>931.5</v>
      </c>
      <c r="AD70" s="232">
        <f t="shared" si="166"/>
        <v>972</v>
      </c>
      <c r="AE70" s="232">
        <f t="shared" si="166"/>
        <v>1012.5</v>
      </c>
      <c r="AF70" s="232">
        <f>SUMIF($B$49:$B$64,$B$70,AF49:AF64)+AF68+AF69</f>
        <v>1053</v>
      </c>
      <c r="AG70" s="232">
        <f t="shared" si="166"/>
        <v>1093.5</v>
      </c>
      <c r="AH70" s="232">
        <f t="shared" si="166"/>
        <v>1134</v>
      </c>
      <c r="AI70" s="232">
        <f t="shared" si="166"/>
        <v>1174.5</v>
      </c>
      <c r="AJ70" s="232">
        <f>SUMIF($B$49:$B$64,$B$70,AJ49:AJ64)+AJ68+AJ69</f>
        <v>1215</v>
      </c>
      <c r="AK70" s="232">
        <f t="shared" si="166"/>
        <v>1255.5</v>
      </c>
      <c r="AL70" s="232">
        <f t="shared" si="166"/>
        <v>1296</v>
      </c>
      <c r="AM70" s="232">
        <f t="shared" si="166"/>
        <v>1336.5</v>
      </c>
      <c r="AN70" s="232">
        <f t="shared" si="166"/>
        <v>1377</v>
      </c>
      <c r="AO70" s="232">
        <f t="shared" si="166"/>
        <v>1417.5</v>
      </c>
      <c r="AP70" s="232">
        <f t="shared" si="166"/>
        <v>1458</v>
      </c>
      <c r="AQ70" s="232">
        <f t="shared" si="166"/>
        <v>1498.5</v>
      </c>
      <c r="AR70" s="232">
        <f t="shared" si="166"/>
        <v>1539</v>
      </c>
      <c r="AS70" s="232">
        <f t="shared" si="166"/>
        <v>1579.5</v>
      </c>
      <c r="AT70" s="232">
        <f t="shared" si="166"/>
        <v>1620</v>
      </c>
      <c r="AU70" s="232">
        <f t="shared" si="166"/>
        <v>1660.5</v>
      </c>
      <c r="AV70" s="232">
        <f t="shared" si="166"/>
        <v>1701</v>
      </c>
      <c r="AW70" s="232">
        <f t="shared" si="166"/>
        <v>1741.5</v>
      </c>
      <c r="AX70" s="232">
        <f t="shared" si="166"/>
        <v>1782</v>
      </c>
      <c r="AY70" s="232">
        <f t="shared" si="166"/>
        <v>1822.5</v>
      </c>
      <c r="AZ70" s="232">
        <f t="shared" si="166"/>
        <v>1863</v>
      </c>
      <c r="BA70" s="232">
        <f t="shared" si="166"/>
        <v>1903.5</v>
      </c>
      <c r="BB70" s="232">
        <f t="shared" si="166"/>
        <v>1944</v>
      </c>
      <c r="BC70" s="232">
        <f t="shared" si="166"/>
        <v>1984.5</v>
      </c>
      <c r="BD70" s="232">
        <f t="shared" si="166"/>
        <v>2025</v>
      </c>
      <c r="BE70" s="232">
        <f t="shared" si="166"/>
        <v>2065.5</v>
      </c>
      <c r="BF70" s="232">
        <f t="shared" si="166"/>
        <v>2106</v>
      </c>
      <c r="BG70" s="232">
        <f t="shared" si="166"/>
        <v>2146.5</v>
      </c>
      <c r="BH70" s="232">
        <f t="shared" si="166"/>
        <v>2187</v>
      </c>
      <c r="BI70" s="232">
        <f t="shared" si="166"/>
        <v>2227.5</v>
      </c>
      <c r="BJ70" s="232">
        <f t="shared" si="166"/>
        <v>2268</v>
      </c>
      <c r="BK70" s="232">
        <f t="shared" si="166"/>
        <v>2308.5</v>
      </c>
      <c r="BL70" s="232">
        <f t="shared" si="166"/>
        <v>2349</v>
      </c>
      <c r="BM70" s="232">
        <f t="shared" si="166"/>
        <v>2389.5</v>
      </c>
      <c r="BN70" s="232">
        <f t="shared" si="166"/>
        <v>2430</v>
      </c>
      <c r="BO70" s="232">
        <f t="shared" si="166"/>
        <v>2470.5</v>
      </c>
      <c r="BP70" s="232">
        <f t="shared" si="166"/>
        <v>2511</v>
      </c>
      <c r="BQ70" s="232">
        <f t="shared" si="166"/>
        <v>2551.5</v>
      </c>
      <c r="BR70" s="232">
        <f t="shared" si="166"/>
        <v>2592</v>
      </c>
      <c r="BS70" s="232">
        <f t="shared" si="166"/>
        <v>2632.5</v>
      </c>
      <c r="BT70" s="232">
        <f t="shared" ref="BT70:CU70" si="167">SUMIF($B$49:$B$64,$B$70,BT49:BT64)+BT68+BT69</f>
        <v>2673</v>
      </c>
      <c r="BU70" s="232">
        <f t="shared" si="167"/>
        <v>2713.5</v>
      </c>
      <c r="BV70" s="232">
        <f t="shared" si="167"/>
        <v>2754</v>
      </c>
      <c r="BW70" s="232">
        <f t="shared" si="167"/>
        <v>2794.5</v>
      </c>
      <c r="BX70" s="232">
        <f t="shared" si="167"/>
        <v>2835</v>
      </c>
      <c r="BY70" s="232">
        <f t="shared" si="167"/>
        <v>2875.5</v>
      </c>
      <c r="BZ70" s="232">
        <f t="shared" si="167"/>
        <v>2916</v>
      </c>
      <c r="CA70" s="232">
        <f t="shared" si="167"/>
        <v>2956.5</v>
      </c>
      <c r="CB70" s="232">
        <f t="shared" si="167"/>
        <v>2997</v>
      </c>
      <c r="CC70" s="232">
        <f t="shared" si="167"/>
        <v>3037.5</v>
      </c>
      <c r="CD70" s="232">
        <f t="shared" si="167"/>
        <v>3078</v>
      </c>
      <c r="CE70" s="232">
        <f t="shared" si="167"/>
        <v>3118.5</v>
      </c>
      <c r="CF70" s="232">
        <f t="shared" si="167"/>
        <v>3159</v>
      </c>
      <c r="CG70" s="232">
        <f t="shared" si="167"/>
        <v>3199.5</v>
      </c>
      <c r="CH70" s="232">
        <f t="shared" si="167"/>
        <v>3240</v>
      </c>
      <c r="CI70" s="232">
        <f t="shared" si="167"/>
        <v>3280.5</v>
      </c>
      <c r="CJ70" s="232">
        <f t="shared" si="167"/>
        <v>3321</v>
      </c>
      <c r="CK70" s="232">
        <f t="shared" si="167"/>
        <v>3361.5</v>
      </c>
      <c r="CL70" s="232">
        <f t="shared" si="167"/>
        <v>3402</v>
      </c>
      <c r="CM70" s="232">
        <f t="shared" si="167"/>
        <v>3442.5</v>
      </c>
      <c r="CN70" s="232">
        <f t="shared" si="167"/>
        <v>3483</v>
      </c>
      <c r="CO70" s="232">
        <f t="shared" si="167"/>
        <v>3523.5</v>
      </c>
      <c r="CP70" s="232">
        <f t="shared" si="167"/>
        <v>3564</v>
      </c>
      <c r="CQ70" s="232">
        <f t="shared" si="167"/>
        <v>3604.5</v>
      </c>
      <c r="CR70" s="232">
        <f t="shared" si="167"/>
        <v>3645</v>
      </c>
      <c r="CS70" s="232">
        <f t="shared" si="167"/>
        <v>3685.5</v>
      </c>
      <c r="CT70" s="232">
        <f t="shared" si="167"/>
        <v>3726</v>
      </c>
      <c r="CU70" s="232">
        <f t="shared" si="167"/>
        <v>3766.5</v>
      </c>
      <c r="CV70" s="232">
        <f t="shared" ref="CV70:DQ70" si="168">SUMIF($B$49:$B$64,$B$70,CV49:CV64)+CV68+CV69</f>
        <v>3807</v>
      </c>
      <c r="CW70" s="232">
        <f t="shared" si="168"/>
        <v>3847.5</v>
      </c>
      <c r="CX70" s="232">
        <f t="shared" si="168"/>
        <v>3888</v>
      </c>
      <c r="CY70" s="232">
        <f t="shared" si="168"/>
        <v>3928.5</v>
      </c>
      <c r="CZ70" s="232">
        <f t="shared" si="168"/>
        <v>3969</v>
      </c>
      <c r="DA70" s="232">
        <f t="shared" si="168"/>
        <v>4009.5</v>
      </c>
      <c r="DB70" s="232">
        <f t="shared" si="168"/>
        <v>4050</v>
      </c>
      <c r="DC70" s="232">
        <f t="shared" si="168"/>
        <v>4090.5</v>
      </c>
      <c r="DD70" s="232">
        <f t="shared" si="168"/>
        <v>4131</v>
      </c>
      <c r="DE70" s="232">
        <f t="shared" si="168"/>
        <v>4171.5</v>
      </c>
      <c r="DF70" s="232">
        <f t="shared" si="168"/>
        <v>4212</v>
      </c>
      <c r="DG70" s="232">
        <f t="shared" si="168"/>
        <v>4252.5</v>
      </c>
      <c r="DH70" s="232">
        <f t="shared" si="168"/>
        <v>4293</v>
      </c>
      <c r="DI70" s="232">
        <f t="shared" si="168"/>
        <v>4333.5</v>
      </c>
      <c r="DJ70" s="232">
        <f t="shared" si="168"/>
        <v>4374</v>
      </c>
      <c r="DK70" s="232">
        <f t="shared" si="168"/>
        <v>4414.5</v>
      </c>
      <c r="DL70" s="232">
        <f t="shared" si="168"/>
        <v>4455</v>
      </c>
      <c r="DM70" s="232">
        <f t="shared" si="168"/>
        <v>4495.5</v>
      </c>
      <c r="DN70" s="232">
        <f t="shared" si="168"/>
        <v>4536</v>
      </c>
      <c r="DO70" s="232">
        <f t="shared" si="168"/>
        <v>4576.5</v>
      </c>
      <c r="DP70" s="232">
        <f t="shared" si="168"/>
        <v>4617</v>
      </c>
      <c r="DQ70" s="232">
        <f t="shared" si="168"/>
        <v>4657.5</v>
      </c>
      <c r="DR70" s="232">
        <f t="shared" ref="DR70:GC70" si="169">SUMIF($B$49:$B$64,$B$70,DR49:DR64)+DR68+DR69</f>
        <v>4698</v>
      </c>
      <c r="DS70" s="232">
        <f t="shared" si="169"/>
        <v>4738.5</v>
      </c>
      <c r="DT70" s="232">
        <f t="shared" si="169"/>
        <v>4779</v>
      </c>
      <c r="DU70" s="232">
        <f t="shared" si="169"/>
        <v>4819.5</v>
      </c>
      <c r="DV70" s="232">
        <f t="shared" si="169"/>
        <v>4860</v>
      </c>
      <c r="DW70" s="232">
        <f t="shared" si="169"/>
        <v>4900.5</v>
      </c>
      <c r="DX70" s="232">
        <f t="shared" si="169"/>
        <v>4941</v>
      </c>
      <c r="DY70" s="232">
        <f t="shared" si="169"/>
        <v>4981.5</v>
      </c>
      <c r="DZ70" s="232">
        <f t="shared" si="169"/>
        <v>5022</v>
      </c>
      <c r="EA70" s="232">
        <f t="shared" si="169"/>
        <v>5062.5</v>
      </c>
      <c r="EB70" s="232">
        <f t="shared" si="169"/>
        <v>5103</v>
      </c>
      <c r="EC70" s="232">
        <f t="shared" si="169"/>
        <v>5143.5</v>
      </c>
      <c r="ED70" s="232">
        <f t="shared" si="169"/>
        <v>5184</v>
      </c>
      <c r="EE70" s="232">
        <f t="shared" si="169"/>
        <v>5224.5</v>
      </c>
      <c r="EF70" s="232">
        <f t="shared" si="169"/>
        <v>5265</v>
      </c>
      <c r="EG70" s="232">
        <f t="shared" si="169"/>
        <v>5305.5</v>
      </c>
      <c r="EH70" s="232">
        <f t="shared" si="169"/>
        <v>5346</v>
      </c>
      <c r="EI70" s="232">
        <f t="shared" si="169"/>
        <v>5386.5</v>
      </c>
      <c r="EJ70" s="232">
        <f t="shared" si="169"/>
        <v>5427</v>
      </c>
      <c r="EK70" s="232">
        <f t="shared" si="169"/>
        <v>5467.5</v>
      </c>
      <c r="EL70" s="232">
        <f t="shared" si="169"/>
        <v>5508</v>
      </c>
      <c r="EM70" s="232">
        <f t="shared" si="169"/>
        <v>5548.5</v>
      </c>
      <c r="EN70" s="232">
        <f t="shared" si="169"/>
        <v>5589</v>
      </c>
      <c r="EO70" s="232">
        <f t="shared" si="169"/>
        <v>5629.5</v>
      </c>
      <c r="EP70" s="232">
        <f t="shared" si="169"/>
        <v>5670</v>
      </c>
      <c r="EQ70" s="232">
        <f t="shared" si="169"/>
        <v>5710.5</v>
      </c>
      <c r="ER70" s="232">
        <f t="shared" si="169"/>
        <v>5751</v>
      </c>
      <c r="ES70" s="232">
        <f t="shared" si="169"/>
        <v>5791.5</v>
      </c>
      <c r="ET70" s="232">
        <f t="shared" si="169"/>
        <v>5832</v>
      </c>
      <c r="EU70" s="232">
        <f t="shared" si="169"/>
        <v>5872.5</v>
      </c>
      <c r="EV70" s="232">
        <f t="shared" si="169"/>
        <v>5913</v>
      </c>
      <c r="EW70" s="232">
        <f t="shared" si="169"/>
        <v>5953.5</v>
      </c>
      <c r="EX70" s="232">
        <f t="shared" si="169"/>
        <v>5994</v>
      </c>
      <c r="EY70" s="232">
        <f t="shared" si="169"/>
        <v>6034.5</v>
      </c>
      <c r="EZ70" s="232">
        <f t="shared" si="169"/>
        <v>6075</v>
      </c>
      <c r="FA70" s="232">
        <f t="shared" si="169"/>
        <v>6115.5</v>
      </c>
      <c r="FB70" s="232">
        <f t="shared" si="169"/>
        <v>6156</v>
      </c>
      <c r="FC70" s="232">
        <f t="shared" si="169"/>
        <v>6196.5</v>
      </c>
      <c r="FD70" s="232">
        <f t="shared" si="169"/>
        <v>6237</v>
      </c>
      <c r="FE70" s="232">
        <f t="shared" si="169"/>
        <v>6277.5</v>
      </c>
      <c r="FF70" s="232">
        <f t="shared" si="169"/>
        <v>6318</v>
      </c>
      <c r="FG70" s="232">
        <f t="shared" si="169"/>
        <v>6358.5</v>
      </c>
      <c r="FH70" s="232">
        <f t="shared" si="169"/>
        <v>6399</v>
      </c>
      <c r="FI70" s="232">
        <f t="shared" si="169"/>
        <v>6439.5</v>
      </c>
      <c r="FJ70" s="232">
        <f t="shared" si="169"/>
        <v>6480</v>
      </c>
      <c r="FK70" s="232">
        <f t="shared" si="169"/>
        <v>6520.5</v>
      </c>
      <c r="FL70" s="232">
        <f t="shared" si="169"/>
        <v>6561</v>
      </c>
      <c r="FM70" s="232">
        <f t="shared" si="169"/>
        <v>6601.5</v>
      </c>
      <c r="FN70" s="232">
        <f t="shared" si="169"/>
        <v>6642</v>
      </c>
      <c r="FO70" s="232">
        <f t="shared" si="169"/>
        <v>6682.5</v>
      </c>
      <c r="FP70" s="232">
        <f t="shared" si="169"/>
        <v>6723</v>
      </c>
      <c r="FQ70" s="232">
        <f t="shared" si="169"/>
        <v>6763.5</v>
      </c>
      <c r="FR70" s="232">
        <f t="shared" si="169"/>
        <v>6804</v>
      </c>
      <c r="FS70" s="232">
        <f t="shared" si="169"/>
        <v>6844.5</v>
      </c>
      <c r="FT70" s="232">
        <f t="shared" si="169"/>
        <v>6885</v>
      </c>
      <c r="FU70" s="232">
        <f t="shared" si="169"/>
        <v>6925.5</v>
      </c>
      <c r="FV70" s="232">
        <f t="shared" si="169"/>
        <v>6966</v>
      </c>
      <c r="FW70" s="232">
        <f t="shared" si="169"/>
        <v>7006.5</v>
      </c>
      <c r="FX70" s="232">
        <f t="shared" si="169"/>
        <v>7047</v>
      </c>
      <c r="FY70" s="232">
        <f t="shared" si="169"/>
        <v>7087.5</v>
      </c>
      <c r="FZ70" s="232">
        <f t="shared" si="169"/>
        <v>7128</v>
      </c>
      <c r="GA70" s="232">
        <f t="shared" si="169"/>
        <v>7168.5</v>
      </c>
      <c r="GB70" s="232">
        <f t="shared" si="169"/>
        <v>7209</v>
      </c>
      <c r="GC70" s="232">
        <f t="shared" si="169"/>
        <v>7249.5</v>
      </c>
      <c r="GD70" s="232">
        <f t="shared" ref="GD70:GI70" si="170">SUMIF($B$49:$B$64,$B$70,GD49:GD64)+GD68+GD69</f>
        <v>7290</v>
      </c>
      <c r="GE70" s="232">
        <f t="shared" si="170"/>
        <v>7330.5</v>
      </c>
      <c r="GF70" s="232">
        <f t="shared" si="170"/>
        <v>7371</v>
      </c>
      <c r="GG70" s="232">
        <f t="shared" si="170"/>
        <v>7411.5</v>
      </c>
      <c r="GH70" s="232">
        <f t="shared" si="170"/>
        <v>7452</v>
      </c>
      <c r="GI70" s="232">
        <f t="shared" si="170"/>
        <v>7492.5</v>
      </c>
    </row>
    <row r="71" spans="1:191" ht="15" customHeight="1"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</row>
    <row r="72" spans="1:191">
      <c r="A72" s="29" t="s">
        <v>141</v>
      </c>
      <c r="C72" s="96"/>
      <c r="G72" s="31">
        <f t="shared" ref="G72:AL72" si="171">G70*$K$16</f>
        <v>2.0249999999999999</v>
      </c>
      <c r="H72" s="31">
        <f t="shared" si="171"/>
        <v>4.05</v>
      </c>
      <c r="I72" s="31">
        <f t="shared" si="171"/>
        <v>6.0750000000000002</v>
      </c>
      <c r="J72" s="31">
        <f t="shared" si="171"/>
        <v>8.1</v>
      </c>
      <c r="K72" s="31">
        <f t="shared" si="171"/>
        <v>10.125</v>
      </c>
      <c r="L72" s="31">
        <f t="shared" si="171"/>
        <v>12.15</v>
      </c>
      <c r="M72" s="31">
        <f t="shared" si="171"/>
        <v>14.175000000000001</v>
      </c>
      <c r="N72" s="31">
        <f t="shared" si="171"/>
        <v>16.2</v>
      </c>
      <c r="O72" s="31">
        <f t="shared" si="171"/>
        <v>18.225000000000001</v>
      </c>
      <c r="P72" s="31">
        <f t="shared" si="171"/>
        <v>20.25</v>
      </c>
      <c r="Q72" s="31">
        <f t="shared" si="171"/>
        <v>22.275000000000002</v>
      </c>
      <c r="R72" s="31">
        <f t="shared" si="171"/>
        <v>24.3</v>
      </c>
      <c r="S72" s="31">
        <f t="shared" si="171"/>
        <v>26.325000000000003</v>
      </c>
      <c r="T72" s="31">
        <f t="shared" si="171"/>
        <v>28.35</v>
      </c>
      <c r="U72" s="31">
        <f t="shared" si="171"/>
        <v>30.375</v>
      </c>
      <c r="V72" s="31">
        <f t="shared" si="171"/>
        <v>32.4</v>
      </c>
      <c r="W72" s="31">
        <f t="shared" si="171"/>
        <v>34.425000000000004</v>
      </c>
      <c r="X72" s="31">
        <f t="shared" si="171"/>
        <v>36.450000000000003</v>
      </c>
      <c r="Y72" s="31">
        <f t="shared" si="171"/>
        <v>38.475000000000001</v>
      </c>
      <c r="Z72" s="31">
        <f t="shared" si="171"/>
        <v>40.5</v>
      </c>
      <c r="AA72" s="31">
        <f t="shared" si="171"/>
        <v>42.525000000000006</v>
      </c>
      <c r="AB72" s="31">
        <f t="shared" si="171"/>
        <v>44.550000000000004</v>
      </c>
      <c r="AC72" s="31">
        <f t="shared" si="171"/>
        <v>46.575000000000003</v>
      </c>
      <c r="AD72" s="31">
        <f t="shared" si="171"/>
        <v>48.6</v>
      </c>
      <c r="AE72" s="31">
        <f t="shared" si="171"/>
        <v>50.625</v>
      </c>
      <c r="AF72" s="31">
        <f t="shared" si="171"/>
        <v>52.650000000000006</v>
      </c>
      <c r="AG72" s="31">
        <f t="shared" si="171"/>
        <v>54.675000000000004</v>
      </c>
      <c r="AH72" s="31">
        <f t="shared" si="171"/>
        <v>56.7</v>
      </c>
      <c r="AI72" s="31">
        <f t="shared" si="171"/>
        <v>58.725000000000001</v>
      </c>
      <c r="AJ72" s="31">
        <f t="shared" si="171"/>
        <v>60.75</v>
      </c>
      <c r="AK72" s="31">
        <f t="shared" si="171"/>
        <v>62.775000000000006</v>
      </c>
      <c r="AL72" s="31">
        <f t="shared" si="171"/>
        <v>64.8</v>
      </c>
      <c r="AM72" s="31">
        <f t="shared" ref="AM72:BS72" si="172">AM70*$K$16</f>
        <v>66.825000000000003</v>
      </c>
      <c r="AN72" s="31">
        <f t="shared" si="172"/>
        <v>68.850000000000009</v>
      </c>
      <c r="AO72" s="31">
        <f t="shared" si="172"/>
        <v>70.875</v>
      </c>
      <c r="AP72" s="31">
        <f t="shared" si="172"/>
        <v>72.900000000000006</v>
      </c>
      <c r="AQ72" s="31">
        <f t="shared" si="172"/>
        <v>74.924999999999997</v>
      </c>
      <c r="AR72" s="31">
        <f t="shared" si="172"/>
        <v>76.95</v>
      </c>
      <c r="AS72" s="31">
        <f t="shared" si="172"/>
        <v>78.975000000000009</v>
      </c>
      <c r="AT72" s="31">
        <f t="shared" si="172"/>
        <v>81</v>
      </c>
      <c r="AU72" s="31">
        <f t="shared" si="172"/>
        <v>83.025000000000006</v>
      </c>
      <c r="AV72" s="31">
        <f t="shared" si="172"/>
        <v>85.050000000000011</v>
      </c>
      <c r="AW72" s="31">
        <f t="shared" si="172"/>
        <v>87.075000000000003</v>
      </c>
      <c r="AX72" s="31">
        <f t="shared" si="172"/>
        <v>89.100000000000009</v>
      </c>
      <c r="AY72" s="31">
        <f t="shared" si="172"/>
        <v>91.125</v>
      </c>
      <c r="AZ72" s="31">
        <f t="shared" si="172"/>
        <v>93.15</v>
      </c>
      <c r="BA72" s="31">
        <f t="shared" si="172"/>
        <v>95.175000000000011</v>
      </c>
      <c r="BB72" s="31">
        <f t="shared" si="172"/>
        <v>97.2</v>
      </c>
      <c r="BC72" s="31">
        <f t="shared" si="172"/>
        <v>99.225000000000009</v>
      </c>
      <c r="BD72" s="31">
        <f t="shared" si="172"/>
        <v>101.25</v>
      </c>
      <c r="BE72" s="31">
        <f t="shared" si="172"/>
        <v>103.27500000000001</v>
      </c>
      <c r="BF72" s="31">
        <f t="shared" si="172"/>
        <v>105.30000000000001</v>
      </c>
      <c r="BG72" s="31">
        <f t="shared" si="172"/>
        <v>107.325</v>
      </c>
      <c r="BH72" s="31">
        <f t="shared" si="172"/>
        <v>109.35000000000001</v>
      </c>
      <c r="BI72" s="31">
        <f t="shared" si="172"/>
        <v>111.375</v>
      </c>
      <c r="BJ72" s="31">
        <f t="shared" si="172"/>
        <v>113.4</v>
      </c>
      <c r="BK72" s="31">
        <f t="shared" si="172"/>
        <v>115.42500000000001</v>
      </c>
      <c r="BL72" s="31">
        <f t="shared" si="172"/>
        <v>117.45</v>
      </c>
      <c r="BM72" s="31">
        <f t="shared" si="172"/>
        <v>119.47500000000001</v>
      </c>
      <c r="BN72" s="31">
        <f t="shared" si="172"/>
        <v>121.5</v>
      </c>
      <c r="BO72" s="31">
        <f t="shared" si="172"/>
        <v>123.52500000000001</v>
      </c>
      <c r="BP72" s="31">
        <f t="shared" si="172"/>
        <v>125.55000000000001</v>
      </c>
      <c r="BQ72" s="31">
        <f t="shared" si="172"/>
        <v>127.575</v>
      </c>
      <c r="BR72" s="31">
        <f t="shared" si="172"/>
        <v>129.6</v>
      </c>
      <c r="BS72" s="31">
        <f t="shared" si="172"/>
        <v>131.625</v>
      </c>
      <c r="BT72" s="31">
        <f t="shared" ref="BT72:CU72" si="173">BT70*$K$16</f>
        <v>133.65</v>
      </c>
      <c r="BU72" s="31">
        <f t="shared" si="173"/>
        <v>135.67500000000001</v>
      </c>
      <c r="BV72" s="31">
        <f t="shared" si="173"/>
        <v>137.70000000000002</v>
      </c>
      <c r="BW72" s="31">
        <f t="shared" si="173"/>
        <v>139.72499999999999</v>
      </c>
      <c r="BX72" s="31">
        <f t="shared" si="173"/>
        <v>141.75</v>
      </c>
      <c r="BY72" s="31">
        <f t="shared" si="173"/>
        <v>143.77500000000001</v>
      </c>
      <c r="BZ72" s="31">
        <f t="shared" si="173"/>
        <v>145.80000000000001</v>
      </c>
      <c r="CA72" s="31">
        <f t="shared" si="173"/>
        <v>147.82500000000002</v>
      </c>
      <c r="CB72" s="31">
        <f t="shared" si="173"/>
        <v>149.85</v>
      </c>
      <c r="CC72" s="31">
        <f t="shared" si="173"/>
        <v>151.875</v>
      </c>
      <c r="CD72" s="31">
        <f t="shared" si="173"/>
        <v>153.9</v>
      </c>
      <c r="CE72" s="31">
        <f t="shared" si="173"/>
        <v>155.92500000000001</v>
      </c>
      <c r="CF72" s="31">
        <f t="shared" si="173"/>
        <v>157.95000000000002</v>
      </c>
      <c r="CG72" s="31">
        <f t="shared" si="173"/>
        <v>159.97500000000002</v>
      </c>
      <c r="CH72" s="31">
        <f t="shared" si="173"/>
        <v>162</v>
      </c>
      <c r="CI72" s="31">
        <f t="shared" si="173"/>
        <v>164.02500000000001</v>
      </c>
      <c r="CJ72" s="31">
        <f t="shared" si="173"/>
        <v>166.05</v>
      </c>
      <c r="CK72" s="31">
        <f t="shared" si="173"/>
        <v>168.07500000000002</v>
      </c>
      <c r="CL72" s="31">
        <f t="shared" si="173"/>
        <v>170.10000000000002</v>
      </c>
      <c r="CM72" s="31">
        <f t="shared" si="173"/>
        <v>172.125</v>
      </c>
      <c r="CN72" s="31">
        <f t="shared" si="173"/>
        <v>174.15</v>
      </c>
      <c r="CO72" s="31">
        <f t="shared" si="173"/>
        <v>176.17500000000001</v>
      </c>
      <c r="CP72" s="31">
        <f t="shared" si="173"/>
        <v>178.20000000000002</v>
      </c>
      <c r="CQ72" s="31">
        <f t="shared" si="173"/>
        <v>180.22500000000002</v>
      </c>
      <c r="CR72" s="31">
        <f t="shared" si="173"/>
        <v>182.25</v>
      </c>
      <c r="CS72" s="31">
        <f t="shared" si="173"/>
        <v>184.27500000000001</v>
      </c>
      <c r="CT72" s="31">
        <f t="shared" si="173"/>
        <v>186.3</v>
      </c>
      <c r="CU72" s="31">
        <f t="shared" si="173"/>
        <v>188.32500000000002</v>
      </c>
      <c r="CV72" s="31">
        <f t="shared" ref="CV72:DQ72" si="174">CV70*$K$16</f>
        <v>190.35000000000002</v>
      </c>
      <c r="CW72" s="31">
        <f t="shared" si="174"/>
        <v>192.375</v>
      </c>
      <c r="CX72" s="31">
        <f t="shared" si="174"/>
        <v>194.4</v>
      </c>
      <c r="CY72" s="31">
        <f t="shared" si="174"/>
        <v>196.42500000000001</v>
      </c>
      <c r="CZ72" s="31">
        <f t="shared" si="174"/>
        <v>198.45000000000002</v>
      </c>
      <c r="DA72" s="31">
        <f t="shared" si="174"/>
        <v>200.47500000000002</v>
      </c>
      <c r="DB72" s="31">
        <f t="shared" si="174"/>
        <v>202.5</v>
      </c>
      <c r="DC72" s="31">
        <f t="shared" si="174"/>
        <v>204.52500000000001</v>
      </c>
      <c r="DD72" s="31">
        <f t="shared" si="174"/>
        <v>206.55</v>
      </c>
      <c r="DE72" s="31">
        <f t="shared" si="174"/>
        <v>208.57500000000002</v>
      </c>
      <c r="DF72" s="31">
        <f t="shared" si="174"/>
        <v>210.60000000000002</v>
      </c>
      <c r="DG72" s="31">
        <f t="shared" si="174"/>
        <v>212.625</v>
      </c>
      <c r="DH72" s="31">
        <f t="shared" si="174"/>
        <v>214.65</v>
      </c>
      <c r="DI72" s="31">
        <f t="shared" si="174"/>
        <v>216.67500000000001</v>
      </c>
      <c r="DJ72" s="31">
        <f t="shared" si="174"/>
        <v>218.70000000000002</v>
      </c>
      <c r="DK72" s="31">
        <f t="shared" si="174"/>
        <v>220.72500000000002</v>
      </c>
      <c r="DL72" s="31">
        <f t="shared" si="174"/>
        <v>222.75</v>
      </c>
      <c r="DM72" s="31">
        <f t="shared" si="174"/>
        <v>224.77500000000001</v>
      </c>
      <c r="DN72" s="31">
        <f t="shared" si="174"/>
        <v>226.8</v>
      </c>
      <c r="DO72" s="31">
        <f t="shared" si="174"/>
        <v>228.82500000000002</v>
      </c>
      <c r="DP72" s="31">
        <f t="shared" si="174"/>
        <v>230.85000000000002</v>
      </c>
      <c r="DQ72" s="31">
        <f t="shared" si="174"/>
        <v>232.875</v>
      </c>
      <c r="DR72" s="31">
        <f t="shared" ref="DR72:GC72" si="175">DR70*$K$16</f>
        <v>234.9</v>
      </c>
      <c r="DS72" s="31">
        <f t="shared" si="175"/>
        <v>236.92500000000001</v>
      </c>
      <c r="DT72" s="31">
        <f t="shared" si="175"/>
        <v>238.95000000000002</v>
      </c>
      <c r="DU72" s="31">
        <f t="shared" si="175"/>
        <v>240.97500000000002</v>
      </c>
      <c r="DV72" s="31">
        <f t="shared" si="175"/>
        <v>243</v>
      </c>
      <c r="DW72" s="31">
        <f t="shared" si="175"/>
        <v>245.02500000000001</v>
      </c>
      <c r="DX72" s="31">
        <f t="shared" si="175"/>
        <v>247.05</v>
      </c>
      <c r="DY72" s="31">
        <f t="shared" si="175"/>
        <v>249.07500000000002</v>
      </c>
      <c r="DZ72" s="31">
        <f t="shared" si="175"/>
        <v>251.10000000000002</v>
      </c>
      <c r="EA72" s="31">
        <f t="shared" si="175"/>
        <v>253.125</v>
      </c>
      <c r="EB72" s="31">
        <f t="shared" si="175"/>
        <v>255.15</v>
      </c>
      <c r="EC72" s="31">
        <f t="shared" si="175"/>
        <v>257.17500000000001</v>
      </c>
      <c r="ED72" s="31">
        <f t="shared" si="175"/>
        <v>259.2</v>
      </c>
      <c r="EE72" s="31">
        <f t="shared" si="175"/>
        <v>261.22500000000002</v>
      </c>
      <c r="EF72" s="31">
        <f t="shared" si="175"/>
        <v>263.25</v>
      </c>
      <c r="EG72" s="31">
        <f t="shared" si="175"/>
        <v>265.27500000000003</v>
      </c>
      <c r="EH72" s="31">
        <f t="shared" si="175"/>
        <v>267.3</v>
      </c>
      <c r="EI72" s="31">
        <f t="shared" si="175"/>
        <v>269.32499999999999</v>
      </c>
      <c r="EJ72" s="31">
        <f t="shared" si="175"/>
        <v>271.35000000000002</v>
      </c>
      <c r="EK72" s="31">
        <f t="shared" si="175"/>
        <v>273.375</v>
      </c>
      <c r="EL72" s="31">
        <f t="shared" si="175"/>
        <v>275.40000000000003</v>
      </c>
      <c r="EM72" s="31">
        <f t="shared" si="175"/>
        <v>277.42500000000001</v>
      </c>
      <c r="EN72" s="31">
        <f t="shared" si="175"/>
        <v>279.45</v>
      </c>
      <c r="EO72" s="31">
        <f t="shared" si="175"/>
        <v>281.47500000000002</v>
      </c>
      <c r="EP72" s="31">
        <f t="shared" si="175"/>
        <v>283.5</v>
      </c>
      <c r="EQ72" s="31">
        <f t="shared" si="175"/>
        <v>285.52500000000003</v>
      </c>
      <c r="ER72" s="31">
        <f t="shared" si="175"/>
        <v>287.55</v>
      </c>
      <c r="ES72" s="31">
        <f t="shared" si="175"/>
        <v>289.57499999999999</v>
      </c>
      <c r="ET72" s="31">
        <f t="shared" si="175"/>
        <v>291.60000000000002</v>
      </c>
      <c r="EU72" s="31">
        <f t="shared" si="175"/>
        <v>293.625</v>
      </c>
      <c r="EV72" s="31">
        <f t="shared" si="175"/>
        <v>295.65000000000003</v>
      </c>
      <c r="EW72" s="31">
        <f t="shared" si="175"/>
        <v>297.67500000000001</v>
      </c>
      <c r="EX72" s="31">
        <f t="shared" si="175"/>
        <v>299.7</v>
      </c>
      <c r="EY72" s="31">
        <f t="shared" si="175"/>
        <v>301.72500000000002</v>
      </c>
      <c r="EZ72" s="31">
        <f t="shared" si="175"/>
        <v>303.75</v>
      </c>
      <c r="FA72" s="31">
        <f t="shared" si="175"/>
        <v>305.77500000000003</v>
      </c>
      <c r="FB72" s="31">
        <f t="shared" si="175"/>
        <v>307.8</v>
      </c>
      <c r="FC72" s="31">
        <f t="shared" si="175"/>
        <v>309.82500000000005</v>
      </c>
      <c r="FD72" s="31">
        <f t="shared" si="175"/>
        <v>311.85000000000002</v>
      </c>
      <c r="FE72" s="31">
        <f t="shared" si="175"/>
        <v>313.875</v>
      </c>
      <c r="FF72" s="31">
        <f t="shared" si="175"/>
        <v>315.90000000000003</v>
      </c>
      <c r="FG72" s="31">
        <f t="shared" si="175"/>
        <v>317.92500000000001</v>
      </c>
      <c r="FH72" s="31">
        <f t="shared" si="175"/>
        <v>319.95000000000005</v>
      </c>
      <c r="FI72" s="31">
        <f t="shared" si="175"/>
        <v>321.97500000000002</v>
      </c>
      <c r="FJ72" s="31">
        <f t="shared" si="175"/>
        <v>324</v>
      </c>
      <c r="FK72" s="31">
        <f t="shared" si="175"/>
        <v>326.02500000000003</v>
      </c>
      <c r="FL72" s="31">
        <f t="shared" si="175"/>
        <v>328.05</v>
      </c>
      <c r="FM72" s="31">
        <f t="shared" si="175"/>
        <v>330.07500000000005</v>
      </c>
      <c r="FN72" s="31">
        <f t="shared" si="175"/>
        <v>332.1</v>
      </c>
      <c r="FO72" s="31">
        <f t="shared" si="175"/>
        <v>334.125</v>
      </c>
      <c r="FP72" s="31">
        <f t="shared" si="175"/>
        <v>336.15000000000003</v>
      </c>
      <c r="FQ72" s="31">
        <f t="shared" si="175"/>
        <v>338.17500000000001</v>
      </c>
      <c r="FR72" s="31">
        <f t="shared" si="175"/>
        <v>340.20000000000005</v>
      </c>
      <c r="FS72" s="31">
        <f t="shared" si="175"/>
        <v>342.22500000000002</v>
      </c>
      <c r="FT72" s="31">
        <f t="shared" si="175"/>
        <v>344.25</v>
      </c>
      <c r="FU72" s="31">
        <f t="shared" si="175"/>
        <v>346.27500000000003</v>
      </c>
      <c r="FV72" s="31">
        <f t="shared" si="175"/>
        <v>348.3</v>
      </c>
      <c r="FW72" s="31">
        <f t="shared" si="175"/>
        <v>350.32500000000005</v>
      </c>
      <c r="FX72" s="31">
        <f t="shared" si="175"/>
        <v>352.35</v>
      </c>
      <c r="FY72" s="31">
        <f t="shared" si="175"/>
        <v>354.375</v>
      </c>
      <c r="FZ72" s="31">
        <f t="shared" si="175"/>
        <v>356.40000000000003</v>
      </c>
      <c r="GA72" s="31">
        <f t="shared" si="175"/>
        <v>358.42500000000001</v>
      </c>
      <c r="GB72" s="31">
        <f t="shared" si="175"/>
        <v>360.45000000000005</v>
      </c>
      <c r="GC72" s="31">
        <f t="shared" si="175"/>
        <v>362.47500000000002</v>
      </c>
      <c r="GD72" s="31">
        <f t="shared" ref="GD72:GI72" si="176">GD70*$K$16</f>
        <v>364.5</v>
      </c>
      <c r="GE72" s="31">
        <f t="shared" si="176"/>
        <v>366.52500000000003</v>
      </c>
      <c r="GF72" s="31">
        <f t="shared" si="176"/>
        <v>368.55</v>
      </c>
      <c r="GG72" s="31">
        <f t="shared" si="176"/>
        <v>370.57500000000005</v>
      </c>
      <c r="GH72" s="31">
        <f t="shared" si="176"/>
        <v>372.6</v>
      </c>
      <c r="GI72" s="31">
        <f t="shared" si="176"/>
        <v>374.625</v>
      </c>
    </row>
    <row r="73" spans="1:191" ht="7.5" customHeight="1"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</row>
    <row r="74" spans="1:191">
      <c r="A74" s="29" t="s">
        <v>142</v>
      </c>
      <c r="G74" s="151">
        <f>1-((G46+G72+G68+G69)/G70)</f>
        <v>0.24513263222222226</v>
      </c>
      <c r="H74" s="151">
        <f t="shared" ref="H74:BS74" si="177">1-((H46+H72+H68+H69)/H70)</f>
        <v>0.25589806432098761</v>
      </c>
      <c r="I74" s="151">
        <f t="shared" si="177"/>
        <v>0.25948654168724261</v>
      </c>
      <c r="J74" s="151">
        <f t="shared" si="177"/>
        <v>0.26128078037037028</v>
      </c>
      <c r="K74" s="151">
        <f t="shared" si="177"/>
        <v>0.26235732358024677</v>
      </c>
      <c r="L74" s="151">
        <f t="shared" si="177"/>
        <v>0.21059353757201627</v>
      </c>
      <c r="M74" s="151">
        <f t="shared" si="177"/>
        <v>0.21552769395061711</v>
      </c>
      <c r="N74" s="151">
        <f t="shared" si="177"/>
        <v>0.22191966925925921</v>
      </c>
      <c r="O74" s="151">
        <f t="shared" si="177"/>
        <v>0.22689120561042508</v>
      </c>
      <c r="P74" s="151">
        <f t="shared" si="177"/>
        <v>0.23086843469135798</v>
      </c>
      <c r="Q74" s="151">
        <f t="shared" si="177"/>
        <v>0.23412253121212123</v>
      </c>
      <c r="R74" s="151">
        <f t="shared" si="177"/>
        <v>0.21059353757201627</v>
      </c>
      <c r="S74" s="151">
        <f t="shared" si="177"/>
        <v>0.21325039100664755</v>
      </c>
      <c r="T74" s="151">
        <f t="shared" si="177"/>
        <v>0.21706561282186942</v>
      </c>
      <c r="U74" s="151">
        <f t="shared" si="177"/>
        <v>0.22037213839506165</v>
      </c>
      <c r="V74" s="151">
        <f t="shared" si="177"/>
        <v>0.22326534827160482</v>
      </c>
      <c r="W74" s="151">
        <f t="shared" si="177"/>
        <v>0.22581818051561353</v>
      </c>
      <c r="X74" s="151">
        <f t="shared" si="177"/>
        <v>0.22808736473251012</v>
      </c>
      <c r="Y74" s="151">
        <f t="shared" si="177"/>
        <v>0.21241138465886922</v>
      </c>
      <c r="Z74" s="151">
        <f t="shared" si="177"/>
        <v>0.21512399024691342</v>
      </c>
      <c r="AA74" s="151">
        <f t="shared" si="177"/>
        <v>0.21757825244562012</v>
      </c>
      <c r="AB74" s="151">
        <f t="shared" si="177"/>
        <v>0.21980939989898995</v>
      </c>
      <c r="AC74" s="151">
        <f t="shared" si="177"/>
        <v>0.22184653453032721</v>
      </c>
      <c r="AD74" s="151">
        <f t="shared" si="177"/>
        <v>0.22371390794238666</v>
      </c>
      <c r="AE74" s="151">
        <f t="shared" si="177"/>
        <v>0.21197510135802444</v>
      </c>
      <c r="AF74" s="151">
        <f t="shared" si="177"/>
        <v>0.21407850116809113</v>
      </c>
      <c r="AG74" s="151">
        <f t="shared" si="177"/>
        <v>0.21602609358481928</v>
      </c>
      <c r="AH74" s="151">
        <f t="shared" si="177"/>
        <v>0.21783457225749547</v>
      </c>
      <c r="AI74" s="151">
        <f t="shared" si="177"/>
        <v>0.21951832826309059</v>
      </c>
      <c r="AJ74" s="151">
        <f t="shared" si="177"/>
        <v>0.22108983386831271</v>
      </c>
      <c r="AK74" s="151">
        <f t="shared" si="177"/>
        <v>0.22255995201513323</v>
      </c>
      <c r="AL74" s="151">
        <f t="shared" si="177"/>
        <v>0.22393818777777774</v>
      </c>
      <c r="AM74" s="151">
        <f t="shared" si="177"/>
        <v>0.2252328941002617</v>
      </c>
      <c r="AN74" s="151">
        <f t="shared" si="177"/>
        <v>0.22645144122730554</v>
      </c>
      <c r="AO74" s="151">
        <f>1-((AO46+AO72+AO68+AO69)/AO70)</f>
        <v>0.22760035708994686</v>
      </c>
      <c r="AP74" s="151">
        <f t="shared" si="177"/>
        <v>0.22868544429355264</v>
      </c>
      <c r="AQ74" s="151">
        <f t="shared" si="177"/>
        <v>0.22971187813480143</v>
      </c>
      <c r="AR74" s="151">
        <f t="shared" si="177"/>
        <v>0.2306842891423001</v>
      </c>
      <c r="AS74" s="151">
        <f t="shared" si="177"/>
        <v>0.23160683291864514</v>
      </c>
      <c r="AT74" s="151">
        <f t="shared" si="177"/>
        <v>0.23248324950617272</v>
      </c>
      <c r="AU74" s="151">
        <f t="shared" si="177"/>
        <v>0.23331691406504051</v>
      </c>
      <c r="AV74" s="151">
        <f t="shared" si="177"/>
        <v>0.23411088031158134</v>
      </c>
      <c r="AW74" s="151">
        <f t="shared" si="177"/>
        <v>0.23486791789549233</v>
      </c>
      <c r="AX74" s="151">
        <f t="shared" si="177"/>
        <v>0.23559054468013463</v>
      </c>
      <c r="AY74" s="151">
        <f t="shared" si="177"/>
        <v>0.23628105471879279</v>
      </c>
      <c r="AZ74" s="151">
        <f t="shared" si="177"/>
        <v>0.23694154258185696</v>
      </c>
      <c r="BA74" s="151">
        <f t="shared" si="177"/>
        <v>0.23757392457840798</v>
      </c>
      <c r="BB74" s="151">
        <f t="shared" si="177"/>
        <v>0.23817995732510266</v>
      </c>
      <c r="BC74" s="151">
        <f t="shared" si="177"/>
        <v>0.2387612540413202</v>
      </c>
      <c r="BD74" s="151">
        <f t="shared" si="177"/>
        <v>0.2393192988888887</v>
      </c>
      <c r="BE74" s="151">
        <f t="shared" si="177"/>
        <v>0.23985545962478805</v>
      </c>
      <c r="BF74" s="151">
        <f t="shared" si="177"/>
        <v>0.24037099879392199</v>
      </c>
      <c r="BG74" s="151">
        <f t="shared" si="177"/>
        <v>0.24086708365478682</v>
      </c>
      <c r="BH74" s="151">
        <f t="shared" si="177"/>
        <v>0.24134479500228623</v>
      </c>
      <c r="BI74" s="151">
        <f t="shared" si="177"/>
        <v>0.24180513502805834</v>
      </c>
      <c r="BJ74" s="151">
        <f t="shared" si="177"/>
        <v>0.24224903433862433</v>
      </c>
      <c r="BK74" s="151">
        <f t="shared" si="177"/>
        <v>0.24267735823478453</v>
      </c>
      <c r="BL74" s="151">
        <f t="shared" si="177"/>
        <v>0.24309091234142188</v>
      </c>
      <c r="BM74" s="151">
        <f t="shared" si="177"/>
        <v>0.24349044766478345</v>
      </c>
      <c r="BN74" s="151">
        <f t="shared" si="177"/>
        <v>0.24387666514403294</v>
      </c>
      <c r="BO74" s="151">
        <f t="shared" si="177"/>
        <v>0.24425021975511041</v>
      </c>
      <c r="BP74" s="151">
        <f t="shared" si="177"/>
        <v>0.24461172421744315</v>
      </c>
      <c r="BQ74" s="151">
        <f t="shared" si="177"/>
        <v>0.24496175234763862</v>
      </c>
      <c r="BR74" s="151">
        <f t="shared" si="177"/>
        <v>0.24530084209876546</v>
      </c>
      <c r="BS74" s="151">
        <f t="shared" si="177"/>
        <v>0.2456294983190882</v>
      </c>
      <c r="BT74" s="151">
        <f t="shared" ref="BT74:CU74" si="178">1-((BT46+BT72+BT68+BT69)/BT70)</f>
        <v>0.24594819526000733</v>
      </c>
      <c r="BU74" s="151">
        <f t="shared" si="178"/>
        <v>0.24625737885940657</v>
      </c>
      <c r="BV74" s="151">
        <f t="shared" si="178"/>
        <v>0.24655746882352936</v>
      </c>
      <c r="BW74" s="151">
        <f t="shared" si="178"/>
        <v>0.24684886052782251</v>
      </c>
      <c r="BX74" s="151">
        <f t="shared" si="178"/>
        <v>0.24713192675484996</v>
      </c>
      <c r="BY74" s="151">
        <f t="shared" si="178"/>
        <v>0.24740701928534159</v>
      </c>
      <c r="BZ74" s="151">
        <f t="shared" si="178"/>
        <v>0.24767447035665291</v>
      </c>
      <c r="CA74" s="151">
        <f t="shared" si="178"/>
        <v>0.24793459400135298</v>
      </c>
      <c r="CB74" s="151">
        <f t="shared" si="178"/>
        <v>0.24818768727727736</v>
      </c>
      <c r="CC74" s="151">
        <f t="shared" si="178"/>
        <v>0.24843403139917708</v>
      </c>
      <c r="CD74" s="151">
        <f t="shared" si="178"/>
        <v>0.24867389278102658</v>
      </c>
      <c r="CE74" s="151">
        <f t="shared" si="178"/>
        <v>0.24890752399711391</v>
      </c>
      <c r="CF74" s="151">
        <f t="shared" si="178"/>
        <v>0.24913516466919916</v>
      </c>
      <c r="CG74" s="151">
        <f t="shared" si="178"/>
        <v>0.24935704228629474</v>
      </c>
      <c r="CH74" s="151">
        <f t="shared" si="178"/>
        <v>0.249573372962963</v>
      </c>
      <c r="CI74" s="151">
        <f t="shared" si="178"/>
        <v>0.24978436214144173</v>
      </c>
      <c r="CJ74" s="151">
        <f t="shared" si="178"/>
        <v>0.24999020524239679</v>
      </c>
      <c r="CK74" s="151">
        <f t="shared" si="178"/>
        <v>0.25019108826863024</v>
      </c>
      <c r="CL74" s="151">
        <f t="shared" si="178"/>
        <v>0.25038718836566731</v>
      </c>
      <c r="CM74" s="151">
        <f t="shared" si="178"/>
        <v>0.25057867434277403</v>
      </c>
      <c r="CN74" s="151">
        <f t="shared" si="178"/>
        <v>0.2507657071576227</v>
      </c>
      <c r="CO74" s="151">
        <f t="shared" si="178"/>
        <v>0.25094844036753217</v>
      </c>
      <c r="CP74" s="151">
        <f t="shared" si="178"/>
        <v>0.25112702054994396</v>
      </c>
      <c r="CQ74" s="151">
        <f t="shared" si="178"/>
        <v>0.25130158769454847</v>
      </c>
      <c r="CR74" s="151">
        <f t="shared" si="178"/>
        <v>0.25147227556927298</v>
      </c>
      <c r="CS74" s="151">
        <f t="shared" si="178"/>
        <v>0.25163921206213524</v>
      </c>
      <c r="CT74" s="151">
        <f t="shared" si="178"/>
        <v>0.25180251950080501</v>
      </c>
      <c r="CU74" s="151">
        <f t="shared" si="178"/>
        <v>0.25196231495154653</v>
      </c>
      <c r="CV74" s="151">
        <f t="shared" ref="CV74:DQ74" si="179">1-((CV46+CV72+CV68+CV69)/CV70)</f>
        <v>0.25211871049908052</v>
      </c>
      <c r="CW74" s="151">
        <f t="shared" si="179"/>
        <v>0.25227181350877204</v>
      </c>
      <c r="CX74" s="151">
        <f t="shared" si="179"/>
        <v>0.25242172687242781</v>
      </c>
      <c r="CY74" s="151">
        <f t="shared" si="179"/>
        <v>0.25256854923889516</v>
      </c>
      <c r="CZ74" s="151">
        <f t="shared" si="179"/>
        <v>0.25271237523053669</v>
      </c>
      <c r="DA74" s="151">
        <f t="shared" si="179"/>
        <v>0.25285329564658932</v>
      </c>
      <c r="DB74" s="151">
        <f t="shared" si="179"/>
        <v>0.25299139765432088</v>
      </c>
      <c r="DC74" s="151">
        <f t="shared" si="179"/>
        <v>0.25312676496883013</v>
      </c>
      <c r="DD74" s="151">
        <f t="shared" si="179"/>
        <v>0.25325947802227045</v>
      </c>
      <c r="DE74" s="151">
        <f t="shared" si="179"/>
        <v>0.25338961412321703</v>
      </c>
      <c r="DF74" s="151">
        <f t="shared" si="179"/>
        <v>0.25351724760683747</v>
      </c>
      <c r="DG74" s="151">
        <f t="shared" si="179"/>
        <v>0.25364244997648433</v>
      </c>
      <c r="DH74" s="151">
        <f t="shared" si="179"/>
        <v>0.25376529003726989</v>
      </c>
      <c r="DI74" s="151">
        <f t="shared" si="179"/>
        <v>0.25388583402215292</v>
      </c>
      <c r="DJ74" s="151">
        <f t="shared" si="179"/>
        <v>0.25400414571101959</v>
      </c>
      <c r="DK74" s="151">
        <f t="shared" si="179"/>
        <v>0.25412028654320973</v>
      </c>
      <c r="DL74" s="151">
        <f t="shared" si="179"/>
        <v>0.25423431572390554</v>
      </c>
      <c r="DM74" s="151">
        <f t="shared" si="179"/>
        <v>0.25434629032476908</v>
      </c>
      <c r="DN74" s="151">
        <f t="shared" si="179"/>
        <v>0.25445626537918853</v>
      </c>
      <c r="DO74" s="151">
        <f t="shared" si="179"/>
        <v>0.25456429397246783</v>
      </c>
      <c r="DP74" s="151">
        <f t="shared" si="179"/>
        <v>0.25467042732726874</v>
      </c>
      <c r="DQ74" s="151">
        <f t="shared" si="179"/>
        <v>0.25477471488459469</v>
      </c>
      <c r="DR74" s="151">
        <f t="shared" ref="DR74:GC74" si="180">1-((DR46+DR72+DR68+DR69)/DR70)</f>
        <v>0.25487720438058736</v>
      </c>
      <c r="DS74" s="151">
        <f t="shared" si="180"/>
        <v>0.25497794191938372</v>
      </c>
      <c r="DT74" s="151">
        <f t="shared" si="180"/>
        <v>0.2550769720422682</v>
      </c>
      <c r="DU74" s="151">
        <f t="shared" si="180"/>
        <v>0.25517433779333953</v>
      </c>
      <c r="DV74" s="151">
        <f t="shared" si="180"/>
        <v>0.25527008078189295</v>
      </c>
      <c r="DW74" s="151">
        <f t="shared" si="180"/>
        <v>0.25536424124170998</v>
      </c>
      <c r="DX74" s="151">
        <f t="shared" si="180"/>
        <v>0.25545685808743168</v>
      </c>
      <c r="DY74" s="151">
        <f t="shared" si="180"/>
        <v>0.25554796896818222</v>
      </c>
      <c r="DZ74" s="151">
        <f t="shared" si="180"/>
        <v>0.255637610318598</v>
      </c>
      <c r="EA74" s="151">
        <f t="shared" si="180"/>
        <v>0.25572581740740741</v>
      </c>
      <c r="EB74" s="151">
        <f t="shared" si="180"/>
        <v>0.25581262438369579</v>
      </c>
      <c r="EC74" s="151">
        <f t="shared" si="180"/>
        <v>0.2558980643209875</v>
      </c>
      <c r="ED74" s="151">
        <f t="shared" si="180"/>
        <v>0.25598216925925921</v>
      </c>
      <c r="EE74" s="151">
        <f t="shared" si="180"/>
        <v>0.25606497024499941</v>
      </c>
      <c r="EF74" s="151">
        <f t="shared" si="180"/>
        <v>0.25614649736942052</v>
      </c>
      <c r="EG74" s="151">
        <f t="shared" si="180"/>
        <v>0.25622677980491915</v>
      </c>
      <c r="EH74" s="151">
        <f t="shared" si="180"/>
        <v>0.25630584583988003</v>
      </c>
      <c r="EI74" s="151">
        <f t="shared" si="180"/>
        <v>0.25638372291190925</v>
      </c>
      <c r="EJ74" s="151">
        <f t="shared" si="180"/>
        <v>0.25646043763957971</v>
      </c>
      <c r="EK74" s="151">
        <f t="shared" si="180"/>
        <v>0.25653601585276609</v>
      </c>
      <c r="EL74" s="151">
        <f t="shared" si="180"/>
        <v>0.2566104826216411</v>
      </c>
      <c r="EM74" s="151">
        <f t="shared" si="180"/>
        <v>0.2566838622844011</v>
      </c>
      <c r="EN74" s="151">
        <f t="shared" si="180"/>
        <v>0.25675617847378762</v>
      </c>
      <c r="EO74" s="151">
        <f t="shared" si="180"/>
        <v>0.25682745414246366</v>
      </c>
      <c r="EP74" s="151">
        <f t="shared" si="180"/>
        <v>0.25689771158730135</v>
      </c>
      <c r="EQ74" s="151">
        <f t="shared" si="180"/>
        <v>0.256966972472638</v>
      </c>
      <c r="ER74" s="151">
        <f t="shared" si="180"/>
        <v>0.25703525785254722</v>
      </c>
      <c r="ES74" s="151">
        <f t="shared" si="180"/>
        <v>0.25710258819217791</v>
      </c>
      <c r="ET74" s="151">
        <f t="shared" si="180"/>
        <v>0.25716898338820282</v>
      </c>
      <c r="EU74" s="151">
        <f t="shared" si="180"/>
        <v>0.25723446278842055</v>
      </c>
      <c r="EV74" s="151">
        <f t="shared" si="180"/>
        <v>0.25729904521055291</v>
      </c>
      <c r="EW74" s="151">
        <f t="shared" si="180"/>
        <v>0.25736274896027533</v>
      </c>
      <c r="EX74" s="151">
        <f t="shared" si="180"/>
        <v>0.2574255918485151</v>
      </c>
      <c r="EY74" s="151">
        <f t="shared" si="180"/>
        <v>0.25748759120805353</v>
      </c>
      <c r="EZ74" s="151">
        <f t="shared" si="180"/>
        <v>0.25754876390946502</v>
      </c>
      <c r="FA74" s="151">
        <f t="shared" si="180"/>
        <v>0.25760912637642053</v>
      </c>
      <c r="FB74" s="151">
        <f t="shared" si="180"/>
        <v>0.25766869460038977</v>
      </c>
      <c r="FC74" s="151">
        <f t="shared" si="180"/>
        <v>0.25772748415476465</v>
      </c>
      <c r="FD74" s="151">
        <f t="shared" si="180"/>
        <v>0.25778551020843332</v>
      </c>
      <c r="FE74" s="151">
        <f t="shared" si="180"/>
        <v>0.25784278753882905</v>
      </c>
      <c r="FF74" s="151">
        <f t="shared" si="180"/>
        <v>0.25789933054447611</v>
      </c>
      <c r="FG74" s="151">
        <f t="shared" si="180"/>
        <v>0.25795515325705742</v>
      </c>
      <c r="FH74" s="151">
        <f t="shared" si="180"/>
        <v>0.25801026935302374</v>
      </c>
      <c r="FI74" s="151">
        <f t="shared" si="180"/>
        <v>0.25806469216476402</v>
      </c>
      <c r="FJ74" s="151">
        <f t="shared" si="180"/>
        <v>0.25811843469135798</v>
      </c>
      <c r="FK74" s="151">
        <f t="shared" si="180"/>
        <v>0.25817150960892565</v>
      </c>
      <c r="FL74" s="151">
        <f t="shared" si="180"/>
        <v>0.25822392928059734</v>
      </c>
      <c r="FM74" s="151">
        <f t="shared" si="180"/>
        <v>0.25827570576611369</v>
      </c>
      <c r="FN74" s="151">
        <f t="shared" si="180"/>
        <v>0.25832685083107487</v>
      </c>
      <c r="FO74" s="151">
        <f t="shared" si="180"/>
        <v>0.25837737595585475</v>
      </c>
      <c r="FP74" s="151">
        <f t="shared" si="180"/>
        <v>0.25842729234419159</v>
      </c>
      <c r="FQ74" s="151">
        <f t="shared" si="180"/>
        <v>0.25847661093147023</v>
      </c>
      <c r="FR74" s="151">
        <f t="shared" si="180"/>
        <v>0.25852534239271008</v>
      </c>
      <c r="FS74" s="151">
        <f t="shared" si="180"/>
        <v>0.25857349715026656</v>
      </c>
      <c r="FT74" s="151">
        <f t="shared" si="180"/>
        <v>0.25862108538126349</v>
      </c>
      <c r="FU74" s="151">
        <f t="shared" si="180"/>
        <v>0.25866811702476344</v>
      </c>
      <c r="FV74" s="151">
        <f t="shared" si="180"/>
        <v>0.25871460178868777</v>
      </c>
      <c r="FW74" s="151">
        <f t="shared" si="180"/>
        <v>0.25876054915649749</v>
      </c>
      <c r="FX74" s="151">
        <f t="shared" si="180"/>
        <v>0.25880596839364245</v>
      </c>
      <c r="FY74" s="151">
        <f t="shared" si="180"/>
        <v>0.2588508685537918</v>
      </c>
      <c r="FZ74" s="151">
        <f t="shared" si="180"/>
        <v>0.2588952584848484</v>
      </c>
      <c r="GA74" s="151">
        <f t="shared" si="180"/>
        <v>0.25893914683476305</v>
      </c>
      <c r="GB74" s="151">
        <f t="shared" si="180"/>
        <v>0.25898254205715066</v>
      </c>
      <c r="GC74" s="151">
        <f t="shared" si="180"/>
        <v>0.25902545241671826</v>
      </c>
      <c r="GD74" s="151">
        <f t="shared" ref="GD74:GI74" si="181">1-((GD46+GD72+GD68+GD69)/GD70)</f>
        <v>0.25906788599451291</v>
      </c>
      <c r="GE74" s="151">
        <f t="shared" si="181"/>
        <v>0.25910985069299497</v>
      </c>
      <c r="GF74" s="151">
        <f t="shared" si="181"/>
        <v>0.25915135424094393</v>
      </c>
      <c r="GG74" s="151">
        <f t="shared" si="181"/>
        <v>0.25919240419820544</v>
      </c>
      <c r="GH74" s="151">
        <f t="shared" si="181"/>
        <v>0.25923300796027882</v>
      </c>
      <c r="GI74" s="151">
        <f t="shared" si="181"/>
        <v>0.25927317276276263</v>
      </c>
    </row>
    <row r="75" spans="1:191">
      <c r="B75">
        <v>0</v>
      </c>
    </row>
    <row r="76" spans="1:191">
      <c r="B76">
        <v>2</v>
      </c>
      <c r="H76" s="8">
        <v>0</v>
      </c>
    </row>
    <row r="77" spans="1:191">
      <c r="B77">
        <v>2.5</v>
      </c>
      <c r="C77">
        <v>0</v>
      </c>
      <c r="D77" s="30">
        <v>4.25</v>
      </c>
      <c r="G77" s="92">
        <v>1720</v>
      </c>
      <c r="H77">
        <v>1</v>
      </c>
      <c r="J77" s="2" t="s">
        <v>143</v>
      </c>
      <c r="L77" s="31">
        <v>0</v>
      </c>
      <c r="M77" s="31">
        <v>0</v>
      </c>
      <c r="O77" s="2" t="s">
        <v>97</v>
      </c>
      <c r="Q77" s="2" t="s">
        <v>91</v>
      </c>
      <c r="S77" s="96">
        <v>0.01</v>
      </c>
      <c r="T77" s="181">
        <v>7</v>
      </c>
    </row>
    <row r="78" spans="1:191">
      <c r="B78">
        <v>3</v>
      </c>
      <c r="C78">
        <v>1</v>
      </c>
      <c r="D78" s="30">
        <v>4.5</v>
      </c>
      <c r="G78" s="92">
        <v>1111</v>
      </c>
      <c r="H78">
        <v>2</v>
      </c>
      <c r="J78" s="2" t="s">
        <v>144</v>
      </c>
      <c r="L78" s="31">
        <f>D68</f>
        <v>101.3591</v>
      </c>
      <c r="M78" s="31">
        <f>D69</f>
        <v>163.67440000000002</v>
      </c>
      <c r="O78" s="2" t="s">
        <v>98</v>
      </c>
      <c r="Q78" s="2" t="s">
        <v>101</v>
      </c>
      <c r="S78" s="96">
        <v>0.03</v>
      </c>
      <c r="T78" s="181">
        <v>8</v>
      </c>
    </row>
    <row r="79" spans="1:191">
      <c r="B79">
        <v>3.5</v>
      </c>
      <c r="C79">
        <v>2</v>
      </c>
      <c r="D79" s="30">
        <v>4.6500000000000004</v>
      </c>
      <c r="E79" t="s">
        <v>145</v>
      </c>
      <c r="G79" s="92">
        <v>2020</v>
      </c>
      <c r="H79">
        <v>3</v>
      </c>
      <c r="J79" s="2" t="s">
        <v>146</v>
      </c>
      <c r="L79" s="31">
        <f>L78*2</f>
        <v>202.7182</v>
      </c>
      <c r="M79" s="31">
        <f>M78*2</f>
        <v>327.34880000000004</v>
      </c>
      <c r="O79" s="2" t="s">
        <v>99</v>
      </c>
      <c r="Q79" s="2" t="s">
        <v>102</v>
      </c>
      <c r="S79" s="96">
        <v>0.05</v>
      </c>
      <c r="T79" s="181">
        <v>9</v>
      </c>
    </row>
    <row r="80" spans="1:191">
      <c r="B80">
        <v>4</v>
      </c>
      <c r="C80">
        <v>3</v>
      </c>
      <c r="D80" s="30">
        <v>4.75</v>
      </c>
      <c r="G80" s="92">
        <v>2222</v>
      </c>
      <c r="H80">
        <v>4</v>
      </c>
      <c r="J80" s="2" t="s">
        <v>147</v>
      </c>
      <c r="L80" s="31">
        <f>L78*3</f>
        <v>304.07729999999998</v>
      </c>
      <c r="M80" s="31">
        <f>M78*3</f>
        <v>491.02320000000009</v>
      </c>
      <c r="O80" s="2" t="s">
        <v>100</v>
      </c>
      <c r="Q80" s="2" t="s">
        <v>103</v>
      </c>
      <c r="S80" s="96">
        <v>0.08</v>
      </c>
      <c r="T80" s="181">
        <v>9.5</v>
      </c>
    </row>
    <row r="81" spans="2:20">
      <c r="B81">
        <v>4.5</v>
      </c>
      <c r="C81">
        <v>4</v>
      </c>
      <c r="D81" s="30">
        <v>5</v>
      </c>
      <c r="G81" s="92">
        <v>3333</v>
      </c>
      <c r="H81">
        <v>5</v>
      </c>
      <c r="L81" s="31">
        <f>L78*4</f>
        <v>405.43639999999999</v>
      </c>
      <c r="M81" s="31">
        <f>M78*4</f>
        <v>654.69760000000008</v>
      </c>
    </row>
    <row r="82" spans="2:20">
      <c r="B82">
        <v>5</v>
      </c>
      <c r="D82" s="30">
        <v>5.25</v>
      </c>
      <c r="E82" t="s">
        <v>148</v>
      </c>
      <c r="H82">
        <v>6</v>
      </c>
    </row>
    <row r="83" spans="2:20">
      <c r="B83">
        <v>5.5</v>
      </c>
      <c r="D83" s="30">
        <v>5.5</v>
      </c>
      <c r="H83">
        <v>7</v>
      </c>
    </row>
    <row r="84" spans="2:20">
      <c r="B84">
        <v>6</v>
      </c>
      <c r="D84" s="30">
        <v>6</v>
      </c>
      <c r="E84" t="s">
        <v>149</v>
      </c>
      <c r="H84">
        <v>8</v>
      </c>
      <c r="K84" s="2">
        <v>60</v>
      </c>
    </row>
    <row r="85" spans="2:20">
      <c r="B85">
        <v>6.5</v>
      </c>
      <c r="D85" s="30">
        <v>6.5</v>
      </c>
      <c r="H85">
        <v>9</v>
      </c>
    </row>
    <row r="86" spans="2:20">
      <c r="B86">
        <v>7</v>
      </c>
      <c r="D86" s="30">
        <v>7</v>
      </c>
      <c r="E86" t="s">
        <v>150</v>
      </c>
      <c r="H86">
        <v>10</v>
      </c>
    </row>
    <row r="87" spans="2:20">
      <c r="B87">
        <v>7.5</v>
      </c>
      <c r="D87" s="30">
        <v>7.5</v>
      </c>
      <c r="H87">
        <v>11</v>
      </c>
    </row>
    <row r="88" spans="2:20">
      <c r="B88">
        <v>8</v>
      </c>
      <c r="D88" s="30">
        <v>8</v>
      </c>
      <c r="H88">
        <v>12</v>
      </c>
    </row>
    <row r="89" spans="2:20">
      <c r="B89">
        <v>8.5</v>
      </c>
      <c r="D89" s="30">
        <v>8.5</v>
      </c>
      <c r="E89" t="s">
        <v>151</v>
      </c>
      <c r="H89">
        <v>13</v>
      </c>
    </row>
    <row r="90" spans="2:20">
      <c r="B90">
        <v>9</v>
      </c>
      <c r="D90" s="30">
        <v>9</v>
      </c>
      <c r="H90">
        <v>14</v>
      </c>
    </row>
    <row r="91" spans="2:20">
      <c r="B91">
        <v>9.5</v>
      </c>
      <c r="D91" s="30">
        <v>9.5</v>
      </c>
      <c r="H91">
        <v>15</v>
      </c>
    </row>
    <row r="92" spans="2:20">
      <c r="B92">
        <v>10</v>
      </c>
      <c r="D92" s="30">
        <v>10</v>
      </c>
      <c r="H92">
        <v>16</v>
      </c>
      <c r="L92" s="2" t="s">
        <v>152</v>
      </c>
      <c r="M92" s="2" t="s">
        <v>152</v>
      </c>
      <c r="N92" s="2" t="s">
        <v>152</v>
      </c>
      <c r="O92" s="2" t="s">
        <v>152</v>
      </c>
      <c r="P92" s="2" t="s">
        <v>153</v>
      </c>
      <c r="Q92" s="2" t="s">
        <v>153</v>
      </c>
      <c r="R92" s="2" t="s">
        <v>153</v>
      </c>
      <c r="S92" s="2" t="s">
        <v>153</v>
      </c>
      <c r="T92" s="2" t="s">
        <v>153</v>
      </c>
    </row>
    <row r="93" spans="2:20">
      <c r="B93">
        <v>10.5</v>
      </c>
      <c r="D93" s="30">
        <v>10.5</v>
      </c>
      <c r="H93">
        <v>17</v>
      </c>
      <c r="L93" s="2" t="s">
        <v>154</v>
      </c>
      <c r="M93" s="2" t="s">
        <v>155</v>
      </c>
      <c r="N93" s="2" t="s">
        <v>156</v>
      </c>
      <c r="O93" s="2" t="s">
        <v>157</v>
      </c>
      <c r="P93" s="2" t="s">
        <v>158</v>
      </c>
      <c r="Q93" s="2" t="s">
        <v>159</v>
      </c>
      <c r="R93" s="2" t="s">
        <v>160</v>
      </c>
      <c r="S93" s="2" t="s">
        <v>161</v>
      </c>
      <c r="T93" s="2" t="s">
        <v>162</v>
      </c>
    </row>
    <row r="94" spans="2:20">
      <c r="B94">
        <v>11</v>
      </c>
      <c r="D94" s="30">
        <v>11</v>
      </c>
      <c r="H94">
        <v>18</v>
      </c>
      <c r="L94" s="39">
        <f>Parts!M56</f>
        <v>1.3843000000000001</v>
      </c>
      <c r="M94" s="39">
        <f>Parts!M55</f>
        <v>2.8340000000000005</v>
      </c>
      <c r="N94" s="39">
        <f>Parts!M57</f>
        <v>3.6560416666666669</v>
      </c>
      <c r="O94" s="39">
        <f>Parts!M58</f>
        <v>4.2537250000000002</v>
      </c>
      <c r="P94" s="39">
        <f>Parts!M60</f>
        <v>4.2836999999999996</v>
      </c>
      <c r="Q94" s="39">
        <f>Parts!M62</f>
        <v>7.4138166666666674</v>
      </c>
      <c r="R94" s="39">
        <f>Parts!M64</f>
        <v>13.474216666666667</v>
      </c>
      <c r="S94" s="39">
        <f>Parts!M65</f>
        <v>15.582155555555557</v>
      </c>
      <c r="T94" s="39">
        <f>Parts!M66</f>
        <v>21.227750000000004</v>
      </c>
    </row>
    <row r="95" spans="2:20">
      <c r="B95">
        <v>11.5</v>
      </c>
      <c r="D95" s="30">
        <v>12</v>
      </c>
      <c r="H95">
        <v>19</v>
      </c>
    </row>
    <row r="96" spans="2:20">
      <c r="B96">
        <v>12</v>
      </c>
      <c r="D96" s="30">
        <v>13</v>
      </c>
      <c r="H96">
        <v>20</v>
      </c>
    </row>
    <row r="97" spans="4:8">
      <c r="D97" s="30">
        <v>14</v>
      </c>
      <c r="H97">
        <v>21</v>
      </c>
    </row>
    <row r="98" spans="4:8">
      <c r="D98" s="30">
        <v>15</v>
      </c>
      <c r="H98">
        <v>22</v>
      </c>
    </row>
    <row r="99" spans="4:8">
      <c r="D99" s="30">
        <v>16</v>
      </c>
      <c r="H99">
        <v>23</v>
      </c>
    </row>
    <row r="100" spans="4:8">
      <c r="H100">
        <v>24</v>
      </c>
    </row>
    <row r="101" spans="4:8">
      <c r="H101">
        <v>25</v>
      </c>
    </row>
    <row r="102" spans="4:8">
      <c r="H102">
        <v>26</v>
      </c>
    </row>
    <row r="103" spans="4:8">
      <c r="H103">
        <v>27</v>
      </c>
    </row>
    <row r="104" spans="4:8">
      <c r="H104">
        <v>28</v>
      </c>
    </row>
    <row r="105" spans="4:8">
      <c r="H105">
        <v>29</v>
      </c>
    </row>
    <row r="106" spans="4:8">
      <c r="H106">
        <v>30</v>
      </c>
    </row>
    <row r="107" spans="4:8">
      <c r="H107">
        <v>31</v>
      </c>
    </row>
    <row r="108" spans="4:8">
      <c r="H108">
        <v>32</v>
      </c>
    </row>
    <row r="109" spans="4:8">
      <c r="H109">
        <v>33</v>
      </c>
    </row>
    <row r="110" spans="4:8">
      <c r="H110">
        <v>34</v>
      </c>
    </row>
    <row r="111" spans="4:8">
      <c r="H111">
        <v>35</v>
      </c>
    </row>
    <row r="112" spans="4:8">
      <c r="H112">
        <v>36</v>
      </c>
    </row>
    <row r="113" spans="8:8">
      <c r="H113">
        <v>37</v>
      </c>
    </row>
    <row r="114" spans="8:8">
      <c r="H114">
        <v>38</v>
      </c>
    </row>
    <row r="115" spans="8:8">
      <c r="H115">
        <v>39</v>
      </c>
    </row>
    <row r="116" spans="8:8">
      <c r="H116">
        <v>40</v>
      </c>
    </row>
    <row r="117" spans="8:8">
      <c r="H117">
        <v>41</v>
      </c>
    </row>
    <row r="118" spans="8:8">
      <c r="H118">
        <v>42</v>
      </c>
    </row>
    <row r="119" spans="8:8">
      <c r="H119">
        <v>43</v>
      </c>
    </row>
    <row r="120" spans="8:8">
      <c r="H120">
        <v>44</v>
      </c>
    </row>
    <row r="121" spans="8:8">
      <c r="H121">
        <v>45</v>
      </c>
    </row>
    <row r="122" spans="8:8">
      <c r="H122">
        <v>46</v>
      </c>
    </row>
    <row r="123" spans="8:8">
      <c r="H123">
        <v>47</v>
      </c>
    </row>
    <row r="124" spans="8:8">
      <c r="H124">
        <v>48</v>
      </c>
    </row>
    <row r="125" spans="8:8">
      <c r="H125">
        <v>49</v>
      </c>
    </row>
    <row r="126" spans="8:8">
      <c r="H126">
        <v>50</v>
      </c>
    </row>
    <row r="127" spans="8:8">
      <c r="H127">
        <v>51</v>
      </c>
    </row>
    <row r="128" spans="8:8">
      <c r="H128">
        <v>52</v>
      </c>
    </row>
    <row r="129" spans="8:8">
      <c r="H129">
        <v>53</v>
      </c>
    </row>
    <row r="130" spans="8:8">
      <c r="H130">
        <v>54</v>
      </c>
    </row>
    <row r="131" spans="8:8">
      <c r="H131">
        <v>55</v>
      </c>
    </row>
    <row r="132" spans="8:8">
      <c r="H132">
        <v>56</v>
      </c>
    </row>
    <row r="133" spans="8:8">
      <c r="H133">
        <v>57</v>
      </c>
    </row>
    <row r="134" spans="8:8">
      <c r="H134">
        <v>58</v>
      </c>
    </row>
    <row r="135" spans="8:8">
      <c r="H135">
        <v>59</v>
      </c>
    </row>
    <row r="136" spans="8:8">
      <c r="H136">
        <v>60</v>
      </c>
    </row>
    <row r="137" spans="8:8">
      <c r="H137">
        <v>61</v>
      </c>
    </row>
    <row r="138" spans="8:8">
      <c r="H138">
        <v>62</v>
      </c>
    </row>
    <row r="139" spans="8:8">
      <c r="H139">
        <v>63</v>
      </c>
    </row>
    <row r="140" spans="8:8">
      <c r="H140">
        <v>64</v>
      </c>
    </row>
    <row r="141" spans="8:8">
      <c r="H141">
        <v>65</v>
      </c>
    </row>
    <row r="142" spans="8:8">
      <c r="H142">
        <v>66</v>
      </c>
    </row>
    <row r="143" spans="8:8">
      <c r="H143">
        <v>67</v>
      </c>
    </row>
    <row r="144" spans="8:8">
      <c r="H144">
        <v>68</v>
      </c>
    </row>
    <row r="145" spans="8:8">
      <c r="H145">
        <v>69</v>
      </c>
    </row>
    <row r="146" spans="8:8">
      <c r="H146">
        <v>70</v>
      </c>
    </row>
    <row r="147" spans="8:8">
      <c r="H147">
        <v>71</v>
      </c>
    </row>
    <row r="148" spans="8:8">
      <c r="H148">
        <v>72</v>
      </c>
    </row>
    <row r="149" spans="8:8">
      <c r="H149">
        <v>73</v>
      </c>
    </row>
    <row r="150" spans="8:8">
      <c r="H150">
        <v>74</v>
      </c>
    </row>
    <row r="151" spans="8:8">
      <c r="H151">
        <v>75</v>
      </c>
    </row>
    <row r="152" spans="8:8">
      <c r="H152">
        <v>76</v>
      </c>
    </row>
    <row r="153" spans="8:8">
      <c r="H153">
        <v>77</v>
      </c>
    </row>
    <row r="154" spans="8:8">
      <c r="H154">
        <v>78</v>
      </c>
    </row>
    <row r="155" spans="8:8">
      <c r="H155">
        <v>79</v>
      </c>
    </row>
    <row r="156" spans="8:8">
      <c r="H156">
        <v>80</v>
      </c>
    </row>
    <row r="157" spans="8:8">
      <c r="H157">
        <v>81</v>
      </c>
    </row>
    <row r="158" spans="8:8">
      <c r="H158">
        <v>82</v>
      </c>
    </row>
    <row r="159" spans="8:8">
      <c r="H159">
        <v>83</v>
      </c>
    </row>
    <row r="160" spans="8:8">
      <c r="H160">
        <v>84</v>
      </c>
    </row>
    <row r="161" spans="8:8">
      <c r="H161">
        <v>85</v>
      </c>
    </row>
    <row r="162" spans="8:8">
      <c r="H162">
        <v>86</v>
      </c>
    </row>
    <row r="163" spans="8:8">
      <c r="H163">
        <v>87</v>
      </c>
    </row>
    <row r="164" spans="8:8">
      <c r="H164">
        <v>88</v>
      </c>
    </row>
    <row r="165" spans="8:8">
      <c r="H165">
        <v>89</v>
      </c>
    </row>
    <row r="166" spans="8:8">
      <c r="H166">
        <v>90</v>
      </c>
    </row>
    <row r="167" spans="8:8">
      <c r="H167">
        <v>91</v>
      </c>
    </row>
    <row r="168" spans="8:8">
      <c r="H168">
        <v>92</v>
      </c>
    </row>
    <row r="169" spans="8:8">
      <c r="H169">
        <v>93</v>
      </c>
    </row>
    <row r="170" spans="8:8">
      <c r="H170">
        <v>94</v>
      </c>
    </row>
    <row r="171" spans="8:8">
      <c r="H171">
        <v>95</v>
      </c>
    </row>
    <row r="172" spans="8:8">
      <c r="H172">
        <v>96</v>
      </c>
    </row>
    <row r="173" spans="8:8">
      <c r="H173">
        <v>97</v>
      </c>
    </row>
    <row r="174" spans="8:8">
      <c r="H174">
        <v>98</v>
      </c>
    </row>
    <row r="175" spans="8:8">
      <c r="H175">
        <v>99</v>
      </c>
    </row>
    <row r="176" spans="8:8">
      <c r="H176">
        <v>100</v>
      </c>
    </row>
    <row r="177" spans="8:8">
      <c r="H177">
        <v>101</v>
      </c>
    </row>
    <row r="178" spans="8:8">
      <c r="H178">
        <v>102</v>
      </c>
    </row>
    <row r="179" spans="8:8">
      <c r="H179">
        <v>103</v>
      </c>
    </row>
    <row r="180" spans="8:8">
      <c r="H180">
        <v>104</v>
      </c>
    </row>
    <row r="181" spans="8:8">
      <c r="H181">
        <v>105</v>
      </c>
    </row>
    <row r="182" spans="8:8">
      <c r="H182">
        <v>106</v>
      </c>
    </row>
    <row r="183" spans="8:8">
      <c r="H183">
        <v>107</v>
      </c>
    </row>
    <row r="184" spans="8:8">
      <c r="H184">
        <v>108</v>
      </c>
    </row>
    <row r="185" spans="8:8">
      <c r="H185">
        <v>109</v>
      </c>
    </row>
    <row r="186" spans="8:8">
      <c r="H186">
        <v>110</v>
      </c>
    </row>
    <row r="187" spans="8:8">
      <c r="H187">
        <v>111</v>
      </c>
    </row>
    <row r="188" spans="8:8">
      <c r="H188">
        <v>112</v>
      </c>
    </row>
    <row r="189" spans="8:8">
      <c r="H189">
        <v>113</v>
      </c>
    </row>
    <row r="190" spans="8:8">
      <c r="H190">
        <v>114</v>
      </c>
    </row>
    <row r="191" spans="8:8">
      <c r="H191">
        <v>115</v>
      </c>
    </row>
    <row r="192" spans="8:8">
      <c r="H192">
        <v>116</v>
      </c>
    </row>
    <row r="193" spans="8:8">
      <c r="H193">
        <v>117</v>
      </c>
    </row>
    <row r="194" spans="8:8">
      <c r="H194">
        <v>118</v>
      </c>
    </row>
    <row r="195" spans="8:8">
      <c r="H195">
        <v>119</v>
      </c>
    </row>
    <row r="196" spans="8:8">
      <c r="H196">
        <v>120</v>
      </c>
    </row>
    <row r="197" spans="8:8">
      <c r="H197">
        <v>121</v>
      </c>
    </row>
    <row r="198" spans="8:8">
      <c r="H198">
        <v>122</v>
      </c>
    </row>
    <row r="199" spans="8:8">
      <c r="H199">
        <v>123</v>
      </c>
    </row>
    <row r="200" spans="8:8">
      <c r="H200">
        <v>124</v>
      </c>
    </row>
    <row r="201" spans="8:8">
      <c r="H201">
        <v>125</v>
      </c>
    </row>
    <row r="202" spans="8:8">
      <c r="H202">
        <v>126</v>
      </c>
    </row>
    <row r="203" spans="8:8">
      <c r="H203">
        <v>127</v>
      </c>
    </row>
    <row r="204" spans="8:8">
      <c r="H204">
        <v>128</v>
      </c>
    </row>
    <row r="205" spans="8:8">
      <c r="H205">
        <v>129</v>
      </c>
    </row>
    <row r="206" spans="8:8">
      <c r="H206">
        <v>130</v>
      </c>
    </row>
    <row r="207" spans="8:8">
      <c r="H207">
        <v>131</v>
      </c>
    </row>
    <row r="208" spans="8:8">
      <c r="H208">
        <v>132</v>
      </c>
    </row>
    <row r="209" spans="8:8">
      <c r="H209">
        <v>133</v>
      </c>
    </row>
    <row r="210" spans="8:8">
      <c r="H210">
        <v>134</v>
      </c>
    </row>
    <row r="211" spans="8:8">
      <c r="H211">
        <v>135</v>
      </c>
    </row>
    <row r="212" spans="8:8">
      <c r="H212">
        <v>136</v>
      </c>
    </row>
    <row r="213" spans="8:8">
      <c r="H213">
        <v>137</v>
      </c>
    </row>
    <row r="214" spans="8:8">
      <c r="H214">
        <v>138</v>
      </c>
    </row>
    <row r="215" spans="8:8">
      <c r="H215">
        <v>139</v>
      </c>
    </row>
    <row r="216" spans="8:8">
      <c r="H216">
        <v>140</v>
      </c>
    </row>
    <row r="217" spans="8:8">
      <c r="H217">
        <v>141</v>
      </c>
    </row>
    <row r="218" spans="8:8">
      <c r="H218">
        <v>142</v>
      </c>
    </row>
    <row r="219" spans="8:8">
      <c r="H219">
        <v>143</v>
      </c>
    </row>
    <row r="220" spans="8:8">
      <c r="H220">
        <v>144</v>
      </c>
    </row>
    <row r="221" spans="8:8">
      <c r="H221">
        <v>145</v>
      </c>
    </row>
    <row r="222" spans="8:8">
      <c r="H222">
        <v>146</v>
      </c>
    </row>
    <row r="223" spans="8:8">
      <c r="H223">
        <v>147</v>
      </c>
    </row>
    <row r="224" spans="8:8">
      <c r="H224">
        <v>148</v>
      </c>
    </row>
    <row r="225" spans="8:8">
      <c r="H225">
        <v>149</v>
      </c>
    </row>
    <row r="226" spans="8:8">
      <c r="H226">
        <v>150</v>
      </c>
    </row>
    <row r="227" spans="8:8">
      <c r="H227">
        <v>151</v>
      </c>
    </row>
    <row r="228" spans="8:8">
      <c r="H228">
        <v>152</v>
      </c>
    </row>
    <row r="229" spans="8:8">
      <c r="H229">
        <v>153</v>
      </c>
    </row>
    <row r="230" spans="8:8">
      <c r="H230">
        <v>154</v>
      </c>
    </row>
    <row r="231" spans="8:8">
      <c r="H231">
        <v>155</v>
      </c>
    </row>
    <row r="232" spans="8:8">
      <c r="H232">
        <v>156</v>
      </c>
    </row>
    <row r="233" spans="8:8">
      <c r="H233">
        <v>157</v>
      </c>
    </row>
    <row r="234" spans="8:8">
      <c r="H234">
        <v>158</v>
      </c>
    </row>
    <row r="235" spans="8:8">
      <c r="H235">
        <v>159</v>
      </c>
    </row>
    <row r="236" spans="8:8">
      <c r="H236">
        <v>160</v>
      </c>
    </row>
    <row r="237" spans="8:8">
      <c r="H237">
        <v>161</v>
      </c>
    </row>
    <row r="238" spans="8:8">
      <c r="H238">
        <v>162</v>
      </c>
    </row>
    <row r="239" spans="8:8">
      <c r="H239">
        <v>163</v>
      </c>
    </row>
    <row r="240" spans="8:8">
      <c r="H240">
        <v>164</v>
      </c>
    </row>
    <row r="241" spans="8:8">
      <c r="H241">
        <v>165</v>
      </c>
    </row>
    <row r="242" spans="8:8">
      <c r="H242">
        <v>166</v>
      </c>
    </row>
    <row r="243" spans="8:8">
      <c r="H243">
        <v>167</v>
      </c>
    </row>
    <row r="244" spans="8:8">
      <c r="H244">
        <v>168</v>
      </c>
    </row>
    <row r="245" spans="8:8">
      <c r="H245">
        <v>169</v>
      </c>
    </row>
    <row r="246" spans="8:8">
      <c r="H246">
        <v>170</v>
      </c>
    </row>
    <row r="247" spans="8:8">
      <c r="H247">
        <v>171</v>
      </c>
    </row>
    <row r="248" spans="8:8">
      <c r="H248">
        <v>172</v>
      </c>
    </row>
    <row r="249" spans="8:8">
      <c r="H249">
        <v>173</v>
      </c>
    </row>
    <row r="250" spans="8:8">
      <c r="H250">
        <v>174</v>
      </c>
    </row>
    <row r="251" spans="8:8">
      <c r="H251">
        <v>175</v>
      </c>
    </row>
    <row r="252" spans="8:8">
      <c r="H252">
        <v>176</v>
      </c>
    </row>
    <row r="253" spans="8:8">
      <c r="H253">
        <v>177</v>
      </c>
    </row>
    <row r="254" spans="8:8">
      <c r="H254">
        <v>178</v>
      </c>
    </row>
    <row r="255" spans="8:8">
      <c r="H255">
        <v>179</v>
      </c>
    </row>
    <row r="256" spans="8:8">
      <c r="H256">
        <v>180</v>
      </c>
    </row>
    <row r="257" spans="8:8">
      <c r="H257">
        <v>181</v>
      </c>
    </row>
    <row r="258" spans="8:8">
      <c r="H258">
        <v>182</v>
      </c>
    </row>
    <row r="259" spans="8:8">
      <c r="H259">
        <v>183</v>
      </c>
    </row>
    <row r="260" spans="8:8">
      <c r="H260">
        <v>184</v>
      </c>
    </row>
    <row r="261" spans="8:8">
      <c r="H261">
        <v>185</v>
      </c>
    </row>
  </sheetData>
  <mergeCells count="43">
    <mergeCell ref="K30:N30"/>
    <mergeCell ref="K25:N25"/>
    <mergeCell ref="K26:N26"/>
    <mergeCell ref="K27:N27"/>
    <mergeCell ref="K28:N28"/>
    <mergeCell ref="K29:N29"/>
    <mergeCell ref="K20:N20"/>
    <mergeCell ref="K21:N21"/>
    <mergeCell ref="K22:N22"/>
    <mergeCell ref="K23:N23"/>
    <mergeCell ref="K24:N24"/>
    <mergeCell ref="Y17:AB17"/>
    <mergeCell ref="B18:C18"/>
    <mergeCell ref="K11:L11"/>
    <mergeCell ref="K16:L16"/>
    <mergeCell ref="K10:L10"/>
    <mergeCell ref="K13:L13"/>
    <mergeCell ref="K8:L8"/>
    <mergeCell ref="B17:C17"/>
    <mergeCell ref="U17:X17"/>
    <mergeCell ref="G1:H1"/>
    <mergeCell ref="A3:J3"/>
    <mergeCell ref="K9:L9"/>
    <mergeCell ref="K7:L7"/>
    <mergeCell ref="O5:P5"/>
    <mergeCell ref="K12:L12"/>
    <mergeCell ref="C7:H7"/>
    <mergeCell ref="B28:C28"/>
    <mergeCell ref="B29:C29"/>
    <mergeCell ref="B30:C30"/>
    <mergeCell ref="B19:C19"/>
    <mergeCell ref="B1:E1"/>
    <mergeCell ref="A2:J2"/>
    <mergeCell ref="B26:C26"/>
    <mergeCell ref="B27:C27"/>
    <mergeCell ref="B20:C20"/>
    <mergeCell ref="B21:C21"/>
    <mergeCell ref="B22:C22"/>
    <mergeCell ref="B23:C23"/>
    <mergeCell ref="B24:C24"/>
    <mergeCell ref="B25:C25"/>
    <mergeCell ref="A4:J4"/>
    <mergeCell ref="A5:J5"/>
  </mergeCells>
  <conditionalFormatting sqref="B17:C17">
    <cfRule type="expression" dxfId="68" priority="8">
      <formula>IF(K11&gt;3%,"Price MUST BE $10")</formula>
    </cfRule>
  </conditionalFormatting>
  <conditionalFormatting sqref="F13:F20">
    <cfRule type="cellIs" dxfId="67" priority="6" operator="greaterThan">
      <formula>0</formula>
    </cfRule>
  </conditionalFormatting>
  <conditionalFormatting sqref="J11">
    <cfRule type="expression" priority="1">
      <formula>K14=0</formula>
    </cfRule>
    <cfRule type="expression" dxfId="66" priority="2">
      <formula>K14&gt;0</formula>
    </cfRule>
  </conditionalFormatting>
  <conditionalFormatting sqref="J13">
    <cfRule type="expression" dxfId="65" priority="3">
      <formula>SUM($K$8:$L$10)&gt;0</formula>
    </cfRule>
  </conditionalFormatting>
  <dataValidations count="10">
    <dataValidation type="list" allowBlank="1" showInputMessage="1" showErrorMessage="1" sqref="B23:C23" xr:uid="{479EB029-1182-439F-9AFF-AFC566A33696}">
      <formula1>$O$77:$O$80</formula1>
    </dataValidation>
    <dataValidation type="list" allowBlank="1" showInputMessage="1" showErrorMessage="1" sqref="B18:C18" xr:uid="{EB6840BE-85E5-4CFA-8FD2-74BC89B8472A}">
      <formula1>$Q$77:$Q$80</formula1>
    </dataValidation>
    <dataValidation type="list" allowBlank="1" showInputMessage="1" showErrorMessage="1" sqref="B19:C19 B24:C24" xr:uid="{543E8B84-CA3F-4505-88C4-B38DBB1F0ADC}">
      <formula1>$O$21:$O$28</formula1>
    </dataValidation>
    <dataValidation type="list" allowBlank="1" showInputMessage="1" showErrorMessage="1" sqref="B25:C26 B20:C21" xr:uid="{C2ABEEFF-375B-479C-A546-36993A0E0C05}">
      <formula1>$H$76:$H$176</formula1>
    </dataValidation>
    <dataValidation type="list" allowBlank="1" showInputMessage="1" showErrorMessage="1" sqref="B14:B15" xr:uid="{1E30A5D4-FEA3-4796-A8DD-007AF3A3CCEE}">
      <formula1>$C$77:$C$81</formula1>
    </dataValidation>
    <dataValidation type="list" allowBlank="1" showInputMessage="1" showErrorMessage="1" sqref="B9" xr:uid="{C1E77E0C-1936-4DF6-B489-7FF4F67538C8}">
      <formula1>$B$75:$B$93</formula1>
    </dataValidation>
    <dataValidation type="list" allowBlank="1" showInputMessage="1" showErrorMessage="1" sqref="B17:C17" xr:uid="{A9A06550-9B72-4DC2-8200-C99F6EB83D6A}">
      <formula1>$B$51:$B$64</formula1>
    </dataValidation>
    <dataValidation type="list" allowBlank="1" showInputMessage="1" showErrorMessage="1" sqref="B8" xr:uid="{37CB0248-A4E1-4DD6-ADB0-237C705EA08C}">
      <formula1>$B$76:$B$96</formula1>
    </dataValidation>
    <dataValidation type="list" allowBlank="1" showInputMessage="1" showErrorMessage="1" sqref="B7" xr:uid="{BC241428-4DBC-4FB4-8385-7BD9C779C75C}">
      <formula1>$G$77:$G$81</formula1>
    </dataValidation>
    <dataValidation type="list" allowBlank="1" showInputMessage="1" showErrorMessage="1" sqref="B10:B13" xr:uid="{709B77F4-5FD1-4A24-89CB-BC4770FD7197}">
      <formula1>$H$76:$H$261</formula1>
    </dataValidation>
  </dataValidations>
  <pageMargins left="0.25" right="0.25" top="0.75" bottom="0.75" header="0.3" footer="0.3"/>
  <pageSetup scale="61" orientation="landscape" r:id="rId1"/>
  <ignoredErrors>
    <ignoredError sqref="E68 K16 K33:M33" unlockedFormula="1"/>
    <ignoredError sqref="L10 L11" evalError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1795C-0A8E-4FAD-9FB6-834D0760F6F7}">
  <sheetPr codeName="Sheet9">
    <tabColor rgb="FF92D050"/>
    <pageSetUpPr fitToPage="1"/>
  </sheetPr>
  <dimension ref="A1:W188"/>
  <sheetViews>
    <sheetView view="pageBreakPreview" topLeftCell="A54" zoomScale="110" zoomScaleNormal="100" zoomScaleSheetLayoutView="110" workbookViewId="0">
      <selection activeCell="A18" sqref="A18"/>
    </sheetView>
  </sheetViews>
  <sheetFormatPr defaultRowHeight="15"/>
  <cols>
    <col min="1" max="3" width="14.140625" customWidth="1"/>
    <col min="4" max="4" width="13.140625" customWidth="1"/>
    <col min="5" max="5" width="13.5703125" customWidth="1"/>
    <col min="6" max="6" width="10.28515625" style="2" customWidth="1"/>
    <col min="7" max="7" width="10.85546875" style="2" customWidth="1"/>
    <col min="8" max="8" width="11.140625" customWidth="1"/>
    <col min="9" max="9" width="11.5703125" style="2" customWidth="1"/>
    <col min="10" max="10" width="12.42578125" style="2" customWidth="1"/>
    <col min="11" max="11" width="4.42578125" style="2" customWidth="1"/>
    <col min="12" max="12" width="16.28515625" customWidth="1"/>
    <col min="13" max="13" width="14.28515625" customWidth="1"/>
    <col min="14" max="14" width="13.7109375" customWidth="1"/>
    <col min="15" max="15" width="11.7109375" customWidth="1"/>
    <col min="16" max="16" width="13" customWidth="1"/>
    <col min="17" max="17" width="12.7109375" customWidth="1"/>
    <col min="18" max="18" width="12" customWidth="1"/>
    <col min="19" max="20" width="12.28515625" customWidth="1"/>
    <col min="21" max="21" width="12.42578125" customWidth="1"/>
    <col min="22" max="22" width="12.85546875" customWidth="1"/>
    <col min="23" max="23" width="12.42578125" customWidth="1"/>
  </cols>
  <sheetData>
    <row r="1" spans="1:23">
      <c r="A1" s="337" t="s">
        <v>163</v>
      </c>
      <c r="B1" s="337"/>
      <c r="C1" s="337"/>
      <c r="E1" s="356" t="s">
        <v>87</v>
      </c>
      <c r="F1" s="356"/>
      <c r="G1" s="356"/>
      <c r="H1" s="356"/>
      <c r="P1" s="22" t="s">
        <v>164</v>
      </c>
    </row>
    <row r="2" spans="1:23">
      <c r="A2" t="s">
        <v>165</v>
      </c>
      <c r="P2" s="27">
        <f>COUNT(A21:A105)</f>
        <v>30</v>
      </c>
    </row>
    <row r="3" spans="1:23">
      <c r="A3" s="303" t="s">
        <v>166</v>
      </c>
      <c r="B3" s="303"/>
      <c r="C3" s="303"/>
      <c r="E3" s="1" t="s">
        <v>167</v>
      </c>
      <c r="L3" s="2"/>
      <c r="M3" s="2"/>
      <c r="N3" s="2"/>
      <c r="O3" s="2"/>
      <c r="P3" s="22" t="s">
        <v>168</v>
      </c>
      <c r="Q3" s="2"/>
      <c r="R3" s="2"/>
    </row>
    <row r="4" spans="1:23">
      <c r="A4" s="370" t="s">
        <v>169</v>
      </c>
      <c r="B4" s="371"/>
      <c r="C4" s="371"/>
      <c r="E4" s="1" t="s">
        <v>170</v>
      </c>
      <c r="L4" s="2" t="s">
        <v>171</v>
      </c>
      <c r="M4" s="201"/>
      <c r="N4" s="233">
        <f>SUM(N5:N7)</f>
        <v>1708.3741724556376</v>
      </c>
      <c r="O4" s="201"/>
      <c r="P4" s="90">
        <v>20</v>
      </c>
      <c r="Q4" s="201"/>
      <c r="R4" s="2"/>
      <c r="U4" s="2"/>
      <c r="V4" s="19"/>
    </row>
    <row r="5" spans="1:23">
      <c r="A5" s="371"/>
      <c r="B5" s="371"/>
      <c r="C5" s="371"/>
      <c r="J5" s="96"/>
      <c r="L5" s="22" t="s">
        <v>172</v>
      </c>
      <c r="M5" s="5">
        <f>A17</f>
        <v>5253.8007498071202</v>
      </c>
      <c r="N5" s="5">
        <f>P2*P4/60*P6</f>
        <v>500</v>
      </c>
      <c r="O5" s="5" t="s">
        <v>173</v>
      </c>
      <c r="P5" s="2" t="s">
        <v>174</v>
      </c>
      <c r="Q5" s="5"/>
      <c r="R5" s="234"/>
      <c r="U5" s="2"/>
      <c r="V5" s="197"/>
      <c r="W5" s="2"/>
    </row>
    <row r="6" spans="1:23" ht="15" customHeight="1">
      <c r="A6" s="370" t="s">
        <v>175</v>
      </c>
      <c r="B6" s="370"/>
      <c r="C6" s="370"/>
      <c r="E6" s="1" t="s">
        <v>176</v>
      </c>
      <c r="L6" s="22" t="s">
        <v>177</v>
      </c>
      <c r="M6" s="5">
        <f>F18</f>
        <v>2750.6810208414249</v>
      </c>
      <c r="N6" s="5">
        <f>A17*0.03</f>
        <v>157.6140224942136</v>
      </c>
      <c r="O6" s="5" t="s">
        <v>178</v>
      </c>
      <c r="P6" s="2">
        <v>50</v>
      </c>
      <c r="Q6" s="5"/>
      <c r="R6" s="5"/>
      <c r="S6" s="5"/>
      <c r="T6" s="5"/>
      <c r="U6" s="5"/>
      <c r="V6" s="202"/>
      <c r="W6" s="2"/>
    </row>
    <row r="7" spans="1:23">
      <c r="A7" s="370"/>
      <c r="B7" s="370"/>
      <c r="C7" s="370"/>
      <c r="E7" t="s">
        <v>179</v>
      </c>
      <c r="L7" s="5"/>
      <c r="M7" s="156">
        <f>M5-M6</f>
        <v>2503.1197289656952</v>
      </c>
      <c r="N7" s="5">
        <f>A17*0.2</f>
        <v>1050.7601499614241</v>
      </c>
      <c r="O7" s="5" t="s">
        <v>180</v>
      </c>
      <c r="P7" s="5"/>
      <c r="Q7" s="5"/>
      <c r="R7" s="5"/>
      <c r="U7" s="22"/>
      <c r="V7" s="5"/>
      <c r="W7" s="203"/>
    </row>
    <row r="8" spans="1:23">
      <c r="E8" t="s">
        <v>181</v>
      </c>
      <c r="L8" s="5"/>
      <c r="M8" s="5"/>
      <c r="N8" s="5"/>
      <c r="O8" s="5"/>
      <c r="P8" s="22" t="s">
        <v>182</v>
      </c>
      <c r="Q8" s="5"/>
      <c r="R8" s="5"/>
      <c r="U8" s="5"/>
      <c r="V8" s="5"/>
      <c r="W8" s="2"/>
    </row>
    <row r="9" spans="1:23">
      <c r="L9" s="5"/>
      <c r="M9" s="5"/>
      <c r="N9" s="5"/>
      <c r="O9" s="5"/>
      <c r="P9" s="249">
        <f>M7-N4</f>
        <v>794.74555651005767</v>
      </c>
      <c r="Q9" s="5"/>
      <c r="R9" s="5"/>
      <c r="U9" s="5"/>
      <c r="V9" s="5"/>
    </row>
    <row r="10" spans="1:23" ht="15.75" thickBot="1">
      <c r="E10" s="1" t="s">
        <v>183</v>
      </c>
      <c r="G10" s="360" t="s">
        <v>43</v>
      </c>
      <c r="H10" s="361"/>
      <c r="I10" s="361"/>
      <c r="J10" s="361"/>
      <c r="K10" s="362"/>
      <c r="L10" s="5"/>
      <c r="M10" s="5"/>
      <c r="N10" s="5"/>
      <c r="O10" s="5"/>
      <c r="P10" s="22" t="s">
        <v>184</v>
      </c>
      <c r="Q10" s="5"/>
      <c r="R10" s="5"/>
      <c r="U10" s="5"/>
      <c r="V10" s="5"/>
    </row>
    <row r="11" spans="1:23">
      <c r="A11" s="372" t="s">
        <v>185</v>
      </c>
      <c r="B11" s="373"/>
      <c r="C11" s="374"/>
      <c r="E11" s="1" t="s">
        <v>186</v>
      </c>
      <c r="G11" s="363">
        <v>45307</v>
      </c>
      <c r="H11" s="364"/>
      <c r="I11" s="364"/>
      <c r="J11" s="364"/>
      <c r="K11" s="365"/>
      <c r="L11" s="5"/>
      <c r="M11" s="5"/>
      <c r="N11" s="5"/>
      <c r="O11" s="5"/>
      <c r="P11" s="216">
        <f>P9/A17</f>
        <v>0.15127059330128473</v>
      </c>
      <c r="Q11" s="5"/>
      <c r="R11" s="5"/>
      <c r="U11" s="5"/>
      <c r="V11" s="5"/>
    </row>
    <row r="12" spans="1:23">
      <c r="A12" s="375"/>
      <c r="B12" s="376"/>
      <c r="C12" s="377"/>
      <c r="E12" s="1" t="s">
        <v>187</v>
      </c>
      <c r="G12" s="366" t="s">
        <v>44</v>
      </c>
      <c r="H12" s="367"/>
      <c r="I12" s="367"/>
      <c r="J12" s="367"/>
      <c r="K12" s="368"/>
      <c r="L12" s="5"/>
      <c r="M12" s="5"/>
      <c r="N12" s="5"/>
      <c r="O12" s="5"/>
      <c r="P12" s="5"/>
      <c r="Q12" s="5"/>
      <c r="R12" s="5"/>
      <c r="U12" s="5"/>
      <c r="V12" s="5"/>
    </row>
    <row r="13" spans="1:23" ht="15.75" thickBot="1">
      <c r="A13" s="378"/>
      <c r="B13" s="379"/>
      <c r="C13" s="380"/>
      <c r="G13" s="366" t="s">
        <v>188</v>
      </c>
      <c r="H13" s="367"/>
      <c r="I13" s="367"/>
      <c r="J13" s="367"/>
      <c r="K13" s="368"/>
      <c r="L13" s="5"/>
      <c r="M13" s="5"/>
      <c r="N13" s="5"/>
      <c r="O13" s="5"/>
      <c r="P13" s="5"/>
      <c r="Q13" s="5"/>
      <c r="R13" s="5"/>
      <c r="U13" s="5"/>
      <c r="V13" s="5"/>
    </row>
    <row r="14" spans="1:23">
      <c r="A14" s="231"/>
      <c r="B14" s="231"/>
      <c r="C14" s="231"/>
      <c r="D14" s="231"/>
      <c r="E14" s="49" t="s">
        <v>189</v>
      </c>
      <c r="F14" s="200" t="s">
        <v>190</v>
      </c>
      <c r="G14" s="236"/>
      <c r="H14" s="1"/>
      <c r="I14" s="1"/>
      <c r="J14" s="1"/>
      <c r="L14" s="5"/>
      <c r="M14" s="5"/>
      <c r="N14" s="5"/>
      <c r="O14" s="5"/>
      <c r="P14" s="5"/>
      <c r="Q14" s="5"/>
      <c r="R14" s="5"/>
      <c r="S14" s="5"/>
      <c r="T14" s="5"/>
      <c r="U14" s="5"/>
      <c r="V14" s="5">
        <f>SUM(V6:V13)</f>
        <v>0</v>
      </c>
    </row>
    <row r="15" spans="1:23">
      <c r="A15" s="359" t="s">
        <v>191</v>
      </c>
      <c r="B15" s="359"/>
      <c r="C15" s="359"/>
      <c r="D15" s="287"/>
      <c r="E15" s="49" t="s">
        <v>192</v>
      </c>
      <c r="F15" s="200" t="s">
        <v>193</v>
      </c>
      <c r="G15" s="369" t="s">
        <v>194</v>
      </c>
      <c r="H15" s="337"/>
      <c r="I15" s="337"/>
      <c r="J15" s="337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3" ht="15.75" thickBot="1">
      <c r="E16" s="2"/>
      <c r="J16" s="96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3" ht="15.75" thickBot="1">
      <c r="A17" s="241">
        <f>SUM(A21:A105)</f>
        <v>5253.8007498071202</v>
      </c>
      <c r="B17" s="5">
        <f t="shared" ref="B17:C17" si="0">SUM(B21:B105)</f>
        <v>6629.1412602278315</v>
      </c>
      <c r="C17" s="241">
        <f t="shared" si="0"/>
        <v>8004.4817706485428</v>
      </c>
      <c r="E17" s="2"/>
    </row>
    <row r="18" spans="1:23" ht="15.75" thickBot="1">
      <c r="A18" s="242" t="s">
        <v>171</v>
      </c>
      <c r="B18" s="2" t="s">
        <v>195</v>
      </c>
      <c r="C18" s="242" t="s">
        <v>196</v>
      </c>
      <c r="E18" s="286" t="s">
        <v>197</v>
      </c>
      <c r="F18" s="357">
        <f>SUM(L18:W18)</f>
        <v>2750.6810208414249</v>
      </c>
      <c r="G18" s="358"/>
      <c r="H18" s="8" t="s">
        <v>198</v>
      </c>
      <c r="I18" s="2">
        <f>SUM(I21:I105)</f>
        <v>440</v>
      </c>
      <c r="J18" s="3">
        <f>SUM(J21:J105)</f>
        <v>626.33333333333337</v>
      </c>
      <c r="L18" s="204">
        <f>SUM(L21:L105)</f>
        <v>1406.3688666666671</v>
      </c>
      <c r="M18" s="204">
        <f t="shared" ref="M18:R18" si="1">SUM(M21:M105)</f>
        <v>0</v>
      </c>
      <c r="N18" s="204">
        <f t="shared" si="1"/>
        <v>0</v>
      </c>
      <c r="O18" s="204">
        <f t="shared" si="1"/>
        <v>0</v>
      </c>
      <c r="P18" s="204">
        <f t="shared" si="1"/>
        <v>0</v>
      </c>
      <c r="Q18" s="204">
        <f>SUM(Q21:Q105)</f>
        <v>86.328000000000017</v>
      </c>
      <c r="R18" s="204">
        <f t="shared" si="1"/>
        <v>31.59899417475728</v>
      </c>
      <c r="S18" s="237">
        <f>SUM(S21:S105)</f>
        <v>0</v>
      </c>
      <c r="T18" s="237">
        <f>SUM(T21:T105)</f>
        <v>0</v>
      </c>
      <c r="U18" s="237">
        <f>SUM(U21:U105)</f>
        <v>459.02515999999997</v>
      </c>
      <c r="V18" s="237">
        <f>SUM(V21:V105)</f>
        <v>431.64000000000021</v>
      </c>
      <c r="W18" s="204">
        <f>SUM(W21:W105)</f>
        <v>335.72000000000008</v>
      </c>
    </row>
    <row r="19" spans="1:23" ht="16.5" thickTop="1" thickBot="1">
      <c r="A19" s="207">
        <v>1.91</v>
      </c>
      <c r="B19" s="2">
        <f>A19+0.5</f>
        <v>2.41</v>
      </c>
      <c r="C19" s="242">
        <f>B19+0.5</f>
        <v>2.91</v>
      </c>
      <c r="E19" s="238"/>
      <c r="F19" s="239"/>
      <c r="G19" s="239"/>
      <c r="J19" s="2" t="s">
        <v>199</v>
      </c>
      <c r="K19" s="25" t="s">
        <v>200</v>
      </c>
      <c r="L19" s="2">
        <f>COUNT(J21:J105)</f>
        <v>30</v>
      </c>
      <c r="M19" s="2">
        <f>SUM(G21:G105)/240*1.2</f>
        <v>9</v>
      </c>
      <c r="N19" s="2">
        <f>N18/N118</f>
        <v>0</v>
      </c>
      <c r="O19" s="2">
        <f>O18/O118</f>
        <v>0</v>
      </c>
      <c r="P19" s="2">
        <f>P18/P118</f>
        <v>0</v>
      </c>
      <c r="Q19" s="2">
        <f>Q18/Q118</f>
        <v>440.00000000000006</v>
      </c>
      <c r="R19" s="2">
        <f>ROUNDUP(R18/R118,1)</f>
        <v>3.3000000000000003</v>
      </c>
      <c r="S19" s="240">
        <f>S18/S118</f>
        <v>0</v>
      </c>
      <c r="T19" s="240">
        <f>T18/T118</f>
        <v>0</v>
      </c>
      <c r="U19" s="2">
        <f>U18/U118</f>
        <v>439.99999999999994</v>
      </c>
      <c r="V19" s="2">
        <f>V18/V118</f>
        <v>440.00000000000017</v>
      </c>
      <c r="W19" s="2">
        <f>W18/W118</f>
        <v>440.00000000000011</v>
      </c>
    </row>
    <row r="20" spans="1:23" ht="16.5" thickTop="1" thickBot="1">
      <c r="A20" s="246">
        <v>0.03</v>
      </c>
      <c r="B20" s="96">
        <v>0.05</v>
      </c>
      <c r="C20" s="246">
        <v>0.08</v>
      </c>
      <c r="D20" s="2" t="s">
        <v>201</v>
      </c>
      <c r="E20" s="244" t="s">
        <v>202</v>
      </c>
      <c r="F20" s="245" t="s">
        <v>203</v>
      </c>
      <c r="G20" s="245" t="s">
        <v>204</v>
      </c>
      <c r="H20" s="2" t="s">
        <v>176</v>
      </c>
      <c r="I20" s="2" t="s">
        <v>204</v>
      </c>
      <c r="J20" s="2" t="s">
        <v>205</v>
      </c>
      <c r="L20" s="181" t="s">
        <v>206</v>
      </c>
      <c r="M20" s="2" t="s">
        <v>207</v>
      </c>
      <c r="N20" s="2" t="s">
        <v>208</v>
      </c>
      <c r="O20" s="2" t="s">
        <v>209</v>
      </c>
      <c r="P20" s="2" t="s">
        <v>210</v>
      </c>
      <c r="Q20" s="2" t="s">
        <v>211</v>
      </c>
      <c r="R20" s="2" t="s">
        <v>212</v>
      </c>
      <c r="S20" s="2" t="s">
        <v>213</v>
      </c>
      <c r="T20" s="2" t="s">
        <v>214</v>
      </c>
      <c r="U20" s="2" t="s">
        <v>193</v>
      </c>
      <c r="V20" s="2" t="s">
        <v>215</v>
      </c>
      <c r="W20" s="2" t="s">
        <v>216</v>
      </c>
    </row>
    <row r="21" spans="1:23" ht="15.75" thickTop="1">
      <c r="A21" s="247">
        <f t="shared" ref="A21:A52" si="2">IF(F21&lt;&gt;"",((SUM(L21:R21)+SUM(S21:W21))*$A$19),"")</f>
        <v>200.58590089982738</v>
      </c>
      <c r="B21" s="248">
        <f t="shared" ref="B21:B52" si="3">IF(F21&lt;&gt;"",((SUM(L21:R21)+SUM(U21:W21))*$B$19),"")</f>
        <v>253.09529904114348</v>
      </c>
      <c r="C21" s="247">
        <f t="shared" ref="C21:C52" si="4">IF(F21&lt;&gt;"",((SUM(L21:R21)+SUM(U21:W21))*$C$19),"")</f>
        <v>305.60469718245952</v>
      </c>
      <c r="D21" s="189">
        <f t="shared" ref="D21:D52" si="5">IF(J21&lt;&gt;"",SUM(L21:W21),"")</f>
        <v>105.01879628263214</v>
      </c>
      <c r="E21" s="2">
        <v>1</v>
      </c>
      <c r="F21" s="243">
        <v>40</v>
      </c>
      <c r="G21" s="243">
        <v>80</v>
      </c>
      <c r="H21" s="2">
        <f>IF(G21="","",IF($F$14="FT",12,IF(AND($F$14="DM",F21&lt;72.1),11,8)))</f>
        <v>11</v>
      </c>
      <c r="I21" s="2">
        <f t="shared" ref="I21:I52" si="6">IF(G21 =  "","",ROUNDUP(G21/H21,0)*2+2)</f>
        <v>18</v>
      </c>
      <c r="J21" s="3">
        <f t="shared" ref="J21:J52" si="7">IF(G21="","",F21*G21/144)</f>
        <v>22.222222222222221</v>
      </c>
      <c r="L21" s="104">
        <f t="shared" ref="L21:L52" si="8">IF(J21="","",J21*$L$118)</f>
        <v>49.897777777777776</v>
      </c>
      <c r="M21" s="104" t="str">
        <f t="shared" ref="M21:M52" si="9">IF(OR($F$14="DM", J21=""),"",(G21*2/12)*$M$118)</f>
        <v/>
      </c>
      <c r="N21" s="104" t="str">
        <f t="shared" ref="N21:N52" si="10">IF(OR($F$14="DM",J21=""),"",((ROUNDUP(G21/6, 0)*2)+2)*$N$118)</f>
        <v/>
      </c>
      <c r="O21" s="104" t="str">
        <f t="shared" ref="O21:O52" si="11">IF(OR($F$14="DM",J21=""),"",((ROUNDUP(G21/6,0)*2)+2)*$O$118)</f>
        <v/>
      </c>
      <c r="P21" s="104" t="str">
        <f t="shared" ref="P21:P52" si="12">IF(OR($F$14="DM", J21=""),"",I21*$P$118)</f>
        <v/>
      </c>
      <c r="Q21" s="104">
        <f t="shared" ref="Q21:Q52" si="13">IF(J21="","",I21*$Q$118)</f>
        <v>3.5316000000000001</v>
      </c>
      <c r="R21" s="104">
        <f t="shared" ref="R21:R52" si="14">IF(J21="","",((ROUNDUP(G21/6, 0)*2)+2)*$R$118/206)</f>
        <v>1.419116504854369</v>
      </c>
      <c r="S21" s="104" t="str">
        <f t="shared" ref="S21:S52" si="15">IF(AND($F$15="MPM",F21&lt;&gt;"",$F$14&lt;&gt;"FT"),I21*$S$118,"")</f>
        <v/>
      </c>
      <c r="T21" s="104" t="str">
        <f t="shared" ref="T21:T52" si="16">IF(AND($F$15="MPM",F21&lt;&gt;"",$F$14&lt;&gt;"FT"),I21*$T$118,"")</f>
        <v/>
      </c>
      <c r="U21" s="104">
        <f t="shared" ref="U21:U52" si="17">IF(AND($F$15="FPM",F21&lt;&gt;"",$F$14="DM"),I21*$U$118,"")</f>
        <v>18.778302</v>
      </c>
      <c r="V21" s="104">
        <f t="shared" ref="V21:V52" si="18">IF(AND($F$15="FPM",F21&lt;&gt;"",$F$14&lt;&gt;"FT"),I21*$V$118,"")</f>
        <v>17.658000000000001</v>
      </c>
      <c r="W21" s="104">
        <f t="shared" ref="W21:W52" si="19">IF(AND($F$15="FPM",F21&lt;&gt;"", $F$14&lt;&gt;"FT"),I21*$W$118,"")</f>
        <v>13.734</v>
      </c>
    </row>
    <row r="22" spans="1:23">
      <c r="A22" s="247">
        <f t="shared" si="2"/>
        <v>142.52164971113268</v>
      </c>
      <c r="B22" s="248">
        <f t="shared" si="3"/>
        <v>179.83098209624598</v>
      </c>
      <c r="C22" s="247">
        <f t="shared" si="4"/>
        <v>217.14031448135927</v>
      </c>
      <c r="D22" s="189">
        <f t="shared" si="5"/>
        <v>74.618664770226545</v>
      </c>
      <c r="E22" s="2">
        <v>2</v>
      </c>
      <c r="F22" s="15">
        <v>34</v>
      </c>
      <c r="G22" s="15">
        <v>60</v>
      </c>
      <c r="H22" s="2">
        <f t="shared" ref="H22:H90" si="20">IF(G22="","",IF($F$14="FT",12,IF(AND($F$14="DM",F22&lt;72.1),11,8)))</f>
        <v>11</v>
      </c>
      <c r="I22" s="2">
        <f t="shared" si="6"/>
        <v>14</v>
      </c>
      <c r="J22" s="3">
        <f t="shared" si="7"/>
        <v>14.166666666666666</v>
      </c>
      <c r="L22" s="4">
        <f t="shared" si="8"/>
        <v>31.809833333333334</v>
      </c>
      <c r="M22" s="4" t="str">
        <f t="shared" si="9"/>
        <v/>
      </c>
      <c r="N22" s="4" t="str">
        <f t="shared" si="10"/>
        <v/>
      </c>
      <c r="O22" s="4" t="str">
        <f t="shared" si="11"/>
        <v/>
      </c>
      <c r="P22" s="4" t="str">
        <f t="shared" si="12"/>
        <v/>
      </c>
      <c r="Q22" s="4">
        <f t="shared" si="13"/>
        <v>2.7468000000000004</v>
      </c>
      <c r="R22" s="4">
        <f t="shared" si="14"/>
        <v>1.0406854368932039</v>
      </c>
      <c r="S22" s="5" t="str">
        <f t="shared" si="15"/>
        <v/>
      </c>
      <c r="T22" s="5" t="str">
        <f t="shared" si="16"/>
        <v/>
      </c>
      <c r="U22" s="205">
        <f t="shared" si="17"/>
        <v>14.605346000000001</v>
      </c>
      <c r="V22" s="205">
        <f t="shared" si="18"/>
        <v>13.734000000000002</v>
      </c>
      <c r="W22" s="205">
        <f t="shared" si="19"/>
        <v>10.682</v>
      </c>
    </row>
    <row r="23" spans="1:23">
      <c r="A23" s="247">
        <f t="shared" si="2"/>
        <v>142.52164971113268</v>
      </c>
      <c r="B23" s="248">
        <f t="shared" si="3"/>
        <v>179.83098209624598</v>
      </c>
      <c r="C23" s="247">
        <f t="shared" si="4"/>
        <v>217.14031448135927</v>
      </c>
      <c r="D23" s="189">
        <f t="shared" si="5"/>
        <v>74.618664770226545</v>
      </c>
      <c r="E23" s="2">
        <v>3</v>
      </c>
      <c r="F23" s="15">
        <v>34</v>
      </c>
      <c r="G23" s="15">
        <v>60</v>
      </c>
      <c r="H23" s="2">
        <f t="shared" si="20"/>
        <v>11</v>
      </c>
      <c r="I23" s="2">
        <f t="shared" si="6"/>
        <v>14</v>
      </c>
      <c r="J23" s="3">
        <f t="shared" si="7"/>
        <v>14.166666666666666</v>
      </c>
      <c r="L23" s="4">
        <f t="shared" si="8"/>
        <v>31.809833333333334</v>
      </c>
      <c r="M23" s="4" t="str">
        <f t="shared" si="9"/>
        <v/>
      </c>
      <c r="N23" s="4" t="str">
        <f t="shared" si="10"/>
        <v/>
      </c>
      <c r="O23" s="4" t="str">
        <f t="shared" si="11"/>
        <v/>
      </c>
      <c r="P23" s="4" t="str">
        <f t="shared" si="12"/>
        <v/>
      </c>
      <c r="Q23" s="4">
        <f t="shared" si="13"/>
        <v>2.7468000000000004</v>
      </c>
      <c r="R23" s="4">
        <f t="shared" si="14"/>
        <v>1.0406854368932039</v>
      </c>
      <c r="S23" s="5" t="str">
        <f t="shared" si="15"/>
        <v/>
      </c>
      <c r="T23" s="5" t="str">
        <f t="shared" si="16"/>
        <v/>
      </c>
      <c r="U23" s="205">
        <f t="shared" si="17"/>
        <v>14.605346000000001</v>
      </c>
      <c r="V23" s="205">
        <f t="shared" si="18"/>
        <v>13.734000000000002</v>
      </c>
      <c r="W23" s="205">
        <f t="shared" si="19"/>
        <v>10.682</v>
      </c>
    </row>
    <row r="24" spans="1:23">
      <c r="A24" s="247">
        <f t="shared" si="2"/>
        <v>200.58590089982738</v>
      </c>
      <c r="B24" s="248">
        <f t="shared" si="3"/>
        <v>253.09529904114348</v>
      </c>
      <c r="C24" s="247">
        <f t="shared" si="4"/>
        <v>305.60469718245952</v>
      </c>
      <c r="D24" s="189">
        <f t="shared" si="5"/>
        <v>105.01879628263214</v>
      </c>
      <c r="E24" s="2">
        <v>4</v>
      </c>
      <c r="F24" s="15">
        <v>40</v>
      </c>
      <c r="G24" s="15">
        <v>80</v>
      </c>
      <c r="H24" s="2">
        <f t="shared" si="20"/>
        <v>11</v>
      </c>
      <c r="I24" s="2">
        <f t="shared" si="6"/>
        <v>18</v>
      </c>
      <c r="J24" s="3">
        <f t="shared" si="7"/>
        <v>22.222222222222221</v>
      </c>
      <c r="L24" s="4">
        <f t="shared" si="8"/>
        <v>49.897777777777776</v>
      </c>
      <c r="M24" s="4" t="str">
        <f t="shared" si="9"/>
        <v/>
      </c>
      <c r="N24" s="4" t="str">
        <f t="shared" si="10"/>
        <v/>
      </c>
      <c r="O24" s="4" t="str">
        <f t="shared" si="11"/>
        <v/>
      </c>
      <c r="P24" s="4" t="str">
        <f t="shared" si="12"/>
        <v/>
      </c>
      <c r="Q24" s="4">
        <f t="shared" si="13"/>
        <v>3.5316000000000001</v>
      </c>
      <c r="R24" s="4">
        <f t="shared" si="14"/>
        <v>1.419116504854369</v>
      </c>
      <c r="S24" s="5" t="str">
        <f t="shared" si="15"/>
        <v/>
      </c>
      <c r="T24" s="5" t="str">
        <f t="shared" si="16"/>
        <v/>
      </c>
      <c r="U24" s="205">
        <f t="shared" si="17"/>
        <v>18.778302</v>
      </c>
      <c r="V24" s="205">
        <f t="shared" si="18"/>
        <v>17.658000000000001</v>
      </c>
      <c r="W24" s="205">
        <f t="shared" si="19"/>
        <v>13.734</v>
      </c>
    </row>
    <row r="25" spans="1:23">
      <c r="A25" s="247">
        <f t="shared" si="2"/>
        <v>88.269588744660183</v>
      </c>
      <c r="B25" s="248">
        <f t="shared" si="3"/>
        <v>111.37681092912621</v>
      </c>
      <c r="C25" s="247">
        <f t="shared" si="4"/>
        <v>134.48403311359223</v>
      </c>
      <c r="D25" s="189">
        <f t="shared" si="5"/>
        <v>46.214444368932043</v>
      </c>
      <c r="E25" s="2">
        <v>5</v>
      </c>
      <c r="F25" s="15">
        <v>28</v>
      </c>
      <c r="G25" s="15">
        <v>36</v>
      </c>
      <c r="H25" s="2">
        <f t="shared" si="20"/>
        <v>11</v>
      </c>
      <c r="I25" s="2">
        <f t="shared" si="6"/>
        <v>10</v>
      </c>
      <c r="J25" s="3">
        <f t="shared" si="7"/>
        <v>7</v>
      </c>
      <c r="L25" s="4">
        <f t="shared" si="8"/>
        <v>15.7178</v>
      </c>
      <c r="M25" s="4" t="str">
        <f t="shared" si="9"/>
        <v/>
      </c>
      <c r="N25" s="4" t="str">
        <f t="shared" si="10"/>
        <v/>
      </c>
      <c r="O25" s="4" t="str">
        <f t="shared" si="11"/>
        <v/>
      </c>
      <c r="P25" s="4" t="str">
        <f t="shared" si="12"/>
        <v/>
      </c>
      <c r="Q25" s="4">
        <f t="shared" si="13"/>
        <v>1.9620000000000002</v>
      </c>
      <c r="R25" s="4">
        <f t="shared" si="14"/>
        <v>0.66225436893203882</v>
      </c>
      <c r="S25" s="5" t="str">
        <f t="shared" si="15"/>
        <v/>
      </c>
      <c r="T25" s="5" t="str">
        <f t="shared" si="16"/>
        <v/>
      </c>
      <c r="U25" s="205">
        <f t="shared" si="17"/>
        <v>10.43239</v>
      </c>
      <c r="V25" s="205">
        <f t="shared" si="18"/>
        <v>9.81</v>
      </c>
      <c r="W25" s="205">
        <f t="shared" si="19"/>
        <v>7.63</v>
      </c>
    </row>
    <row r="26" spans="1:23">
      <c r="A26" s="247">
        <f t="shared" si="2"/>
        <v>110.03472672789646</v>
      </c>
      <c r="B26" s="248">
        <f t="shared" si="3"/>
        <v>138.83962901268612</v>
      </c>
      <c r="C26" s="247">
        <f t="shared" si="4"/>
        <v>167.64453129747577</v>
      </c>
      <c r="D26" s="189">
        <f t="shared" si="5"/>
        <v>57.609804569579289</v>
      </c>
      <c r="E26" s="2">
        <v>6</v>
      </c>
      <c r="F26" s="15">
        <v>28</v>
      </c>
      <c r="G26" s="15">
        <v>48</v>
      </c>
      <c r="H26" s="2">
        <f t="shared" si="20"/>
        <v>11</v>
      </c>
      <c r="I26" s="2">
        <f t="shared" si="6"/>
        <v>12</v>
      </c>
      <c r="J26" s="3">
        <f t="shared" si="7"/>
        <v>9.3333333333333339</v>
      </c>
      <c r="L26" s="4">
        <f t="shared" si="8"/>
        <v>20.95706666666667</v>
      </c>
      <c r="M26" s="4" t="str">
        <f t="shared" si="9"/>
        <v/>
      </c>
      <c r="N26" s="4" t="str">
        <f t="shared" si="10"/>
        <v/>
      </c>
      <c r="O26" s="4" t="str">
        <f t="shared" si="11"/>
        <v/>
      </c>
      <c r="P26" s="4" t="str">
        <f t="shared" si="12"/>
        <v/>
      </c>
      <c r="Q26" s="4">
        <f t="shared" si="13"/>
        <v>2.3544</v>
      </c>
      <c r="R26" s="4">
        <f t="shared" si="14"/>
        <v>0.85146990291262148</v>
      </c>
      <c r="S26" s="5" t="str">
        <f t="shared" si="15"/>
        <v/>
      </c>
      <c r="T26" s="5" t="str">
        <f t="shared" si="16"/>
        <v/>
      </c>
      <c r="U26" s="205">
        <f t="shared" si="17"/>
        <v>12.518868000000001</v>
      </c>
      <c r="V26" s="205">
        <f t="shared" si="18"/>
        <v>11.772000000000002</v>
      </c>
      <c r="W26" s="205">
        <f t="shared" si="19"/>
        <v>9.1560000000000006</v>
      </c>
    </row>
    <row r="27" spans="1:23">
      <c r="A27" s="247">
        <f t="shared" si="2"/>
        <v>457.76106254731388</v>
      </c>
      <c r="B27" s="248">
        <f t="shared" si="3"/>
        <v>577.5938014340453</v>
      </c>
      <c r="C27" s="247">
        <f t="shared" si="4"/>
        <v>697.42654032077678</v>
      </c>
      <c r="D27" s="189">
        <f t="shared" si="5"/>
        <v>239.66547777346278</v>
      </c>
      <c r="E27" s="2">
        <v>7</v>
      </c>
      <c r="F27" s="15">
        <v>76</v>
      </c>
      <c r="G27" s="15">
        <v>120</v>
      </c>
      <c r="H27" s="2">
        <f t="shared" si="20"/>
        <v>8</v>
      </c>
      <c r="I27" s="2">
        <f t="shared" si="6"/>
        <v>32</v>
      </c>
      <c r="J27" s="3">
        <f t="shared" si="7"/>
        <v>63.333333333333336</v>
      </c>
      <c r="L27" s="4">
        <f t="shared" si="8"/>
        <v>142.20866666666669</v>
      </c>
      <c r="M27" s="4" t="str">
        <f t="shared" si="9"/>
        <v/>
      </c>
      <c r="N27" s="4" t="str">
        <f t="shared" si="10"/>
        <v/>
      </c>
      <c r="O27" s="4" t="str">
        <f t="shared" si="11"/>
        <v/>
      </c>
      <c r="P27" s="4" t="str">
        <f t="shared" si="12"/>
        <v/>
      </c>
      <c r="Q27" s="4">
        <f t="shared" si="13"/>
        <v>6.2784000000000004</v>
      </c>
      <c r="R27" s="4">
        <f t="shared" si="14"/>
        <v>1.9867631067961167</v>
      </c>
      <c r="S27" s="5" t="str">
        <f t="shared" si="15"/>
        <v/>
      </c>
      <c r="T27" s="5" t="str">
        <f t="shared" si="16"/>
        <v/>
      </c>
      <c r="U27" s="205">
        <f t="shared" si="17"/>
        <v>33.383648000000001</v>
      </c>
      <c r="V27" s="205">
        <f t="shared" si="18"/>
        <v>31.392000000000003</v>
      </c>
      <c r="W27" s="205">
        <f t="shared" si="19"/>
        <v>24.416</v>
      </c>
    </row>
    <row r="28" spans="1:23">
      <c r="A28" s="247">
        <f t="shared" si="2"/>
        <v>110.03472672789646</v>
      </c>
      <c r="B28" s="248">
        <f t="shared" si="3"/>
        <v>138.83962901268612</v>
      </c>
      <c r="C28" s="247">
        <f t="shared" si="4"/>
        <v>167.64453129747577</v>
      </c>
      <c r="D28" s="189">
        <f t="shared" si="5"/>
        <v>57.609804569579289</v>
      </c>
      <c r="E28" s="2">
        <v>8</v>
      </c>
      <c r="F28" s="15">
        <v>28</v>
      </c>
      <c r="G28" s="15">
        <v>48</v>
      </c>
      <c r="H28" s="2">
        <f t="shared" si="20"/>
        <v>11</v>
      </c>
      <c r="I28" s="2">
        <f t="shared" si="6"/>
        <v>12</v>
      </c>
      <c r="J28" s="3">
        <f t="shared" si="7"/>
        <v>9.3333333333333339</v>
      </c>
      <c r="L28" s="4">
        <f t="shared" si="8"/>
        <v>20.95706666666667</v>
      </c>
      <c r="M28" s="4" t="str">
        <f t="shared" si="9"/>
        <v/>
      </c>
      <c r="N28" s="4" t="str">
        <f t="shared" si="10"/>
        <v/>
      </c>
      <c r="O28" s="4" t="str">
        <f t="shared" si="11"/>
        <v/>
      </c>
      <c r="P28" s="4" t="str">
        <f t="shared" si="12"/>
        <v/>
      </c>
      <c r="Q28" s="4">
        <f t="shared" si="13"/>
        <v>2.3544</v>
      </c>
      <c r="R28" s="4">
        <f t="shared" si="14"/>
        <v>0.85146990291262148</v>
      </c>
      <c r="S28" s="5" t="str">
        <f t="shared" si="15"/>
        <v/>
      </c>
      <c r="T28" s="5" t="str">
        <f t="shared" si="16"/>
        <v/>
      </c>
      <c r="U28" s="205">
        <f t="shared" si="17"/>
        <v>12.518868000000001</v>
      </c>
      <c r="V28" s="205">
        <f t="shared" si="18"/>
        <v>11.772000000000002</v>
      </c>
      <c r="W28" s="205">
        <f t="shared" si="19"/>
        <v>9.1560000000000006</v>
      </c>
    </row>
    <row r="29" spans="1:23">
      <c r="A29" s="247">
        <f t="shared" si="2"/>
        <v>142.52164971113268</v>
      </c>
      <c r="B29" s="248">
        <f t="shared" si="3"/>
        <v>179.83098209624598</v>
      </c>
      <c r="C29" s="247">
        <f t="shared" si="4"/>
        <v>217.14031448135927</v>
      </c>
      <c r="D29" s="189">
        <f t="shared" si="5"/>
        <v>74.618664770226545</v>
      </c>
      <c r="E29" s="2">
        <v>9</v>
      </c>
      <c r="F29" s="15">
        <v>34</v>
      </c>
      <c r="G29" s="15">
        <v>60</v>
      </c>
      <c r="H29" s="2">
        <f t="shared" si="20"/>
        <v>11</v>
      </c>
      <c r="I29" s="2">
        <f t="shared" si="6"/>
        <v>14</v>
      </c>
      <c r="J29" s="3">
        <f t="shared" si="7"/>
        <v>14.166666666666666</v>
      </c>
      <c r="L29" s="4">
        <f t="shared" si="8"/>
        <v>31.809833333333334</v>
      </c>
      <c r="M29" s="4" t="str">
        <f t="shared" si="9"/>
        <v/>
      </c>
      <c r="N29" s="4" t="str">
        <f t="shared" si="10"/>
        <v/>
      </c>
      <c r="O29" s="4" t="str">
        <f t="shared" si="11"/>
        <v/>
      </c>
      <c r="P29" s="4" t="str">
        <f t="shared" si="12"/>
        <v/>
      </c>
      <c r="Q29" s="4">
        <f t="shared" si="13"/>
        <v>2.7468000000000004</v>
      </c>
      <c r="R29" s="4">
        <f t="shared" si="14"/>
        <v>1.0406854368932039</v>
      </c>
      <c r="S29" s="5" t="str">
        <f t="shared" si="15"/>
        <v/>
      </c>
      <c r="T29" s="5" t="str">
        <f t="shared" si="16"/>
        <v/>
      </c>
      <c r="U29" s="205">
        <f t="shared" si="17"/>
        <v>14.605346000000001</v>
      </c>
      <c r="V29" s="205">
        <f t="shared" si="18"/>
        <v>13.734000000000002</v>
      </c>
      <c r="W29" s="205">
        <f t="shared" si="19"/>
        <v>10.682</v>
      </c>
    </row>
    <row r="30" spans="1:23">
      <c r="A30" s="247">
        <f t="shared" si="2"/>
        <v>92.236734761423946</v>
      </c>
      <c r="B30" s="248">
        <f t="shared" si="3"/>
        <v>116.38247684556634</v>
      </c>
      <c r="C30" s="247">
        <f t="shared" si="4"/>
        <v>140.52821892970874</v>
      </c>
      <c r="D30" s="189">
        <f t="shared" si="5"/>
        <v>48.291484168284789</v>
      </c>
      <c r="E30" s="2">
        <v>10</v>
      </c>
      <c r="F30" s="15">
        <v>64</v>
      </c>
      <c r="G30" s="15">
        <v>24</v>
      </c>
      <c r="H30" s="2">
        <f t="shared" si="20"/>
        <v>11</v>
      </c>
      <c r="I30" s="2">
        <f t="shared" si="6"/>
        <v>8</v>
      </c>
      <c r="J30" s="3">
        <f t="shared" si="7"/>
        <v>10.666666666666666</v>
      </c>
      <c r="L30" s="4">
        <f t="shared" si="8"/>
        <v>23.950933333333332</v>
      </c>
      <c r="M30" s="4" t="str">
        <f t="shared" si="9"/>
        <v/>
      </c>
      <c r="N30" s="4" t="str">
        <f t="shared" si="10"/>
        <v/>
      </c>
      <c r="O30" s="4" t="str">
        <f t="shared" si="11"/>
        <v/>
      </c>
      <c r="P30" s="4" t="str">
        <f t="shared" si="12"/>
        <v/>
      </c>
      <c r="Q30" s="4">
        <f t="shared" si="13"/>
        <v>1.5696000000000001</v>
      </c>
      <c r="R30" s="4">
        <f t="shared" si="14"/>
        <v>0.47303883495145632</v>
      </c>
      <c r="S30" s="5" t="str">
        <f t="shared" si="15"/>
        <v/>
      </c>
      <c r="T30" s="5" t="str">
        <f t="shared" si="16"/>
        <v/>
      </c>
      <c r="U30" s="205">
        <f t="shared" si="17"/>
        <v>8.3459120000000002</v>
      </c>
      <c r="V30" s="205">
        <f t="shared" si="18"/>
        <v>7.8480000000000008</v>
      </c>
      <c r="W30" s="205">
        <f t="shared" si="19"/>
        <v>6.1040000000000001</v>
      </c>
    </row>
    <row r="31" spans="1:23">
      <c r="A31" s="247">
        <f t="shared" si="2"/>
        <v>142.52164971113268</v>
      </c>
      <c r="B31" s="248">
        <f t="shared" si="3"/>
        <v>179.83098209624598</v>
      </c>
      <c r="C31" s="247">
        <f t="shared" si="4"/>
        <v>217.14031448135927</v>
      </c>
      <c r="D31" s="189">
        <f t="shared" si="5"/>
        <v>74.618664770226545</v>
      </c>
      <c r="E31" s="2">
        <v>11</v>
      </c>
      <c r="F31" s="15">
        <v>34</v>
      </c>
      <c r="G31" s="15">
        <v>60</v>
      </c>
      <c r="H31" s="2">
        <f t="shared" si="20"/>
        <v>11</v>
      </c>
      <c r="I31" s="2">
        <f t="shared" si="6"/>
        <v>14</v>
      </c>
      <c r="J31" s="3">
        <f t="shared" si="7"/>
        <v>14.166666666666666</v>
      </c>
      <c r="L31" s="4">
        <f t="shared" si="8"/>
        <v>31.809833333333334</v>
      </c>
      <c r="M31" s="4" t="str">
        <f t="shared" si="9"/>
        <v/>
      </c>
      <c r="N31" s="4" t="str">
        <f t="shared" si="10"/>
        <v/>
      </c>
      <c r="O31" s="4" t="str">
        <f t="shared" si="11"/>
        <v/>
      </c>
      <c r="P31" s="4" t="str">
        <f t="shared" si="12"/>
        <v/>
      </c>
      <c r="Q31" s="4">
        <f t="shared" si="13"/>
        <v>2.7468000000000004</v>
      </c>
      <c r="R31" s="4">
        <f t="shared" si="14"/>
        <v>1.0406854368932039</v>
      </c>
      <c r="S31" s="5" t="str">
        <f t="shared" si="15"/>
        <v/>
      </c>
      <c r="T31" s="5" t="str">
        <f t="shared" si="16"/>
        <v/>
      </c>
      <c r="U31" s="205">
        <f t="shared" si="17"/>
        <v>14.605346000000001</v>
      </c>
      <c r="V31" s="205">
        <f t="shared" si="18"/>
        <v>13.734000000000002</v>
      </c>
      <c r="W31" s="205">
        <f t="shared" si="19"/>
        <v>10.682</v>
      </c>
    </row>
    <row r="32" spans="1:23">
      <c r="A32" s="247">
        <f t="shared" si="2"/>
        <v>102.95851976142394</v>
      </c>
      <c r="B32" s="248">
        <f t="shared" si="3"/>
        <v>129.91101184556635</v>
      </c>
      <c r="C32" s="247">
        <f t="shared" si="4"/>
        <v>156.86350392970874</v>
      </c>
      <c r="D32" s="189">
        <f t="shared" si="5"/>
        <v>53.904984168284791</v>
      </c>
      <c r="E32" s="2">
        <v>12</v>
      </c>
      <c r="F32" s="15">
        <v>79</v>
      </c>
      <c r="G32" s="15">
        <v>24</v>
      </c>
      <c r="H32" s="2">
        <f t="shared" si="20"/>
        <v>8</v>
      </c>
      <c r="I32" s="2">
        <f t="shared" si="6"/>
        <v>8</v>
      </c>
      <c r="J32" s="3">
        <f t="shared" si="7"/>
        <v>13.166666666666666</v>
      </c>
      <c r="L32" s="4">
        <f t="shared" si="8"/>
        <v>29.564433333333334</v>
      </c>
      <c r="M32" s="4" t="str">
        <f t="shared" si="9"/>
        <v/>
      </c>
      <c r="N32" s="4" t="str">
        <f t="shared" si="10"/>
        <v/>
      </c>
      <c r="O32" s="4" t="str">
        <f t="shared" si="11"/>
        <v/>
      </c>
      <c r="P32" s="4" t="str">
        <f t="shared" si="12"/>
        <v/>
      </c>
      <c r="Q32" s="4">
        <f t="shared" si="13"/>
        <v>1.5696000000000001</v>
      </c>
      <c r="R32" s="4">
        <f t="shared" si="14"/>
        <v>0.47303883495145632</v>
      </c>
      <c r="S32" s="5" t="str">
        <f t="shared" si="15"/>
        <v/>
      </c>
      <c r="T32" s="5" t="str">
        <f t="shared" si="16"/>
        <v/>
      </c>
      <c r="U32" s="205">
        <f t="shared" si="17"/>
        <v>8.3459120000000002</v>
      </c>
      <c r="V32" s="205">
        <f t="shared" si="18"/>
        <v>7.8480000000000008</v>
      </c>
      <c r="W32" s="205">
        <f t="shared" si="19"/>
        <v>6.1040000000000001</v>
      </c>
    </row>
    <row r="33" spans="1:23">
      <c r="A33" s="247">
        <f t="shared" si="2"/>
        <v>200.58590089982738</v>
      </c>
      <c r="B33" s="248">
        <f t="shared" si="3"/>
        <v>253.09529904114348</v>
      </c>
      <c r="C33" s="247">
        <f t="shared" si="4"/>
        <v>305.60469718245952</v>
      </c>
      <c r="D33" s="189">
        <f t="shared" si="5"/>
        <v>105.01879628263214</v>
      </c>
      <c r="E33" s="2">
        <v>13</v>
      </c>
      <c r="F33" s="15">
        <v>40</v>
      </c>
      <c r="G33" s="15">
        <v>80</v>
      </c>
      <c r="H33" s="2">
        <f t="shared" si="20"/>
        <v>11</v>
      </c>
      <c r="I33" s="2">
        <f t="shared" si="6"/>
        <v>18</v>
      </c>
      <c r="J33" s="3">
        <f t="shared" si="7"/>
        <v>22.222222222222221</v>
      </c>
      <c r="L33" s="4">
        <f t="shared" si="8"/>
        <v>49.897777777777776</v>
      </c>
      <c r="M33" s="4" t="str">
        <f t="shared" si="9"/>
        <v/>
      </c>
      <c r="N33" s="4" t="str">
        <f t="shared" si="10"/>
        <v/>
      </c>
      <c r="O33" s="4" t="str">
        <f t="shared" si="11"/>
        <v/>
      </c>
      <c r="P33" s="4" t="str">
        <f t="shared" si="12"/>
        <v/>
      </c>
      <c r="Q33" s="4">
        <f t="shared" si="13"/>
        <v>3.5316000000000001</v>
      </c>
      <c r="R33" s="4">
        <f t="shared" si="14"/>
        <v>1.419116504854369</v>
      </c>
      <c r="S33" s="5" t="str">
        <f t="shared" si="15"/>
        <v/>
      </c>
      <c r="T33" s="5" t="str">
        <f t="shared" si="16"/>
        <v/>
      </c>
      <c r="U33" s="205">
        <f t="shared" si="17"/>
        <v>18.778302</v>
      </c>
      <c r="V33" s="205">
        <f t="shared" si="18"/>
        <v>17.658000000000001</v>
      </c>
      <c r="W33" s="205">
        <f t="shared" si="19"/>
        <v>13.734</v>
      </c>
    </row>
    <row r="34" spans="1:23">
      <c r="A34" s="247">
        <f t="shared" si="2"/>
        <v>102.95851976142394</v>
      </c>
      <c r="B34" s="248">
        <f t="shared" si="3"/>
        <v>129.91101184556635</v>
      </c>
      <c r="C34" s="247">
        <f t="shared" si="4"/>
        <v>156.86350392970874</v>
      </c>
      <c r="D34" s="189">
        <f t="shared" si="5"/>
        <v>53.904984168284791</v>
      </c>
      <c r="E34" s="2">
        <v>14</v>
      </c>
      <c r="F34" s="15">
        <v>79</v>
      </c>
      <c r="G34" s="15">
        <v>24</v>
      </c>
      <c r="H34" s="2">
        <f t="shared" si="20"/>
        <v>8</v>
      </c>
      <c r="I34" s="2">
        <f t="shared" si="6"/>
        <v>8</v>
      </c>
      <c r="J34" s="3">
        <f t="shared" si="7"/>
        <v>13.166666666666666</v>
      </c>
      <c r="L34" s="4">
        <f t="shared" si="8"/>
        <v>29.564433333333334</v>
      </c>
      <c r="M34" s="4" t="str">
        <f t="shared" si="9"/>
        <v/>
      </c>
      <c r="N34" s="4" t="str">
        <f t="shared" si="10"/>
        <v/>
      </c>
      <c r="O34" s="4" t="str">
        <f t="shared" si="11"/>
        <v/>
      </c>
      <c r="P34" s="4" t="str">
        <f t="shared" si="12"/>
        <v/>
      </c>
      <c r="Q34" s="4">
        <f t="shared" si="13"/>
        <v>1.5696000000000001</v>
      </c>
      <c r="R34" s="4">
        <f t="shared" si="14"/>
        <v>0.47303883495145632</v>
      </c>
      <c r="S34" s="5" t="str">
        <f t="shared" si="15"/>
        <v/>
      </c>
      <c r="T34" s="5" t="str">
        <f t="shared" si="16"/>
        <v/>
      </c>
      <c r="U34" s="205">
        <f t="shared" si="17"/>
        <v>8.3459120000000002</v>
      </c>
      <c r="V34" s="205">
        <f t="shared" si="18"/>
        <v>7.8480000000000008</v>
      </c>
      <c r="W34" s="205">
        <f t="shared" si="19"/>
        <v>6.1040000000000001</v>
      </c>
    </row>
    <row r="35" spans="1:23">
      <c r="A35" s="247">
        <f t="shared" si="2"/>
        <v>444.57335256407771</v>
      </c>
      <c r="B35" s="248">
        <f t="shared" si="3"/>
        <v>560.95381135048558</v>
      </c>
      <c r="C35" s="247">
        <f t="shared" si="4"/>
        <v>677.33427013689334</v>
      </c>
      <c r="D35" s="189">
        <f t="shared" si="5"/>
        <v>232.76091757281557</v>
      </c>
      <c r="E35" s="2">
        <v>15</v>
      </c>
      <c r="F35" s="15">
        <v>84</v>
      </c>
      <c r="G35" s="15">
        <v>108</v>
      </c>
      <c r="H35" s="2">
        <f t="shared" si="20"/>
        <v>8</v>
      </c>
      <c r="I35" s="2">
        <f t="shared" si="6"/>
        <v>30</v>
      </c>
      <c r="J35" s="3">
        <f t="shared" si="7"/>
        <v>63</v>
      </c>
      <c r="L35" s="4">
        <f t="shared" si="8"/>
        <v>141.46020000000001</v>
      </c>
      <c r="M35" s="4" t="str">
        <f t="shared" si="9"/>
        <v/>
      </c>
      <c r="N35" s="4" t="str">
        <f t="shared" si="10"/>
        <v/>
      </c>
      <c r="O35" s="4" t="str">
        <f t="shared" si="11"/>
        <v/>
      </c>
      <c r="P35" s="4" t="str">
        <f t="shared" si="12"/>
        <v/>
      </c>
      <c r="Q35" s="4">
        <f t="shared" si="13"/>
        <v>5.8860000000000001</v>
      </c>
      <c r="R35" s="4">
        <f t="shared" si="14"/>
        <v>1.7975475728155341</v>
      </c>
      <c r="S35" s="5" t="str">
        <f t="shared" si="15"/>
        <v/>
      </c>
      <c r="T35" s="5" t="str">
        <f t="shared" si="16"/>
        <v/>
      </c>
      <c r="U35" s="205">
        <f t="shared" si="17"/>
        <v>31.297170000000001</v>
      </c>
      <c r="V35" s="205">
        <f t="shared" si="18"/>
        <v>29.430000000000003</v>
      </c>
      <c r="W35" s="205">
        <f t="shared" si="19"/>
        <v>22.89</v>
      </c>
    </row>
    <row r="36" spans="1:23">
      <c r="A36" s="247">
        <f t="shared" si="2"/>
        <v>66.504450761423939</v>
      </c>
      <c r="B36" s="248">
        <f t="shared" si="3"/>
        <v>83.913992845566341</v>
      </c>
      <c r="C36" s="247">
        <f t="shared" si="4"/>
        <v>101.32353492970874</v>
      </c>
      <c r="D36" s="189">
        <f t="shared" si="5"/>
        <v>34.819084168284789</v>
      </c>
      <c r="E36" s="2">
        <v>16</v>
      </c>
      <c r="F36" s="15">
        <v>28</v>
      </c>
      <c r="G36" s="15">
        <v>24</v>
      </c>
      <c r="H36" s="2">
        <f t="shared" si="20"/>
        <v>11</v>
      </c>
      <c r="I36" s="2">
        <f t="shared" si="6"/>
        <v>8</v>
      </c>
      <c r="J36" s="3">
        <f t="shared" si="7"/>
        <v>4.666666666666667</v>
      </c>
      <c r="L36" s="4">
        <f t="shared" si="8"/>
        <v>10.478533333333335</v>
      </c>
      <c r="M36" s="4" t="str">
        <f t="shared" si="9"/>
        <v/>
      </c>
      <c r="N36" s="4" t="str">
        <f t="shared" si="10"/>
        <v/>
      </c>
      <c r="O36" s="4" t="str">
        <f t="shared" si="11"/>
        <v/>
      </c>
      <c r="P36" s="4" t="str">
        <f t="shared" si="12"/>
        <v/>
      </c>
      <c r="Q36" s="4">
        <f t="shared" si="13"/>
        <v>1.5696000000000001</v>
      </c>
      <c r="R36" s="4">
        <f t="shared" si="14"/>
        <v>0.47303883495145632</v>
      </c>
      <c r="S36" s="5" t="str">
        <f t="shared" si="15"/>
        <v/>
      </c>
      <c r="T36" s="5" t="str">
        <f t="shared" si="16"/>
        <v/>
      </c>
      <c r="U36" s="205">
        <f t="shared" si="17"/>
        <v>8.3459120000000002</v>
      </c>
      <c r="V36" s="205">
        <f t="shared" si="18"/>
        <v>7.8480000000000008</v>
      </c>
      <c r="W36" s="205">
        <f t="shared" si="19"/>
        <v>6.1040000000000001</v>
      </c>
    </row>
    <row r="37" spans="1:23">
      <c r="A37" s="247">
        <f t="shared" si="2"/>
        <v>196.13057471113271</v>
      </c>
      <c r="B37" s="248">
        <f t="shared" si="3"/>
        <v>247.473657096246</v>
      </c>
      <c r="C37" s="247">
        <f t="shared" si="4"/>
        <v>298.81673948135926</v>
      </c>
      <c r="D37" s="189">
        <f t="shared" si="5"/>
        <v>102.68616477022654</v>
      </c>
      <c r="E37" s="2">
        <v>17</v>
      </c>
      <c r="F37" s="15">
        <v>64</v>
      </c>
      <c r="G37" s="15">
        <v>60</v>
      </c>
      <c r="H37" s="2">
        <f t="shared" si="20"/>
        <v>11</v>
      </c>
      <c r="I37" s="2">
        <f t="shared" si="6"/>
        <v>14</v>
      </c>
      <c r="J37" s="3">
        <f t="shared" si="7"/>
        <v>26.666666666666668</v>
      </c>
      <c r="L37" s="4">
        <f t="shared" si="8"/>
        <v>59.87733333333334</v>
      </c>
      <c r="M37" s="4" t="str">
        <f t="shared" si="9"/>
        <v/>
      </c>
      <c r="N37" s="4" t="str">
        <f t="shared" si="10"/>
        <v/>
      </c>
      <c r="O37" s="4" t="str">
        <f t="shared" si="11"/>
        <v/>
      </c>
      <c r="P37" s="4" t="str">
        <f t="shared" si="12"/>
        <v/>
      </c>
      <c r="Q37" s="4">
        <f t="shared" si="13"/>
        <v>2.7468000000000004</v>
      </c>
      <c r="R37" s="4">
        <f t="shared" si="14"/>
        <v>1.0406854368932039</v>
      </c>
      <c r="S37" s="5" t="str">
        <f t="shared" si="15"/>
        <v/>
      </c>
      <c r="T37" s="5" t="str">
        <f t="shared" si="16"/>
        <v/>
      </c>
      <c r="U37" s="205">
        <f t="shared" si="17"/>
        <v>14.605346000000001</v>
      </c>
      <c r="V37" s="205">
        <f t="shared" si="18"/>
        <v>13.734000000000002</v>
      </c>
      <c r="W37" s="205">
        <f t="shared" si="19"/>
        <v>10.682</v>
      </c>
    </row>
    <row r="38" spans="1:23">
      <c r="A38" s="247">
        <f t="shared" si="2"/>
        <v>196.13057471113271</v>
      </c>
      <c r="B38" s="248">
        <f t="shared" si="3"/>
        <v>247.473657096246</v>
      </c>
      <c r="C38" s="247">
        <f t="shared" si="4"/>
        <v>298.81673948135926</v>
      </c>
      <c r="D38" s="189">
        <f t="shared" si="5"/>
        <v>102.68616477022654</v>
      </c>
      <c r="E38" s="2">
        <v>18</v>
      </c>
      <c r="F38" s="15">
        <v>64</v>
      </c>
      <c r="G38" s="15">
        <v>60</v>
      </c>
      <c r="H38" s="2">
        <f t="shared" si="20"/>
        <v>11</v>
      </c>
      <c r="I38" s="2">
        <f t="shared" si="6"/>
        <v>14</v>
      </c>
      <c r="J38" s="3">
        <f t="shared" si="7"/>
        <v>26.666666666666668</v>
      </c>
      <c r="L38" s="4">
        <f t="shared" si="8"/>
        <v>59.87733333333334</v>
      </c>
      <c r="M38" s="4" t="str">
        <f t="shared" si="9"/>
        <v/>
      </c>
      <c r="N38" s="4" t="str">
        <f t="shared" si="10"/>
        <v/>
      </c>
      <c r="O38" s="4" t="str">
        <f t="shared" si="11"/>
        <v/>
      </c>
      <c r="P38" s="4" t="str">
        <f t="shared" si="12"/>
        <v/>
      </c>
      <c r="Q38" s="4">
        <f t="shared" si="13"/>
        <v>2.7468000000000004</v>
      </c>
      <c r="R38" s="4">
        <f t="shared" si="14"/>
        <v>1.0406854368932039</v>
      </c>
      <c r="S38" s="5" t="str">
        <f t="shared" si="15"/>
        <v/>
      </c>
      <c r="T38" s="5" t="str">
        <f t="shared" si="16"/>
        <v/>
      </c>
      <c r="U38" s="205">
        <f t="shared" si="17"/>
        <v>14.605346000000001</v>
      </c>
      <c r="V38" s="205">
        <f t="shared" si="18"/>
        <v>13.734000000000002</v>
      </c>
      <c r="W38" s="205">
        <f t="shared" si="19"/>
        <v>10.682</v>
      </c>
    </row>
    <row r="39" spans="1:23">
      <c r="A39" s="247">
        <f t="shared" si="2"/>
        <v>229.17732756649406</v>
      </c>
      <c r="B39" s="248">
        <f t="shared" si="3"/>
        <v>289.1713923744768</v>
      </c>
      <c r="C39" s="247">
        <f t="shared" si="4"/>
        <v>349.16545718245953</v>
      </c>
      <c r="D39" s="189">
        <f t="shared" si="5"/>
        <v>119.98812961596548</v>
      </c>
      <c r="E39" s="2">
        <v>19</v>
      </c>
      <c r="F39" s="15">
        <v>52</v>
      </c>
      <c r="G39" s="15">
        <v>80</v>
      </c>
      <c r="H39" s="2">
        <f t="shared" si="20"/>
        <v>11</v>
      </c>
      <c r="I39" s="2">
        <f t="shared" si="6"/>
        <v>18</v>
      </c>
      <c r="J39" s="3">
        <f t="shared" si="7"/>
        <v>28.888888888888889</v>
      </c>
      <c r="L39" s="4">
        <f t="shared" si="8"/>
        <v>64.867111111111114</v>
      </c>
      <c r="M39" s="4" t="str">
        <f t="shared" si="9"/>
        <v/>
      </c>
      <c r="N39" s="4" t="str">
        <f t="shared" si="10"/>
        <v/>
      </c>
      <c r="O39" s="4" t="str">
        <f t="shared" si="11"/>
        <v/>
      </c>
      <c r="P39" s="4" t="str">
        <f t="shared" si="12"/>
        <v/>
      </c>
      <c r="Q39" s="4">
        <f t="shared" si="13"/>
        <v>3.5316000000000001</v>
      </c>
      <c r="R39" s="4">
        <f t="shared" si="14"/>
        <v>1.419116504854369</v>
      </c>
      <c r="S39" s="5" t="str">
        <f t="shared" si="15"/>
        <v/>
      </c>
      <c r="T39" s="5" t="str">
        <f t="shared" si="16"/>
        <v/>
      </c>
      <c r="U39" s="205">
        <f t="shared" si="17"/>
        <v>18.778302</v>
      </c>
      <c r="V39" s="205">
        <f t="shared" si="18"/>
        <v>17.658000000000001</v>
      </c>
      <c r="W39" s="205">
        <f t="shared" si="19"/>
        <v>13.734</v>
      </c>
    </row>
    <row r="40" spans="1:23">
      <c r="A40" s="247">
        <f t="shared" si="2"/>
        <v>229.17732756649406</v>
      </c>
      <c r="B40" s="248">
        <f t="shared" si="3"/>
        <v>289.1713923744768</v>
      </c>
      <c r="C40" s="247">
        <f t="shared" si="4"/>
        <v>349.16545718245953</v>
      </c>
      <c r="D40" s="189">
        <f t="shared" si="5"/>
        <v>119.98812961596548</v>
      </c>
      <c r="E40" s="2">
        <v>20</v>
      </c>
      <c r="F40" s="15">
        <v>52</v>
      </c>
      <c r="G40" s="15">
        <v>80</v>
      </c>
      <c r="H40" s="2">
        <f t="shared" si="20"/>
        <v>11</v>
      </c>
      <c r="I40" s="2">
        <f t="shared" si="6"/>
        <v>18</v>
      </c>
      <c r="J40" s="3">
        <f t="shared" si="7"/>
        <v>28.888888888888889</v>
      </c>
      <c r="L40" s="4">
        <f t="shared" si="8"/>
        <v>64.867111111111114</v>
      </c>
      <c r="M40" s="4" t="str">
        <f t="shared" si="9"/>
        <v/>
      </c>
      <c r="N40" s="4" t="str">
        <f t="shared" si="10"/>
        <v/>
      </c>
      <c r="O40" s="4" t="str">
        <f t="shared" si="11"/>
        <v/>
      </c>
      <c r="P40" s="4" t="str">
        <f t="shared" si="12"/>
        <v/>
      </c>
      <c r="Q40" s="4">
        <f t="shared" si="13"/>
        <v>3.5316000000000001</v>
      </c>
      <c r="R40" s="4">
        <f t="shared" si="14"/>
        <v>1.419116504854369</v>
      </c>
      <c r="S40" s="5" t="str">
        <f t="shared" si="15"/>
        <v/>
      </c>
      <c r="T40" s="5" t="str">
        <f t="shared" si="16"/>
        <v/>
      </c>
      <c r="U40" s="205">
        <f t="shared" si="17"/>
        <v>18.778302</v>
      </c>
      <c r="V40" s="205">
        <f t="shared" si="18"/>
        <v>17.658000000000001</v>
      </c>
      <c r="W40" s="205">
        <f t="shared" si="19"/>
        <v>13.734</v>
      </c>
    </row>
    <row r="41" spans="1:23">
      <c r="A41" s="247">
        <f t="shared" si="2"/>
        <v>230.76185469436894</v>
      </c>
      <c r="B41" s="248">
        <f t="shared" si="3"/>
        <v>291.17071717980588</v>
      </c>
      <c r="C41" s="247">
        <f t="shared" si="4"/>
        <v>351.57957966524276</v>
      </c>
      <c r="D41" s="189">
        <f t="shared" si="5"/>
        <v>120.81772497087378</v>
      </c>
      <c r="E41" s="2">
        <v>21</v>
      </c>
      <c r="F41" s="15">
        <v>64</v>
      </c>
      <c r="G41" s="15">
        <v>72</v>
      </c>
      <c r="H41" s="2">
        <f t="shared" si="20"/>
        <v>11</v>
      </c>
      <c r="I41" s="2">
        <f t="shared" si="6"/>
        <v>16</v>
      </c>
      <c r="J41" s="3">
        <f t="shared" si="7"/>
        <v>32</v>
      </c>
      <c r="L41" s="4">
        <f t="shared" si="8"/>
        <v>71.852800000000002</v>
      </c>
      <c r="M41" s="4" t="str">
        <f t="shared" si="9"/>
        <v/>
      </c>
      <c r="N41" s="4" t="str">
        <f t="shared" si="10"/>
        <v/>
      </c>
      <c r="O41" s="4" t="str">
        <f t="shared" si="11"/>
        <v/>
      </c>
      <c r="P41" s="4" t="str">
        <f t="shared" si="12"/>
        <v/>
      </c>
      <c r="Q41" s="4">
        <f t="shared" si="13"/>
        <v>3.1392000000000002</v>
      </c>
      <c r="R41" s="4">
        <f t="shared" si="14"/>
        <v>1.2299009708737865</v>
      </c>
      <c r="S41" s="5" t="str">
        <f t="shared" si="15"/>
        <v/>
      </c>
      <c r="T41" s="5" t="str">
        <f t="shared" si="16"/>
        <v/>
      </c>
      <c r="U41" s="205">
        <f t="shared" si="17"/>
        <v>16.691824</v>
      </c>
      <c r="V41" s="205">
        <f t="shared" si="18"/>
        <v>15.696000000000002</v>
      </c>
      <c r="W41" s="205">
        <f t="shared" si="19"/>
        <v>12.208</v>
      </c>
    </row>
    <row r="42" spans="1:23">
      <c r="A42" s="247">
        <f t="shared" si="2"/>
        <v>166.43114469436892</v>
      </c>
      <c r="B42" s="248">
        <f t="shared" si="3"/>
        <v>209.99950717980585</v>
      </c>
      <c r="C42" s="247">
        <f t="shared" si="4"/>
        <v>253.56786966524274</v>
      </c>
      <c r="D42" s="189">
        <f t="shared" si="5"/>
        <v>87.136724970873786</v>
      </c>
      <c r="E42" s="2">
        <v>22</v>
      </c>
      <c r="F42" s="15">
        <v>34</v>
      </c>
      <c r="G42" s="15">
        <v>72</v>
      </c>
      <c r="H42" s="2">
        <f t="shared" si="20"/>
        <v>11</v>
      </c>
      <c r="I42" s="2">
        <f t="shared" si="6"/>
        <v>16</v>
      </c>
      <c r="J42" s="3">
        <f t="shared" si="7"/>
        <v>17</v>
      </c>
      <c r="L42" s="4">
        <f t="shared" si="8"/>
        <v>38.171800000000005</v>
      </c>
      <c r="M42" s="4" t="str">
        <f t="shared" si="9"/>
        <v/>
      </c>
      <c r="N42" s="4" t="str">
        <f t="shared" si="10"/>
        <v/>
      </c>
      <c r="O42" s="4" t="str">
        <f t="shared" si="11"/>
        <v/>
      </c>
      <c r="P42" s="4" t="str">
        <f t="shared" si="12"/>
        <v/>
      </c>
      <c r="Q42" s="4">
        <f t="shared" si="13"/>
        <v>3.1392000000000002</v>
      </c>
      <c r="R42" s="4">
        <f t="shared" si="14"/>
        <v>1.2299009708737865</v>
      </c>
      <c r="S42" s="5" t="str">
        <f t="shared" si="15"/>
        <v/>
      </c>
      <c r="T42" s="5" t="str">
        <f t="shared" si="16"/>
        <v/>
      </c>
      <c r="U42" s="205">
        <f t="shared" si="17"/>
        <v>16.691824</v>
      </c>
      <c r="V42" s="205">
        <f t="shared" si="18"/>
        <v>15.696000000000002</v>
      </c>
      <c r="W42" s="205">
        <f t="shared" si="19"/>
        <v>12.208</v>
      </c>
    </row>
    <row r="43" spans="1:23">
      <c r="A43" s="247">
        <f t="shared" si="2"/>
        <v>200.58590089982738</v>
      </c>
      <c r="B43" s="248">
        <f t="shared" si="3"/>
        <v>253.09529904114348</v>
      </c>
      <c r="C43" s="247">
        <f t="shared" si="4"/>
        <v>305.60469718245952</v>
      </c>
      <c r="D43" s="189">
        <f t="shared" si="5"/>
        <v>105.01879628263214</v>
      </c>
      <c r="E43" s="2">
        <v>23</v>
      </c>
      <c r="F43" s="15">
        <v>40</v>
      </c>
      <c r="G43" s="15">
        <v>80</v>
      </c>
      <c r="H43" s="2">
        <f t="shared" si="20"/>
        <v>11</v>
      </c>
      <c r="I43" s="2">
        <f t="shared" si="6"/>
        <v>18</v>
      </c>
      <c r="J43" s="3">
        <f t="shared" si="7"/>
        <v>22.222222222222221</v>
      </c>
      <c r="L43" s="4">
        <f t="shared" si="8"/>
        <v>49.897777777777776</v>
      </c>
      <c r="M43" s="4" t="str">
        <f t="shared" si="9"/>
        <v/>
      </c>
      <c r="N43" s="4" t="str">
        <f t="shared" si="10"/>
        <v/>
      </c>
      <c r="O43" s="4" t="str">
        <f t="shared" si="11"/>
        <v/>
      </c>
      <c r="P43" s="4" t="str">
        <f t="shared" si="12"/>
        <v/>
      </c>
      <c r="Q43" s="4">
        <f t="shared" si="13"/>
        <v>3.5316000000000001</v>
      </c>
      <c r="R43" s="4">
        <f t="shared" si="14"/>
        <v>1.419116504854369</v>
      </c>
      <c r="S43" s="5" t="str">
        <f t="shared" si="15"/>
        <v/>
      </c>
      <c r="T43" s="5" t="str">
        <f t="shared" si="16"/>
        <v/>
      </c>
      <c r="U43" s="205">
        <f t="shared" si="17"/>
        <v>18.778302</v>
      </c>
      <c r="V43" s="205">
        <f t="shared" si="18"/>
        <v>17.658000000000001</v>
      </c>
      <c r="W43" s="205">
        <f t="shared" si="19"/>
        <v>13.734</v>
      </c>
    </row>
    <row r="44" spans="1:23">
      <c r="A44" s="247">
        <f t="shared" si="2"/>
        <v>94.702659744660195</v>
      </c>
      <c r="B44" s="248">
        <f t="shared" si="3"/>
        <v>119.49393192912622</v>
      </c>
      <c r="C44" s="247">
        <f t="shared" si="4"/>
        <v>144.28520411359224</v>
      </c>
      <c r="D44" s="189">
        <f t="shared" si="5"/>
        <v>49.582544368932048</v>
      </c>
      <c r="E44" s="2">
        <v>24</v>
      </c>
      <c r="F44" s="15">
        <v>34</v>
      </c>
      <c r="G44" s="15">
        <v>36</v>
      </c>
      <c r="H44" s="2">
        <f t="shared" ref="H44:H46" si="21">IF(G44="","",IF($F$14="FT",12,IF(AND($F$14="DM",F44&lt;72.1),11,8)))</f>
        <v>11</v>
      </c>
      <c r="I44" s="2">
        <f t="shared" si="6"/>
        <v>10</v>
      </c>
      <c r="J44" s="3">
        <f t="shared" si="7"/>
        <v>8.5</v>
      </c>
      <c r="L44" s="4">
        <f t="shared" si="8"/>
        <v>19.085900000000002</v>
      </c>
      <c r="M44" s="4" t="str">
        <f t="shared" si="9"/>
        <v/>
      </c>
      <c r="N44" s="4" t="str">
        <f t="shared" si="10"/>
        <v/>
      </c>
      <c r="O44" s="4" t="str">
        <f t="shared" si="11"/>
        <v/>
      </c>
      <c r="P44" s="4" t="str">
        <f t="shared" si="12"/>
        <v/>
      </c>
      <c r="Q44" s="4">
        <f t="shared" si="13"/>
        <v>1.9620000000000002</v>
      </c>
      <c r="R44" s="4">
        <f t="shared" si="14"/>
        <v>0.66225436893203882</v>
      </c>
      <c r="S44" s="5" t="str">
        <f t="shared" si="15"/>
        <v/>
      </c>
      <c r="T44" s="5" t="str">
        <f t="shared" si="16"/>
        <v/>
      </c>
      <c r="U44" s="205">
        <f t="shared" si="17"/>
        <v>10.43239</v>
      </c>
      <c r="V44" s="205">
        <f t="shared" si="18"/>
        <v>9.81</v>
      </c>
      <c r="W44" s="205">
        <f t="shared" si="19"/>
        <v>7.63</v>
      </c>
    </row>
    <row r="45" spans="1:23">
      <c r="A45" s="247">
        <f t="shared" si="2"/>
        <v>94.702659744660195</v>
      </c>
      <c r="B45" s="248">
        <f t="shared" si="3"/>
        <v>119.49393192912622</v>
      </c>
      <c r="C45" s="247">
        <f t="shared" si="4"/>
        <v>144.28520411359224</v>
      </c>
      <c r="D45" s="189">
        <f t="shared" si="5"/>
        <v>49.582544368932048</v>
      </c>
      <c r="E45" s="2">
        <v>25</v>
      </c>
      <c r="F45" s="15">
        <v>34</v>
      </c>
      <c r="G45" s="15">
        <v>36</v>
      </c>
      <c r="H45" s="2">
        <f t="shared" si="21"/>
        <v>11</v>
      </c>
      <c r="I45" s="2">
        <f t="shared" si="6"/>
        <v>10</v>
      </c>
      <c r="J45" s="3">
        <f t="shared" si="7"/>
        <v>8.5</v>
      </c>
      <c r="L45" s="4">
        <f t="shared" si="8"/>
        <v>19.085900000000002</v>
      </c>
      <c r="M45" s="4" t="str">
        <f t="shared" si="9"/>
        <v/>
      </c>
      <c r="N45" s="4" t="str">
        <f t="shared" si="10"/>
        <v/>
      </c>
      <c r="O45" s="4" t="str">
        <f t="shared" si="11"/>
        <v/>
      </c>
      <c r="P45" s="4" t="str">
        <f t="shared" si="12"/>
        <v/>
      </c>
      <c r="Q45" s="4">
        <f t="shared" si="13"/>
        <v>1.9620000000000002</v>
      </c>
      <c r="R45" s="4">
        <f t="shared" si="14"/>
        <v>0.66225436893203882</v>
      </c>
      <c r="S45" s="5" t="str">
        <f t="shared" si="15"/>
        <v/>
      </c>
      <c r="T45" s="5" t="str">
        <f t="shared" si="16"/>
        <v/>
      </c>
      <c r="U45" s="205">
        <f t="shared" si="17"/>
        <v>10.43239</v>
      </c>
      <c r="V45" s="205">
        <f t="shared" si="18"/>
        <v>9.81</v>
      </c>
      <c r="W45" s="205">
        <f t="shared" si="19"/>
        <v>7.63</v>
      </c>
    </row>
    <row r="46" spans="1:23">
      <c r="A46" s="247">
        <f t="shared" si="2"/>
        <v>230.76185469436894</v>
      </c>
      <c r="B46" s="248">
        <f t="shared" si="3"/>
        <v>291.17071717980588</v>
      </c>
      <c r="C46" s="247">
        <f t="shared" si="4"/>
        <v>351.57957966524276</v>
      </c>
      <c r="D46" s="189">
        <f t="shared" si="5"/>
        <v>120.81772497087378</v>
      </c>
      <c r="E46" s="2">
        <v>26</v>
      </c>
      <c r="F46" s="15">
        <v>64</v>
      </c>
      <c r="G46" s="15">
        <v>72</v>
      </c>
      <c r="H46" s="2">
        <f t="shared" si="21"/>
        <v>11</v>
      </c>
      <c r="I46" s="2">
        <f t="shared" si="6"/>
        <v>16</v>
      </c>
      <c r="J46" s="3">
        <f t="shared" si="7"/>
        <v>32</v>
      </c>
      <c r="L46" s="4">
        <f t="shared" si="8"/>
        <v>71.852800000000002</v>
      </c>
      <c r="M46" s="4" t="str">
        <f t="shared" si="9"/>
        <v/>
      </c>
      <c r="N46" s="4" t="str">
        <f t="shared" si="10"/>
        <v/>
      </c>
      <c r="O46" s="4" t="str">
        <f t="shared" si="11"/>
        <v/>
      </c>
      <c r="P46" s="4" t="str">
        <f t="shared" si="12"/>
        <v/>
      </c>
      <c r="Q46" s="4">
        <f t="shared" si="13"/>
        <v>3.1392000000000002</v>
      </c>
      <c r="R46" s="4">
        <f t="shared" si="14"/>
        <v>1.2299009708737865</v>
      </c>
      <c r="S46" s="5" t="str">
        <f t="shared" si="15"/>
        <v/>
      </c>
      <c r="T46" s="5" t="str">
        <f t="shared" si="16"/>
        <v/>
      </c>
      <c r="U46" s="205">
        <f t="shared" si="17"/>
        <v>16.691824</v>
      </c>
      <c r="V46" s="205">
        <f t="shared" si="18"/>
        <v>15.696000000000002</v>
      </c>
      <c r="W46" s="205">
        <f t="shared" si="19"/>
        <v>12.208</v>
      </c>
    </row>
    <row r="47" spans="1:23">
      <c r="A47" s="247">
        <f t="shared" si="2"/>
        <v>300.02441466084139</v>
      </c>
      <c r="B47" s="248">
        <f t="shared" si="3"/>
        <v>378.56483734692557</v>
      </c>
      <c r="C47" s="247">
        <f t="shared" si="4"/>
        <v>457.10526003300976</v>
      </c>
      <c r="D47" s="189">
        <f t="shared" si="5"/>
        <v>157.08084537216826</v>
      </c>
      <c r="E47" s="2">
        <v>27</v>
      </c>
      <c r="F47" s="15">
        <v>64</v>
      </c>
      <c r="G47" s="15">
        <v>96</v>
      </c>
      <c r="H47" s="2">
        <f t="shared" si="20"/>
        <v>11</v>
      </c>
      <c r="I47" s="2">
        <f t="shared" si="6"/>
        <v>20</v>
      </c>
      <c r="J47" s="3">
        <f t="shared" si="7"/>
        <v>42.666666666666664</v>
      </c>
      <c r="L47" s="4">
        <f t="shared" si="8"/>
        <v>95.803733333333327</v>
      </c>
      <c r="M47" s="4" t="str">
        <f t="shared" si="9"/>
        <v/>
      </c>
      <c r="N47" s="4" t="str">
        <f t="shared" si="10"/>
        <v/>
      </c>
      <c r="O47" s="4" t="str">
        <f t="shared" si="11"/>
        <v/>
      </c>
      <c r="P47" s="4" t="str">
        <f t="shared" si="12"/>
        <v/>
      </c>
      <c r="Q47" s="4">
        <f t="shared" si="13"/>
        <v>3.9240000000000004</v>
      </c>
      <c r="R47" s="4">
        <f t="shared" si="14"/>
        <v>1.6083320388349513</v>
      </c>
      <c r="S47" s="5" t="str">
        <f t="shared" si="15"/>
        <v/>
      </c>
      <c r="T47" s="5" t="str">
        <f t="shared" si="16"/>
        <v/>
      </c>
      <c r="U47" s="205">
        <f t="shared" si="17"/>
        <v>20.86478</v>
      </c>
      <c r="V47" s="205">
        <f t="shared" si="18"/>
        <v>19.62</v>
      </c>
      <c r="W47" s="205">
        <f t="shared" si="19"/>
        <v>15.26</v>
      </c>
    </row>
    <row r="48" spans="1:23">
      <c r="A48" s="247">
        <f t="shared" si="2"/>
        <v>144.34443872789643</v>
      </c>
      <c r="B48" s="248">
        <f t="shared" si="3"/>
        <v>182.13094101268609</v>
      </c>
      <c r="C48" s="247">
        <f t="shared" si="4"/>
        <v>219.91744329747573</v>
      </c>
      <c r="D48" s="189">
        <f t="shared" si="5"/>
        <v>75.573004569579297</v>
      </c>
      <c r="E48" s="2">
        <v>28</v>
      </c>
      <c r="F48" s="15">
        <v>52</v>
      </c>
      <c r="G48" s="15">
        <v>48</v>
      </c>
      <c r="H48" s="2">
        <f t="shared" si="20"/>
        <v>11</v>
      </c>
      <c r="I48" s="2">
        <f t="shared" si="6"/>
        <v>12</v>
      </c>
      <c r="J48" s="3">
        <f t="shared" si="7"/>
        <v>17.333333333333332</v>
      </c>
      <c r="L48" s="4">
        <f t="shared" si="8"/>
        <v>38.920266666666663</v>
      </c>
      <c r="M48" s="4" t="str">
        <f t="shared" si="9"/>
        <v/>
      </c>
      <c r="N48" s="4" t="str">
        <f t="shared" si="10"/>
        <v/>
      </c>
      <c r="O48" s="4" t="str">
        <f t="shared" si="11"/>
        <v/>
      </c>
      <c r="P48" s="4" t="str">
        <f t="shared" si="12"/>
        <v/>
      </c>
      <c r="Q48" s="4">
        <f t="shared" si="13"/>
        <v>2.3544</v>
      </c>
      <c r="R48" s="4">
        <f t="shared" si="14"/>
        <v>0.85146990291262148</v>
      </c>
      <c r="S48" s="5" t="str">
        <f t="shared" si="15"/>
        <v/>
      </c>
      <c r="T48" s="5" t="str">
        <f t="shared" si="16"/>
        <v/>
      </c>
      <c r="U48" s="205">
        <f t="shared" si="17"/>
        <v>12.518868000000001</v>
      </c>
      <c r="V48" s="205">
        <f t="shared" si="18"/>
        <v>11.772000000000002</v>
      </c>
      <c r="W48" s="205">
        <f t="shared" si="19"/>
        <v>9.1560000000000006</v>
      </c>
    </row>
    <row r="49" spans="1:23">
      <c r="A49" s="247">
        <f t="shared" si="2"/>
        <v>110.03472672789646</v>
      </c>
      <c r="B49" s="248">
        <f t="shared" si="3"/>
        <v>138.83962901268612</v>
      </c>
      <c r="C49" s="247">
        <f t="shared" si="4"/>
        <v>167.64453129747577</v>
      </c>
      <c r="D49" s="189">
        <f t="shared" si="5"/>
        <v>57.609804569579289</v>
      </c>
      <c r="E49" s="2">
        <v>29</v>
      </c>
      <c r="F49" s="15">
        <v>28</v>
      </c>
      <c r="G49" s="15">
        <v>48</v>
      </c>
      <c r="H49" s="2">
        <f t="shared" si="20"/>
        <v>11</v>
      </c>
      <c r="I49" s="2">
        <f t="shared" si="6"/>
        <v>12</v>
      </c>
      <c r="J49" s="3">
        <f t="shared" si="7"/>
        <v>9.3333333333333339</v>
      </c>
      <c r="L49" s="4">
        <f t="shared" si="8"/>
        <v>20.95706666666667</v>
      </c>
      <c r="M49" s="4" t="str">
        <f t="shared" si="9"/>
        <v/>
      </c>
      <c r="N49" s="4" t="str">
        <f t="shared" si="10"/>
        <v/>
      </c>
      <c r="O49" s="4" t="str">
        <f t="shared" si="11"/>
        <v/>
      </c>
      <c r="P49" s="4" t="str">
        <f t="shared" si="12"/>
        <v/>
      </c>
      <c r="Q49" s="4">
        <f t="shared" si="13"/>
        <v>2.3544</v>
      </c>
      <c r="R49" s="4">
        <f t="shared" si="14"/>
        <v>0.85146990291262148</v>
      </c>
      <c r="S49" s="5" t="str">
        <f t="shared" si="15"/>
        <v/>
      </c>
      <c r="T49" s="5" t="str">
        <f t="shared" si="16"/>
        <v/>
      </c>
      <c r="U49" s="205">
        <f t="shared" si="17"/>
        <v>12.518868000000001</v>
      </c>
      <c r="V49" s="205">
        <f t="shared" si="18"/>
        <v>11.772000000000002</v>
      </c>
      <c r="W49" s="205">
        <f t="shared" si="19"/>
        <v>9.1560000000000006</v>
      </c>
    </row>
    <row r="50" spans="1:23">
      <c r="A50" s="247">
        <f t="shared" si="2"/>
        <v>83.659306761423949</v>
      </c>
      <c r="B50" s="248">
        <f t="shared" si="3"/>
        <v>105.55964884556634</v>
      </c>
      <c r="C50" s="247">
        <f t="shared" si="4"/>
        <v>127.45999092970874</v>
      </c>
      <c r="D50" s="189">
        <f t="shared" si="5"/>
        <v>43.800684168284789</v>
      </c>
      <c r="E50" s="2">
        <v>30</v>
      </c>
      <c r="F50" s="15">
        <v>52</v>
      </c>
      <c r="G50" s="15">
        <v>24</v>
      </c>
      <c r="H50" s="2">
        <f t="shared" si="20"/>
        <v>11</v>
      </c>
      <c r="I50" s="2">
        <f t="shared" si="6"/>
        <v>8</v>
      </c>
      <c r="J50" s="3">
        <f t="shared" si="7"/>
        <v>8.6666666666666661</v>
      </c>
      <c r="L50" s="4">
        <f t="shared" si="8"/>
        <v>19.460133333333332</v>
      </c>
      <c r="M50" s="4" t="str">
        <f t="shared" si="9"/>
        <v/>
      </c>
      <c r="N50" s="4" t="str">
        <f t="shared" si="10"/>
        <v/>
      </c>
      <c r="O50" s="4" t="str">
        <f t="shared" si="11"/>
        <v/>
      </c>
      <c r="P50" s="4" t="str">
        <f t="shared" si="12"/>
        <v/>
      </c>
      <c r="Q50" s="4">
        <f t="shared" si="13"/>
        <v>1.5696000000000001</v>
      </c>
      <c r="R50" s="4">
        <f t="shared" si="14"/>
        <v>0.47303883495145632</v>
      </c>
      <c r="S50" s="5" t="str">
        <f t="shared" si="15"/>
        <v/>
      </c>
      <c r="T50" s="5" t="str">
        <f t="shared" si="16"/>
        <v/>
      </c>
      <c r="U50" s="205">
        <f t="shared" si="17"/>
        <v>8.3459120000000002</v>
      </c>
      <c r="V50" s="205">
        <f t="shared" si="18"/>
        <v>7.8480000000000008</v>
      </c>
      <c r="W50" s="205">
        <f t="shared" si="19"/>
        <v>6.1040000000000001</v>
      </c>
    </row>
    <row r="51" spans="1:23">
      <c r="A51" s="247" t="str">
        <f t="shared" si="2"/>
        <v/>
      </c>
      <c r="B51" s="248" t="str">
        <f t="shared" si="3"/>
        <v/>
      </c>
      <c r="C51" s="247" t="str">
        <f t="shared" si="4"/>
        <v/>
      </c>
      <c r="D51" s="189" t="str">
        <f t="shared" si="5"/>
        <v/>
      </c>
      <c r="E51" s="2">
        <v>31</v>
      </c>
      <c r="F51" s="15"/>
      <c r="G51" s="15"/>
      <c r="H51" s="2" t="str">
        <f t="shared" si="20"/>
        <v/>
      </c>
      <c r="I51" s="2" t="str">
        <f t="shared" si="6"/>
        <v/>
      </c>
      <c r="J51" s="3" t="str">
        <f t="shared" si="7"/>
        <v/>
      </c>
      <c r="L51" s="4" t="str">
        <f t="shared" si="8"/>
        <v/>
      </c>
      <c r="M51" s="4" t="str">
        <f t="shared" si="9"/>
        <v/>
      </c>
      <c r="N51" s="4" t="str">
        <f t="shared" si="10"/>
        <v/>
      </c>
      <c r="O51" s="4" t="str">
        <f t="shared" si="11"/>
        <v/>
      </c>
      <c r="P51" s="4" t="str">
        <f t="shared" si="12"/>
        <v/>
      </c>
      <c r="Q51" s="4" t="str">
        <f t="shared" si="13"/>
        <v/>
      </c>
      <c r="R51" s="4" t="str">
        <f t="shared" si="14"/>
        <v/>
      </c>
      <c r="S51" s="5" t="str">
        <f t="shared" si="15"/>
        <v/>
      </c>
      <c r="T51" s="5" t="str">
        <f t="shared" si="16"/>
        <v/>
      </c>
      <c r="U51" s="205" t="str">
        <f t="shared" si="17"/>
        <v/>
      </c>
      <c r="V51" s="205" t="str">
        <f t="shared" si="18"/>
        <v/>
      </c>
      <c r="W51" s="205" t="str">
        <f t="shared" si="19"/>
        <v/>
      </c>
    </row>
    <row r="52" spans="1:23">
      <c r="A52" s="247" t="str">
        <f t="shared" si="2"/>
        <v/>
      </c>
      <c r="B52" s="248" t="str">
        <f t="shared" si="3"/>
        <v/>
      </c>
      <c r="C52" s="247" t="str">
        <f t="shared" si="4"/>
        <v/>
      </c>
      <c r="D52" s="189" t="str">
        <f t="shared" si="5"/>
        <v/>
      </c>
      <c r="E52" s="2">
        <v>32</v>
      </c>
      <c r="F52" s="15"/>
      <c r="G52" s="15"/>
      <c r="H52" s="2" t="str">
        <f t="shared" si="20"/>
        <v/>
      </c>
      <c r="I52" s="2" t="str">
        <f t="shared" si="6"/>
        <v/>
      </c>
      <c r="J52" s="3" t="str">
        <f t="shared" si="7"/>
        <v/>
      </c>
      <c r="L52" s="4" t="str">
        <f t="shared" si="8"/>
        <v/>
      </c>
      <c r="M52" s="4" t="str">
        <f t="shared" si="9"/>
        <v/>
      </c>
      <c r="N52" s="4" t="str">
        <f t="shared" si="10"/>
        <v/>
      </c>
      <c r="O52" s="4" t="str">
        <f t="shared" si="11"/>
        <v/>
      </c>
      <c r="P52" s="4" t="str">
        <f t="shared" si="12"/>
        <v/>
      </c>
      <c r="Q52" s="4" t="str">
        <f t="shared" si="13"/>
        <v/>
      </c>
      <c r="R52" s="4" t="str">
        <f t="shared" si="14"/>
        <v/>
      </c>
      <c r="S52" s="5" t="str">
        <f t="shared" si="15"/>
        <v/>
      </c>
      <c r="T52" s="5" t="str">
        <f t="shared" si="16"/>
        <v/>
      </c>
      <c r="U52" s="205" t="str">
        <f t="shared" si="17"/>
        <v/>
      </c>
      <c r="V52" s="205" t="str">
        <f t="shared" si="18"/>
        <v/>
      </c>
      <c r="W52" s="205" t="str">
        <f t="shared" si="19"/>
        <v/>
      </c>
    </row>
    <row r="53" spans="1:23">
      <c r="A53" s="247" t="str">
        <f t="shared" ref="A53:A84" si="22">IF(F53&lt;&gt;"",((SUM(L53:R53)+SUM(S53:W53))*$A$19),"")</f>
        <v/>
      </c>
      <c r="B53" s="248" t="str">
        <f t="shared" ref="B53:B84" si="23">IF(F53&lt;&gt;"",((SUM(L53:R53)+SUM(U53:W53))*$B$19),"")</f>
        <v/>
      </c>
      <c r="C53" s="247" t="str">
        <f t="shared" ref="C53:C84" si="24">IF(F53&lt;&gt;"",((SUM(L53:R53)+SUM(U53:W53))*$C$19),"")</f>
        <v/>
      </c>
      <c r="D53" s="189" t="str">
        <f t="shared" ref="D53:D84" si="25">IF(J53&lt;&gt;"",SUM(L53:W53),"")</f>
        <v/>
      </c>
      <c r="E53" s="2">
        <v>33</v>
      </c>
      <c r="F53" s="15"/>
      <c r="G53" s="15"/>
      <c r="H53" s="2" t="str">
        <f t="shared" si="20"/>
        <v/>
      </c>
      <c r="I53" s="2" t="str">
        <f t="shared" ref="I53:I84" si="26">IF(G53 =  "","",ROUNDUP(G53/H53,0)*2+2)</f>
        <v/>
      </c>
      <c r="J53" s="3" t="str">
        <f t="shared" ref="J53:J84" si="27">IF(G53="","",F53*G53/144)</f>
        <v/>
      </c>
      <c r="L53" s="4" t="str">
        <f t="shared" ref="L53:L84" si="28">IF(J53="","",J53*$L$118)</f>
        <v/>
      </c>
      <c r="M53" s="4" t="str">
        <f t="shared" ref="M53:M84" si="29">IF(OR($F$14="DM", J53=""),"",(G53*2/12)*$M$118)</f>
        <v/>
      </c>
      <c r="N53" s="4" t="str">
        <f t="shared" ref="N53:N84" si="30">IF(OR($F$14="DM",J53=""),"",((ROUNDUP(G53/6, 0)*2)+2)*$N$118)</f>
        <v/>
      </c>
      <c r="O53" s="4" t="str">
        <f t="shared" ref="O53:O84" si="31">IF(OR($F$14="DM",J53=""),"",((ROUNDUP(G53/6,0)*2)+2)*$O$118)</f>
        <v/>
      </c>
      <c r="P53" s="4" t="str">
        <f t="shared" ref="P53:P84" si="32">IF(OR($F$14="DM", J53=""),"",I53*$P$118)</f>
        <v/>
      </c>
      <c r="Q53" s="4" t="str">
        <f t="shared" ref="Q53:Q84" si="33">IF(J53="","",I53*$Q$118)</f>
        <v/>
      </c>
      <c r="R53" s="4" t="str">
        <f t="shared" ref="R53:R84" si="34">IF(J53="","",((ROUNDUP(G53/6, 0)*2)+2)*$R$118/206)</f>
        <v/>
      </c>
      <c r="S53" s="5" t="str">
        <f t="shared" ref="S53:S84" si="35">IF(AND($F$15="MPM",F53&lt;&gt;"",$F$14&lt;&gt;"FT"),I53*$S$118,"")</f>
        <v/>
      </c>
      <c r="T53" s="5" t="str">
        <f t="shared" ref="T53:T84" si="36">IF(AND($F$15="MPM",F53&lt;&gt;"",$F$14&lt;&gt;"FT"),I53*$T$118,"")</f>
        <v/>
      </c>
      <c r="U53" s="205" t="str">
        <f t="shared" ref="U53:U84" si="37">IF(AND($F$15="FPM",F53&lt;&gt;"",$F$14="DM"),I53*$U$118,"")</f>
        <v/>
      </c>
      <c r="V53" s="205" t="str">
        <f t="shared" ref="V53:V84" si="38">IF(AND($F$15="FPM",F53&lt;&gt;"",$F$14&lt;&gt;"FT"),I53*$V$118,"")</f>
        <v/>
      </c>
      <c r="W53" s="205" t="str">
        <f t="shared" ref="W53:W84" si="39">IF(AND($F$15="FPM",F53&lt;&gt;"", $F$14&lt;&gt;"FT"),I53*$W$118,"")</f>
        <v/>
      </c>
    </row>
    <row r="54" spans="1:23">
      <c r="A54" s="247" t="str">
        <f t="shared" si="22"/>
        <v/>
      </c>
      <c r="B54" s="248" t="str">
        <f t="shared" si="23"/>
        <v/>
      </c>
      <c r="C54" s="247" t="str">
        <f t="shared" si="24"/>
        <v/>
      </c>
      <c r="D54" s="189" t="str">
        <f t="shared" si="25"/>
        <v/>
      </c>
      <c r="E54" s="2">
        <v>34</v>
      </c>
      <c r="F54" s="15"/>
      <c r="G54" s="15"/>
      <c r="H54" s="2" t="str">
        <f t="shared" ref="H54:H57" si="40">IF(G54="","",IF($F$14="FT",12,IF(AND($F$14="DM",F54&lt;72.1),11,8)))</f>
        <v/>
      </c>
      <c r="I54" s="2" t="str">
        <f t="shared" si="26"/>
        <v/>
      </c>
      <c r="J54" s="3" t="str">
        <f t="shared" si="27"/>
        <v/>
      </c>
      <c r="L54" s="4" t="str">
        <f t="shared" si="28"/>
        <v/>
      </c>
      <c r="M54" s="4" t="str">
        <f t="shared" si="29"/>
        <v/>
      </c>
      <c r="N54" s="4" t="str">
        <f t="shared" si="30"/>
        <v/>
      </c>
      <c r="O54" s="4" t="str">
        <f t="shared" si="31"/>
        <v/>
      </c>
      <c r="P54" s="4" t="str">
        <f t="shared" si="32"/>
        <v/>
      </c>
      <c r="Q54" s="4" t="str">
        <f t="shared" si="33"/>
        <v/>
      </c>
      <c r="R54" s="4" t="str">
        <f t="shared" si="34"/>
        <v/>
      </c>
      <c r="S54" s="5" t="str">
        <f t="shared" si="35"/>
        <v/>
      </c>
      <c r="T54" s="5" t="str">
        <f t="shared" si="36"/>
        <v/>
      </c>
      <c r="U54" s="205" t="str">
        <f t="shared" si="37"/>
        <v/>
      </c>
      <c r="V54" s="205" t="str">
        <f t="shared" si="38"/>
        <v/>
      </c>
      <c r="W54" s="205" t="str">
        <f t="shared" si="39"/>
        <v/>
      </c>
    </row>
    <row r="55" spans="1:23">
      <c r="A55" s="247" t="str">
        <f t="shared" si="22"/>
        <v/>
      </c>
      <c r="B55" s="248" t="str">
        <f t="shared" si="23"/>
        <v/>
      </c>
      <c r="C55" s="247" t="str">
        <f t="shared" si="24"/>
        <v/>
      </c>
      <c r="D55" s="189" t="str">
        <f t="shared" si="25"/>
        <v/>
      </c>
      <c r="E55" s="2">
        <v>35</v>
      </c>
      <c r="F55" s="15"/>
      <c r="G55" s="15"/>
      <c r="H55" s="2" t="str">
        <f t="shared" si="40"/>
        <v/>
      </c>
      <c r="I55" s="2" t="str">
        <f t="shared" si="26"/>
        <v/>
      </c>
      <c r="J55" s="3" t="str">
        <f t="shared" si="27"/>
        <v/>
      </c>
      <c r="L55" s="4" t="str">
        <f t="shared" si="28"/>
        <v/>
      </c>
      <c r="M55" s="4" t="str">
        <f t="shared" si="29"/>
        <v/>
      </c>
      <c r="N55" s="4" t="str">
        <f t="shared" si="30"/>
        <v/>
      </c>
      <c r="O55" s="4" t="str">
        <f t="shared" si="31"/>
        <v/>
      </c>
      <c r="P55" s="4" t="str">
        <f t="shared" si="32"/>
        <v/>
      </c>
      <c r="Q55" s="4" t="str">
        <f t="shared" si="33"/>
        <v/>
      </c>
      <c r="R55" s="4" t="str">
        <f t="shared" si="34"/>
        <v/>
      </c>
      <c r="S55" s="5" t="str">
        <f t="shared" si="35"/>
        <v/>
      </c>
      <c r="T55" s="5" t="str">
        <f t="shared" si="36"/>
        <v/>
      </c>
      <c r="U55" s="205" t="str">
        <f t="shared" si="37"/>
        <v/>
      </c>
      <c r="V55" s="205" t="str">
        <f t="shared" si="38"/>
        <v/>
      </c>
      <c r="W55" s="205" t="str">
        <f t="shared" si="39"/>
        <v/>
      </c>
    </row>
    <row r="56" spans="1:23">
      <c r="A56" s="247" t="str">
        <f t="shared" si="22"/>
        <v/>
      </c>
      <c r="B56" s="248" t="str">
        <f t="shared" si="23"/>
        <v/>
      </c>
      <c r="C56" s="247" t="str">
        <f t="shared" si="24"/>
        <v/>
      </c>
      <c r="D56" s="189" t="str">
        <f t="shared" si="25"/>
        <v/>
      </c>
      <c r="E56" s="2">
        <v>36</v>
      </c>
      <c r="F56" s="15"/>
      <c r="G56" s="15"/>
      <c r="H56" s="2" t="str">
        <f t="shared" si="40"/>
        <v/>
      </c>
      <c r="I56" s="2" t="str">
        <f t="shared" si="26"/>
        <v/>
      </c>
      <c r="J56" s="3" t="str">
        <f t="shared" si="27"/>
        <v/>
      </c>
      <c r="L56" s="4" t="str">
        <f t="shared" si="28"/>
        <v/>
      </c>
      <c r="M56" s="4" t="str">
        <f t="shared" si="29"/>
        <v/>
      </c>
      <c r="N56" s="4" t="str">
        <f t="shared" si="30"/>
        <v/>
      </c>
      <c r="O56" s="4" t="str">
        <f t="shared" si="31"/>
        <v/>
      </c>
      <c r="P56" s="4" t="str">
        <f t="shared" si="32"/>
        <v/>
      </c>
      <c r="Q56" s="4" t="str">
        <f t="shared" si="33"/>
        <v/>
      </c>
      <c r="R56" s="4" t="str">
        <f t="shared" si="34"/>
        <v/>
      </c>
      <c r="S56" s="5" t="str">
        <f t="shared" si="35"/>
        <v/>
      </c>
      <c r="T56" s="5" t="str">
        <f t="shared" si="36"/>
        <v/>
      </c>
      <c r="U56" s="205" t="str">
        <f t="shared" si="37"/>
        <v/>
      </c>
      <c r="V56" s="205" t="str">
        <f t="shared" si="38"/>
        <v/>
      </c>
      <c r="W56" s="205" t="str">
        <f t="shared" si="39"/>
        <v/>
      </c>
    </row>
    <row r="57" spans="1:23">
      <c r="A57" s="247" t="str">
        <f t="shared" si="22"/>
        <v/>
      </c>
      <c r="B57" s="248" t="str">
        <f t="shared" si="23"/>
        <v/>
      </c>
      <c r="C57" s="247" t="str">
        <f t="shared" si="24"/>
        <v/>
      </c>
      <c r="D57" s="189" t="str">
        <f t="shared" si="25"/>
        <v/>
      </c>
      <c r="E57" s="2">
        <v>37</v>
      </c>
      <c r="F57" s="15"/>
      <c r="G57" s="15"/>
      <c r="H57" s="2" t="str">
        <f t="shared" si="40"/>
        <v/>
      </c>
      <c r="I57" s="2" t="str">
        <f t="shared" si="26"/>
        <v/>
      </c>
      <c r="J57" s="3" t="str">
        <f t="shared" si="27"/>
        <v/>
      </c>
      <c r="L57" s="4" t="str">
        <f t="shared" si="28"/>
        <v/>
      </c>
      <c r="M57" s="4" t="str">
        <f t="shared" si="29"/>
        <v/>
      </c>
      <c r="N57" s="4" t="str">
        <f t="shared" si="30"/>
        <v/>
      </c>
      <c r="O57" s="4" t="str">
        <f t="shared" si="31"/>
        <v/>
      </c>
      <c r="P57" s="4" t="str">
        <f t="shared" si="32"/>
        <v/>
      </c>
      <c r="Q57" s="4" t="str">
        <f t="shared" si="33"/>
        <v/>
      </c>
      <c r="R57" s="4" t="str">
        <f t="shared" si="34"/>
        <v/>
      </c>
      <c r="S57" s="5" t="str">
        <f t="shared" si="35"/>
        <v/>
      </c>
      <c r="T57" s="5" t="str">
        <f t="shared" si="36"/>
        <v/>
      </c>
      <c r="U57" s="205" t="str">
        <f t="shared" si="37"/>
        <v/>
      </c>
      <c r="V57" s="205" t="str">
        <f t="shared" si="38"/>
        <v/>
      </c>
      <c r="W57" s="205" t="str">
        <f t="shared" si="39"/>
        <v/>
      </c>
    </row>
    <row r="58" spans="1:23">
      <c r="A58" s="247" t="str">
        <f t="shared" si="22"/>
        <v/>
      </c>
      <c r="B58" s="248" t="str">
        <f t="shared" si="23"/>
        <v/>
      </c>
      <c r="C58" s="247" t="str">
        <f t="shared" si="24"/>
        <v/>
      </c>
      <c r="D58" s="189" t="str">
        <f t="shared" si="25"/>
        <v/>
      </c>
      <c r="E58" s="2">
        <v>38</v>
      </c>
      <c r="F58" s="15"/>
      <c r="G58" s="15"/>
      <c r="H58" s="2" t="str">
        <f t="shared" si="20"/>
        <v/>
      </c>
      <c r="I58" s="2" t="str">
        <f t="shared" si="26"/>
        <v/>
      </c>
      <c r="J58" s="3" t="str">
        <f t="shared" si="27"/>
        <v/>
      </c>
      <c r="L58" s="4" t="str">
        <f t="shared" si="28"/>
        <v/>
      </c>
      <c r="M58" s="4" t="str">
        <f t="shared" si="29"/>
        <v/>
      </c>
      <c r="N58" s="4" t="str">
        <f t="shared" si="30"/>
        <v/>
      </c>
      <c r="O58" s="4" t="str">
        <f t="shared" si="31"/>
        <v/>
      </c>
      <c r="P58" s="4" t="str">
        <f t="shared" si="32"/>
        <v/>
      </c>
      <c r="Q58" s="4" t="str">
        <f t="shared" si="33"/>
        <v/>
      </c>
      <c r="R58" s="4" t="str">
        <f t="shared" si="34"/>
        <v/>
      </c>
      <c r="S58" s="5" t="str">
        <f t="shared" si="35"/>
        <v/>
      </c>
      <c r="T58" s="5" t="str">
        <f t="shared" si="36"/>
        <v/>
      </c>
      <c r="U58" s="205" t="str">
        <f t="shared" si="37"/>
        <v/>
      </c>
      <c r="V58" s="205" t="str">
        <f t="shared" si="38"/>
        <v/>
      </c>
      <c r="W58" s="205" t="str">
        <f t="shared" si="39"/>
        <v/>
      </c>
    </row>
    <row r="59" spans="1:23">
      <c r="A59" s="247" t="str">
        <f t="shared" si="22"/>
        <v/>
      </c>
      <c r="B59" s="248" t="str">
        <f t="shared" si="23"/>
        <v/>
      </c>
      <c r="C59" s="247" t="str">
        <f t="shared" si="24"/>
        <v/>
      </c>
      <c r="D59" s="189" t="str">
        <f t="shared" si="25"/>
        <v/>
      </c>
      <c r="E59" s="2">
        <v>39</v>
      </c>
      <c r="F59" s="15"/>
      <c r="G59" s="15"/>
      <c r="H59" s="2" t="str">
        <f t="shared" si="20"/>
        <v/>
      </c>
      <c r="I59" s="2" t="str">
        <f t="shared" si="26"/>
        <v/>
      </c>
      <c r="J59" s="3" t="str">
        <f t="shared" si="27"/>
        <v/>
      </c>
      <c r="L59" s="4" t="str">
        <f t="shared" si="28"/>
        <v/>
      </c>
      <c r="M59" s="4" t="str">
        <f t="shared" si="29"/>
        <v/>
      </c>
      <c r="N59" s="4" t="str">
        <f t="shared" si="30"/>
        <v/>
      </c>
      <c r="O59" s="4" t="str">
        <f t="shared" si="31"/>
        <v/>
      </c>
      <c r="P59" s="4" t="str">
        <f t="shared" si="32"/>
        <v/>
      </c>
      <c r="Q59" s="4" t="str">
        <f t="shared" si="33"/>
        <v/>
      </c>
      <c r="R59" s="4" t="str">
        <f t="shared" si="34"/>
        <v/>
      </c>
      <c r="S59" s="5" t="str">
        <f t="shared" si="35"/>
        <v/>
      </c>
      <c r="T59" s="5" t="str">
        <f t="shared" si="36"/>
        <v/>
      </c>
      <c r="U59" s="205" t="str">
        <f t="shared" si="37"/>
        <v/>
      </c>
      <c r="V59" s="205" t="str">
        <f t="shared" si="38"/>
        <v/>
      </c>
      <c r="W59" s="205" t="str">
        <f t="shared" si="39"/>
        <v/>
      </c>
    </row>
    <row r="60" spans="1:23">
      <c r="A60" s="247" t="str">
        <f t="shared" si="22"/>
        <v/>
      </c>
      <c r="B60" s="248" t="str">
        <f t="shared" si="23"/>
        <v/>
      </c>
      <c r="C60" s="247" t="str">
        <f t="shared" si="24"/>
        <v/>
      </c>
      <c r="D60" s="189" t="str">
        <f t="shared" si="25"/>
        <v/>
      </c>
      <c r="E60" s="2">
        <v>40</v>
      </c>
      <c r="F60" s="15"/>
      <c r="G60" s="15"/>
      <c r="H60" s="2" t="str">
        <f t="shared" si="20"/>
        <v/>
      </c>
      <c r="I60" s="2" t="str">
        <f t="shared" si="26"/>
        <v/>
      </c>
      <c r="J60" s="3" t="str">
        <f t="shared" si="27"/>
        <v/>
      </c>
      <c r="L60" s="4" t="str">
        <f t="shared" si="28"/>
        <v/>
      </c>
      <c r="M60" s="4" t="str">
        <f t="shared" si="29"/>
        <v/>
      </c>
      <c r="N60" s="4" t="str">
        <f t="shared" si="30"/>
        <v/>
      </c>
      <c r="O60" s="4" t="str">
        <f t="shared" si="31"/>
        <v/>
      </c>
      <c r="P60" s="4" t="str">
        <f t="shared" si="32"/>
        <v/>
      </c>
      <c r="Q60" s="4" t="str">
        <f t="shared" si="33"/>
        <v/>
      </c>
      <c r="R60" s="4" t="str">
        <f t="shared" si="34"/>
        <v/>
      </c>
      <c r="S60" s="5" t="str">
        <f t="shared" si="35"/>
        <v/>
      </c>
      <c r="T60" s="5" t="str">
        <f t="shared" si="36"/>
        <v/>
      </c>
      <c r="U60" s="205" t="str">
        <f t="shared" si="37"/>
        <v/>
      </c>
      <c r="V60" s="205" t="str">
        <f t="shared" si="38"/>
        <v/>
      </c>
      <c r="W60" s="205" t="str">
        <f t="shared" si="39"/>
        <v/>
      </c>
    </row>
    <row r="61" spans="1:23">
      <c r="A61" s="247" t="str">
        <f t="shared" si="22"/>
        <v/>
      </c>
      <c r="B61" s="248" t="str">
        <f t="shared" si="23"/>
        <v/>
      </c>
      <c r="C61" s="247" t="str">
        <f t="shared" si="24"/>
        <v/>
      </c>
      <c r="D61" s="189" t="str">
        <f t="shared" si="25"/>
        <v/>
      </c>
      <c r="E61" s="2">
        <v>41</v>
      </c>
      <c r="F61" s="15"/>
      <c r="G61" s="15"/>
      <c r="H61" s="2" t="str">
        <f t="shared" si="20"/>
        <v/>
      </c>
      <c r="I61" s="2" t="str">
        <f t="shared" si="26"/>
        <v/>
      </c>
      <c r="J61" s="3" t="str">
        <f t="shared" si="27"/>
        <v/>
      </c>
      <c r="L61" s="4" t="str">
        <f t="shared" si="28"/>
        <v/>
      </c>
      <c r="M61" s="4" t="str">
        <f t="shared" si="29"/>
        <v/>
      </c>
      <c r="N61" s="4" t="str">
        <f t="shared" si="30"/>
        <v/>
      </c>
      <c r="O61" s="4" t="str">
        <f t="shared" si="31"/>
        <v/>
      </c>
      <c r="P61" s="4" t="str">
        <f t="shared" si="32"/>
        <v/>
      </c>
      <c r="Q61" s="4" t="str">
        <f t="shared" si="33"/>
        <v/>
      </c>
      <c r="R61" s="4" t="str">
        <f t="shared" si="34"/>
        <v/>
      </c>
      <c r="S61" s="5" t="str">
        <f t="shared" si="35"/>
        <v/>
      </c>
      <c r="T61" s="5" t="str">
        <f t="shared" si="36"/>
        <v/>
      </c>
      <c r="U61" s="205" t="str">
        <f t="shared" si="37"/>
        <v/>
      </c>
      <c r="V61" s="205" t="str">
        <f t="shared" si="38"/>
        <v/>
      </c>
      <c r="W61" s="205" t="str">
        <f t="shared" si="39"/>
        <v/>
      </c>
    </row>
    <row r="62" spans="1:23">
      <c r="A62" s="247" t="str">
        <f t="shared" si="22"/>
        <v/>
      </c>
      <c r="B62" s="248" t="str">
        <f t="shared" si="23"/>
        <v/>
      </c>
      <c r="C62" s="247" t="str">
        <f t="shared" si="24"/>
        <v/>
      </c>
      <c r="D62" s="189" t="str">
        <f t="shared" si="25"/>
        <v/>
      </c>
      <c r="E62" s="2">
        <v>42</v>
      </c>
      <c r="F62" s="15"/>
      <c r="G62" s="15"/>
      <c r="H62" s="2" t="str">
        <f t="shared" si="20"/>
        <v/>
      </c>
      <c r="I62" s="2" t="str">
        <f t="shared" si="26"/>
        <v/>
      </c>
      <c r="J62" s="3" t="str">
        <f t="shared" si="27"/>
        <v/>
      </c>
      <c r="L62" s="4" t="str">
        <f t="shared" si="28"/>
        <v/>
      </c>
      <c r="M62" s="4" t="str">
        <f t="shared" si="29"/>
        <v/>
      </c>
      <c r="N62" s="4" t="str">
        <f t="shared" si="30"/>
        <v/>
      </c>
      <c r="O62" s="4" t="str">
        <f t="shared" si="31"/>
        <v/>
      </c>
      <c r="P62" s="4" t="str">
        <f t="shared" si="32"/>
        <v/>
      </c>
      <c r="Q62" s="4" t="str">
        <f t="shared" si="33"/>
        <v/>
      </c>
      <c r="R62" s="4" t="str">
        <f t="shared" si="34"/>
        <v/>
      </c>
      <c r="S62" s="5" t="str">
        <f t="shared" si="35"/>
        <v/>
      </c>
      <c r="T62" s="5" t="str">
        <f t="shared" si="36"/>
        <v/>
      </c>
      <c r="U62" s="205" t="str">
        <f t="shared" si="37"/>
        <v/>
      </c>
      <c r="V62" s="205" t="str">
        <f t="shared" si="38"/>
        <v/>
      </c>
      <c r="W62" s="205" t="str">
        <f t="shared" si="39"/>
        <v/>
      </c>
    </row>
    <row r="63" spans="1:23">
      <c r="A63" s="247" t="str">
        <f t="shared" si="22"/>
        <v/>
      </c>
      <c r="B63" s="248" t="str">
        <f t="shared" si="23"/>
        <v/>
      </c>
      <c r="C63" s="247" t="str">
        <f t="shared" si="24"/>
        <v/>
      </c>
      <c r="D63" s="189" t="str">
        <f t="shared" si="25"/>
        <v/>
      </c>
      <c r="E63" s="2">
        <v>43</v>
      </c>
      <c r="F63" s="15"/>
      <c r="G63" s="15"/>
      <c r="H63" s="2" t="str">
        <f t="shared" si="20"/>
        <v/>
      </c>
      <c r="I63" s="2" t="str">
        <f t="shared" si="26"/>
        <v/>
      </c>
      <c r="J63" s="3" t="str">
        <f t="shared" si="27"/>
        <v/>
      </c>
      <c r="L63" s="4" t="str">
        <f t="shared" si="28"/>
        <v/>
      </c>
      <c r="M63" s="4" t="str">
        <f t="shared" si="29"/>
        <v/>
      </c>
      <c r="N63" s="4" t="str">
        <f t="shared" si="30"/>
        <v/>
      </c>
      <c r="O63" s="4" t="str">
        <f t="shared" si="31"/>
        <v/>
      </c>
      <c r="P63" s="4" t="str">
        <f t="shared" si="32"/>
        <v/>
      </c>
      <c r="Q63" s="4" t="str">
        <f t="shared" si="33"/>
        <v/>
      </c>
      <c r="R63" s="4" t="str">
        <f t="shared" si="34"/>
        <v/>
      </c>
      <c r="S63" s="5" t="str">
        <f t="shared" si="35"/>
        <v/>
      </c>
      <c r="T63" s="5" t="str">
        <f t="shared" si="36"/>
        <v/>
      </c>
      <c r="U63" s="205" t="str">
        <f t="shared" si="37"/>
        <v/>
      </c>
      <c r="V63" s="205" t="str">
        <f t="shared" si="38"/>
        <v/>
      </c>
      <c r="W63" s="205" t="str">
        <f t="shared" si="39"/>
        <v/>
      </c>
    </row>
    <row r="64" spans="1:23">
      <c r="A64" s="247" t="str">
        <f t="shared" si="22"/>
        <v/>
      </c>
      <c r="B64" s="248" t="str">
        <f t="shared" si="23"/>
        <v/>
      </c>
      <c r="C64" s="247" t="str">
        <f t="shared" si="24"/>
        <v/>
      </c>
      <c r="D64" s="189" t="str">
        <f t="shared" si="25"/>
        <v/>
      </c>
      <c r="E64" s="2">
        <v>44</v>
      </c>
      <c r="F64" s="15"/>
      <c r="G64" s="15"/>
      <c r="H64" s="2" t="str">
        <f t="shared" si="20"/>
        <v/>
      </c>
      <c r="I64" s="2" t="str">
        <f t="shared" si="26"/>
        <v/>
      </c>
      <c r="J64" s="3" t="str">
        <f t="shared" si="27"/>
        <v/>
      </c>
      <c r="L64" s="4" t="str">
        <f t="shared" si="28"/>
        <v/>
      </c>
      <c r="M64" s="4" t="str">
        <f t="shared" si="29"/>
        <v/>
      </c>
      <c r="N64" s="4" t="str">
        <f t="shared" si="30"/>
        <v/>
      </c>
      <c r="O64" s="4" t="str">
        <f t="shared" si="31"/>
        <v/>
      </c>
      <c r="P64" s="4" t="str">
        <f t="shared" si="32"/>
        <v/>
      </c>
      <c r="Q64" s="4" t="str">
        <f t="shared" si="33"/>
        <v/>
      </c>
      <c r="R64" s="4" t="str">
        <f t="shared" si="34"/>
        <v/>
      </c>
      <c r="S64" s="5" t="str">
        <f t="shared" si="35"/>
        <v/>
      </c>
      <c r="T64" s="5" t="str">
        <f t="shared" si="36"/>
        <v/>
      </c>
      <c r="U64" s="205" t="str">
        <f t="shared" si="37"/>
        <v/>
      </c>
      <c r="V64" s="205" t="str">
        <f t="shared" si="38"/>
        <v/>
      </c>
      <c r="W64" s="205" t="str">
        <f t="shared" si="39"/>
        <v/>
      </c>
    </row>
    <row r="65" spans="1:23">
      <c r="A65" s="247" t="str">
        <f t="shared" si="22"/>
        <v/>
      </c>
      <c r="B65" s="248" t="str">
        <f t="shared" si="23"/>
        <v/>
      </c>
      <c r="C65" s="247" t="str">
        <f t="shared" si="24"/>
        <v/>
      </c>
      <c r="D65" s="189" t="str">
        <f t="shared" si="25"/>
        <v/>
      </c>
      <c r="E65" s="2">
        <v>45</v>
      </c>
      <c r="F65" s="15"/>
      <c r="G65" s="15"/>
      <c r="H65" s="2" t="str">
        <f t="shared" si="20"/>
        <v/>
      </c>
      <c r="I65" s="2" t="str">
        <f t="shared" si="26"/>
        <v/>
      </c>
      <c r="J65" s="3" t="str">
        <f t="shared" si="27"/>
        <v/>
      </c>
      <c r="L65" s="4" t="str">
        <f t="shared" si="28"/>
        <v/>
      </c>
      <c r="M65" s="4" t="str">
        <f t="shared" si="29"/>
        <v/>
      </c>
      <c r="N65" s="4" t="str">
        <f t="shared" si="30"/>
        <v/>
      </c>
      <c r="O65" s="4" t="str">
        <f t="shared" si="31"/>
        <v/>
      </c>
      <c r="P65" s="4" t="str">
        <f t="shared" si="32"/>
        <v/>
      </c>
      <c r="Q65" s="4" t="str">
        <f t="shared" si="33"/>
        <v/>
      </c>
      <c r="R65" s="4" t="str">
        <f t="shared" si="34"/>
        <v/>
      </c>
      <c r="S65" s="5" t="str">
        <f t="shared" si="35"/>
        <v/>
      </c>
      <c r="T65" s="5" t="str">
        <f t="shared" si="36"/>
        <v/>
      </c>
      <c r="U65" s="205" t="str">
        <f t="shared" si="37"/>
        <v/>
      </c>
      <c r="V65" s="205" t="str">
        <f t="shared" si="38"/>
        <v/>
      </c>
      <c r="W65" s="205" t="str">
        <f t="shared" si="39"/>
        <v/>
      </c>
    </row>
    <row r="66" spans="1:23">
      <c r="A66" s="247" t="str">
        <f t="shared" si="22"/>
        <v/>
      </c>
      <c r="B66" s="248" t="str">
        <f t="shared" si="23"/>
        <v/>
      </c>
      <c r="C66" s="247" t="str">
        <f t="shared" si="24"/>
        <v/>
      </c>
      <c r="D66" s="189" t="str">
        <f t="shared" si="25"/>
        <v/>
      </c>
      <c r="E66" s="2">
        <v>46</v>
      </c>
      <c r="F66" s="15"/>
      <c r="G66" s="15"/>
      <c r="H66" s="2" t="str">
        <f t="shared" si="20"/>
        <v/>
      </c>
      <c r="I66" s="2" t="str">
        <f t="shared" si="26"/>
        <v/>
      </c>
      <c r="J66" s="3" t="str">
        <f t="shared" si="27"/>
        <v/>
      </c>
      <c r="L66" s="4" t="str">
        <f t="shared" si="28"/>
        <v/>
      </c>
      <c r="M66" s="4" t="str">
        <f t="shared" si="29"/>
        <v/>
      </c>
      <c r="N66" s="4" t="str">
        <f t="shared" si="30"/>
        <v/>
      </c>
      <c r="O66" s="4" t="str">
        <f t="shared" si="31"/>
        <v/>
      </c>
      <c r="P66" s="4" t="str">
        <f t="shared" si="32"/>
        <v/>
      </c>
      <c r="Q66" s="4" t="str">
        <f t="shared" si="33"/>
        <v/>
      </c>
      <c r="R66" s="4" t="str">
        <f t="shared" si="34"/>
        <v/>
      </c>
      <c r="S66" s="5" t="str">
        <f t="shared" si="35"/>
        <v/>
      </c>
      <c r="T66" s="5" t="str">
        <f t="shared" si="36"/>
        <v/>
      </c>
      <c r="U66" s="205" t="str">
        <f t="shared" si="37"/>
        <v/>
      </c>
      <c r="V66" s="205" t="str">
        <f t="shared" si="38"/>
        <v/>
      </c>
      <c r="W66" s="205" t="str">
        <f t="shared" si="39"/>
        <v/>
      </c>
    </row>
    <row r="67" spans="1:23">
      <c r="A67" s="247" t="str">
        <f t="shared" si="22"/>
        <v/>
      </c>
      <c r="B67" s="248" t="str">
        <f t="shared" si="23"/>
        <v/>
      </c>
      <c r="C67" s="247" t="str">
        <f t="shared" si="24"/>
        <v/>
      </c>
      <c r="D67" s="189" t="str">
        <f t="shared" si="25"/>
        <v/>
      </c>
      <c r="E67" s="2">
        <v>47</v>
      </c>
      <c r="F67" s="15"/>
      <c r="G67" s="15"/>
      <c r="H67" s="2" t="str">
        <f t="shared" si="20"/>
        <v/>
      </c>
      <c r="I67" s="2" t="str">
        <f t="shared" si="26"/>
        <v/>
      </c>
      <c r="J67" s="3" t="str">
        <f t="shared" si="27"/>
        <v/>
      </c>
      <c r="L67" s="4" t="str">
        <f t="shared" si="28"/>
        <v/>
      </c>
      <c r="M67" s="4" t="str">
        <f t="shared" si="29"/>
        <v/>
      </c>
      <c r="N67" s="4" t="str">
        <f t="shared" si="30"/>
        <v/>
      </c>
      <c r="O67" s="4" t="str">
        <f t="shared" si="31"/>
        <v/>
      </c>
      <c r="P67" s="4" t="str">
        <f t="shared" si="32"/>
        <v/>
      </c>
      <c r="Q67" s="4" t="str">
        <f t="shared" si="33"/>
        <v/>
      </c>
      <c r="R67" s="4" t="str">
        <f t="shared" si="34"/>
        <v/>
      </c>
      <c r="S67" s="5" t="str">
        <f t="shared" si="35"/>
        <v/>
      </c>
      <c r="T67" s="5" t="str">
        <f t="shared" si="36"/>
        <v/>
      </c>
      <c r="U67" s="205" t="str">
        <f t="shared" si="37"/>
        <v/>
      </c>
      <c r="V67" s="205" t="str">
        <f t="shared" si="38"/>
        <v/>
      </c>
      <c r="W67" s="205" t="str">
        <f t="shared" si="39"/>
        <v/>
      </c>
    </row>
    <row r="68" spans="1:23">
      <c r="A68" s="247" t="str">
        <f t="shared" si="22"/>
        <v/>
      </c>
      <c r="B68" s="248" t="str">
        <f t="shared" si="23"/>
        <v/>
      </c>
      <c r="C68" s="247" t="str">
        <f t="shared" si="24"/>
        <v/>
      </c>
      <c r="D68" s="189" t="str">
        <f t="shared" si="25"/>
        <v/>
      </c>
      <c r="E68" s="2">
        <v>48</v>
      </c>
      <c r="F68" s="15"/>
      <c r="G68" s="15"/>
      <c r="H68" s="2" t="str">
        <f t="shared" si="20"/>
        <v/>
      </c>
      <c r="I68" s="2" t="str">
        <f t="shared" si="26"/>
        <v/>
      </c>
      <c r="J68" s="3" t="str">
        <f t="shared" si="27"/>
        <v/>
      </c>
      <c r="L68" s="4" t="str">
        <f t="shared" si="28"/>
        <v/>
      </c>
      <c r="M68" s="4" t="str">
        <f t="shared" si="29"/>
        <v/>
      </c>
      <c r="N68" s="4" t="str">
        <f t="shared" si="30"/>
        <v/>
      </c>
      <c r="O68" s="4" t="str">
        <f t="shared" si="31"/>
        <v/>
      </c>
      <c r="P68" s="4" t="str">
        <f t="shared" si="32"/>
        <v/>
      </c>
      <c r="Q68" s="4" t="str">
        <f t="shared" si="33"/>
        <v/>
      </c>
      <c r="R68" s="4" t="str">
        <f t="shared" si="34"/>
        <v/>
      </c>
      <c r="S68" s="5" t="str">
        <f t="shared" si="35"/>
        <v/>
      </c>
      <c r="T68" s="5" t="str">
        <f t="shared" si="36"/>
        <v/>
      </c>
      <c r="U68" s="205" t="str">
        <f t="shared" si="37"/>
        <v/>
      </c>
      <c r="V68" s="205" t="str">
        <f t="shared" si="38"/>
        <v/>
      </c>
      <c r="W68" s="205" t="str">
        <f t="shared" si="39"/>
        <v/>
      </c>
    </row>
    <row r="69" spans="1:23">
      <c r="A69" s="247" t="str">
        <f t="shared" si="22"/>
        <v/>
      </c>
      <c r="B69" s="248" t="str">
        <f t="shared" si="23"/>
        <v/>
      </c>
      <c r="C69" s="247" t="str">
        <f t="shared" si="24"/>
        <v/>
      </c>
      <c r="D69" s="189" t="str">
        <f t="shared" si="25"/>
        <v/>
      </c>
      <c r="E69" s="2">
        <v>49</v>
      </c>
      <c r="F69" s="15"/>
      <c r="G69" s="15"/>
      <c r="H69" s="2" t="str">
        <f t="shared" si="20"/>
        <v/>
      </c>
      <c r="I69" s="2" t="str">
        <f t="shared" si="26"/>
        <v/>
      </c>
      <c r="J69" s="3" t="str">
        <f t="shared" si="27"/>
        <v/>
      </c>
      <c r="L69" s="4" t="str">
        <f t="shared" si="28"/>
        <v/>
      </c>
      <c r="M69" s="4" t="str">
        <f t="shared" si="29"/>
        <v/>
      </c>
      <c r="N69" s="4" t="str">
        <f t="shared" si="30"/>
        <v/>
      </c>
      <c r="O69" s="4" t="str">
        <f t="shared" si="31"/>
        <v/>
      </c>
      <c r="P69" s="4" t="str">
        <f t="shared" si="32"/>
        <v/>
      </c>
      <c r="Q69" s="4" t="str">
        <f t="shared" si="33"/>
        <v/>
      </c>
      <c r="R69" s="4" t="str">
        <f t="shared" si="34"/>
        <v/>
      </c>
      <c r="S69" s="5" t="str">
        <f t="shared" si="35"/>
        <v/>
      </c>
      <c r="T69" s="5" t="str">
        <f t="shared" si="36"/>
        <v/>
      </c>
      <c r="U69" s="205" t="str">
        <f t="shared" si="37"/>
        <v/>
      </c>
      <c r="V69" s="205" t="str">
        <f t="shared" si="38"/>
        <v/>
      </c>
      <c r="W69" s="205" t="str">
        <f t="shared" si="39"/>
        <v/>
      </c>
    </row>
    <row r="70" spans="1:23">
      <c r="A70" s="247" t="str">
        <f t="shared" si="22"/>
        <v/>
      </c>
      <c r="B70" s="248" t="str">
        <f t="shared" si="23"/>
        <v/>
      </c>
      <c r="C70" s="247" t="str">
        <f t="shared" si="24"/>
        <v/>
      </c>
      <c r="D70" s="189" t="str">
        <f t="shared" si="25"/>
        <v/>
      </c>
      <c r="E70" s="2">
        <v>50</v>
      </c>
      <c r="F70" s="15"/>
      <c r="G70" s="15"/>
      <c r="H70" s="2" t="str">
        <f t="shared" si="20"/>
        <v/>
      </c>
      <c r="I70" s="2" t="str">
        <f t="shared" si="26"/>
        <v/>
      </c>
      <c r="J70" s="3" t="str">
        <f t="shared" si="27"/>
        <v/>
      </c>
      <c r="L70" s="4" t="str">
        <f t="shared" si="28"/>
        <v/>
      </c>
      <c r="M70" s="4" t="str">
        <f t="shared" si="29"/>
        <v/>
      </c>
      <c r="N70" s="4" t="str">
        <f t="shared" si="30"/>
        <v/>
      </c>
      <c r="O70" s="4" t="str">
        <f t="shared" si="31"/>
        <v/>
      </c>
      <c r="P70" s="4" t="str">
        <f t="shared" si="32"/>
        <v/>
      </c>
      <c r="Q70" s="4" t="str">
        <f t="shared" si="33"/>
        <v/>
      </c>
      <c r="R70" s="4" t="str">
        <f t="shared" si="34"/>
        <v/>
      </c>
      <c r="S70" s="5" t="str">
        <f t="shared" si="35"/>
        <v/>
      </c>
      <c r="T70" s="5" t="str">
        <f t="shared" si="36"/>
        <v/>
      </c>
      <c r="U70" s="205" t="str">
        <f t="shared" si="37"/>
        <v/>
      </c>
      <c r="V70" s="205" t="str">
        <f t="shared" si="38"/>
        <v/>
      </c>
      <c r="W70" s="205" t="str">
        <f t="shared" si="39"/>
        <v/>
      </c>
    </row>
    <row r="71" spans="1:23">
      <c r="A71" s="247" t="str">
        <f t="shared" si="22"/>
        <v/>
      </c>
      <c r="B71" s="248" t="str">
        <f t="shared" si="23"/>
        <v/>
      </c>
      <c r="C71" s="247" t="str">
        <f t="shared" si="24"/>
        <v/>
      </c>
      <c r="D71" s="189" t="str">
        <f t="shared" si="25"/>
        <v/>
      </c>
      <c r="E71" s="2">
        <v>51</v>
      </c>
      <c r="F71" s="15"/>
      <c r="G71" s="15"/>
      <c r="H71" s="2" t="str">
        <f t="shared" si="20"/>
        <v/>
      </c>
      <c r="I71" s="2" t="str">
        <f t="shared" si="26"/>
        <v/>
      </c>
      <c r="J71" s="3" t="str">
        <f t="shared" si="27"/>
        <v/>
      </c>
      <c r="L71" s="4" t="str">
        <f t="shared" si="28"/>
        <v/>
      </c>
      <c r="M71" s="4" t="str">
        <f t="shared" si="29"/>
        <v/>
      </c>
      <c r="N71" s="4" t="str">
        <f t="shared" si="30"/>
        <v/>
      </c>
      <c r="O71" s="4" t="str">
        <f t="shared" si="31"/>
        <v/>
      </c>
      <c r="P71" s="4" t="str">
        <f t="shared" si="32"/>
        <v/>
      </c>
      <c r="Q71" s="4" t="str">
        <f t="shared" si="33"/>
        <v/>
      </c>
      <c r="R71" s="4" t="str">
        <f t="shared" si="34"/>
        <v/>
      </c>
      <c r="S71" s="5" t="str">
        <f t="shared" si="35"/>
        <v/>
      </c>
      <c r="T71" s="5" t="str">
        <f t="shared" si="36"/>
        <v/>
      </c>
      <c r="U71" s="205" t="str">
        <f t="shared" si="37"/>
        <v/>
      </c>
      <c r="V71" s="205" t="str">
        <f t="shared" si="38"/>
        <v/>
      </c>
      <c r="W71" s="205" t="str">
        <f t="shared" si="39"/>
        <v/>
      </c>
    </row>
    <row r="72" spans="1:23">
      <c r="A72" s="247" t="str">
        <f t="shared" si="22"/>
        <v/>
      </c>
      <c r="B72" s="248" t="str">
        <f t="shared" si="23"/>
        <v/>
      </c>
      <c r="C72" s="247" t="str">
        <f t="shared" si="24"/>
        <v/>
      </c>
      <c r="D72" s="189" t="str">
        <f t="shared" si="25"/>
        <v/>
      </c>
      <c r="E72" s="2">
        <v>52</v>
      </c>
      <c r="F72" s="15"/>
      <c r="G72" s="15"/>
      <c r="H72" s="2" t="str">
        <f t="shared" si="20"/>
        <v/>
      </c>
      <c r="I72" s="2" t="str">
        <f t="shared" si="26"/>
        <v/>
      </c>
      <c r="J72" s="3" t="str">
        <f t="shared" si="27"/>
        <v/>
      </c>
      <c r="L72" s="4" t="str">
        <f t="shared" si="28"/>
        <v/>
      </c>
      <c r="M72" s="4" t="str">
        <f t="shared" si="29"/>
        <v/>
      </c>
      <c r="N72" s="4" t="str">
        <f t="shared" si="30"/>
        <v/>
      </c>
      <c r="O72" s="4" t="str">
        <f t="shared" si="31"/>
        <v/>
      </c>
      <c r="P72" s="4" t="str">
        <f t="shared" si="32"/>
        <v/>
      </c>
      <c r="Q72" s="4" t="str">
        <f t="shared" si="33"/>
        <v/>
      </c>
      <c r="R72" s="4" t="str">
        <f t="shared" si="34"/>
        <v/>
      </c>
      <c r="S72" s="5" t="str">
        <f t="shared" si="35"/>
        <v/>
      </c>
      <c r="T72" s="5" t="str">
        <f t="shared" si="36"/>
        <v/>
      </c>
      <c r="U72" s="205" t="str">
        <f t="shared" si="37"/>
        <v/>
      </c>
      <c r="V72" s="205" t="str">
        <f t="shared" si="38"/>
        <v/>
      </c>
      <c r="W72" s="205" t="str">
        <f t="shared" si="39"/>
        <v/>
      </c>
    </row>
    <row r="73" spans="1:23">
      <c r="A73" s="247" t="str">
        <f t="shared" si="22"/>
        <v/>
      </c>
      <c r="B73" s="248" t="str">
        <f t="shared" si="23"/>
        <v/>
      </c>
      <c r="C73" s="247" t="str">
        <f t="shared" si="24"/>
        <v/>
      </c>
      <c r="D73" s="189" t="str">
        <f t="shared" si="25"/>
        <v/>
      </c>
      <c r="E73" s="2">
        <v>53</v>
      </c>
      <c r="F73" s="15"/>
      <c r="G73" s="15"/>
      <c r="H73" s="2" t="str">
        <f t="shared" si="20"/>
        <v/>
      </c>
      <c r="I73" s="2" t="str">
        <f t="shared" si="26"/>
        <v/>
      </c>
      <c r="J73" s="3" t="str">
        <f t="shared" si="27"/>
        <v/>
      </c>
      <c r="L73" s="4" t="str">
        <f t="shared" si="28"/>
        <v/>
      </c>
      <c r="M73" s="4" t="str">
        <f t="shared" si="29"/>
        <v/>
      </c>
      <c r="N73" s="4" t="str">
        <f t="shared" si="30"/>
        <v/>
      </c>
      <c r="O73" s="4" t="str">
        <f t="shared" si="31"/>
        <v/>
      </c>
      <c r="P73" s="4" t="str">
        <f t="shared" si="32"/>
        <v/>
      </c>
      <c r="Q73" s="4" t="str">
        <f t="shared" si="33"/>
        <v/>
      </c>
      <c r="R73" s="4" t="str">
        <f t="shared" si="34"/>
        <v/>
      </c>
      <c r="S73" s="5" t="str">
        <f t="shared" si="35"/>
        <v/>
      </c>
      <c r="T73" s="5" t="str">
        <f t="shared" si="36"/>
        <v/>
      </c>
      <c r="U73" s="205" t="str">
        <f t="shared" si="37"/>
        <v/>
      </c>
      <c r="V73" s="205" t="str">
        <f t="shared" si="38"/>
        <v/>
      </c>
      <c r="W73" s="205" t="str">
        <f t="shared" si="39"/>
        <v/>
      </c>
    </row>
    <row r="74" spans="1:23">
      <c r="A74" s="247" t="str">
        <f t="shared" si="22"/>
        <v/>
      </c>
      <c r="B74" s="248" t="str">
        <f t="shared" si="23"/>
        <v/>
      </c>
      <c r="C74" s="247" t="str">
        <f t="shared" si="24"/>
        <v/>
      </c>
      <c r="D74" s="189" t="str">
        <f t="shared" si="25"/>
        <v/>
      </c>
      <c r="E74" s="2">
        <v>54</v>
      </c>
      <c r="F74" s="15"/>
      <c r="G74" s="15"/>
      <c r="H74" s="2" t="str">
        <f t="shared" si="20"/>
        <v/>
      </c>
      <c r="I74" s="2" t="str">
        <f t="shared" si="26"/>
        <v/>
      </c>
      <c r="J74" s="3" t="str">
        <f t="shared" si="27"/>
        <v/>
      </c>
      <c r="L74" s="4" t="str">
        <f t="shared" si="28"/>
        <v/>
      </c>
      <c r="M74" s="4" t="str">
        <f t="shared" si="29"/>
        <v/>
      </c>
      <c r="N74" s="4" t="str">
        <f t="shared" si="30"/>
        <v/>
      </c>
      <c r="O74" s="4" t="str">
        <f t="shared" si="31"/>
        <v/>
      </c>
      <c r="P74" s="4" t="str">
        <f t="shared" si="32"/>
        <v/>
      </c>
      <c r="Q74" s="4" t="str">
        <f t="shared" si="33"/>
        <v/>
      </c>
      <c r="R74" s="4" t="str">
        <f t="shared" si="34"/>
        <v/>
      </c>
      <c r="S74" s="5" t="str">
        <f t="shared" si="35"/>
        <v/>
      </c>
      <c r="T74" s="5" t="str">
        <f t="shared" si="36"/>
        <v/>
      </c>
      <c r="U74" s="205" t="str">
        <f t="shared" si="37"/>
        <v/>
      </c>
      <c r="V74" s="205" t="str">
        <f t="shared" si="38"/>
        <v/>
      </c>
      <c r="W74" s="205" t="str">
        <f t="shared" si="39"/>
        <v/>
      </c>
    </row>
    <row r="75" spans="1:23">
      <c r="A75" s="247" t="str">
        <f t="shared" si="22"/>
        <v/>
      </c>
      <c r="B75" s="248" t="str">
        <f t="shared" si="23"/>
        <v/>
      </c>
      <c r="C75" s="247" t="str">
        <f t="shared" si="24"/>
        <v/>
      </c>
      <c r="D75" s="189" t="str">
        <f t="shared" si="25"/>
        <v/>
      </c>
      <c r="E75" s="2">
        <v>55</v>
      </c>
      <c r="F75" s="15"/>
      <c r="G75" s="15"/>
      <c r="H75" s="2" t="str">
        <f t="shared" si="20"/>
        <v/>
      </c>
      <c r="I75" s="2" t="str">
        <f t="shared" si="26"/>
        <v/>
      </c>
      <c r="J75" s="3" t="str">
        <f t="shared" si="27"/>
        <v/>
      </c>
      <c r="L75" s="4" t="str">
        <f t="shared" si="28"/>
        <v/>
      </c>
      <c r="M75" s="4" t="str">
        <f t="shared" si="29"/>
        <v/>
      </c>
      <c r="N75" s="4" t="str">
        <f t="shared" si="30"/>
        <v/>
      </c>
      <c r="O75" s="4" t="str">
        <f t="shared" si="31"/>
        <v/>
      </c>
      <c r="P75" s="4" t="str">
        <f t="shared" si="32"/>
        <v/>
      </c>
      <c r="Q75" s="4" t="str">
        <f t="shared" si="33"/>
        <v/>
      </c>
      <c r="R75" s="4" t="str">
        <f t="shared" si="34"/>
        <v/>
      </c>
      <c r="S75" s="5" t="str">
        <f t="shared" si="35"/>
        <v/>
      </c>
      <c r="T75" s="5" t="str">
        <f t="shared" si="36"/>
        <v/>
      </c>
      <c r="U75" s="205" t="str">
        <f t="shared" si="37"/>
        <v/>
      </c>
      <c r="V75" s="205" t="str">
        <f t="shared" si="38"/>
        <v/>
      </c>
      <c r="W75" s="205" t="str">
        <f t="shared" si="39"/>
        <v/>
      </c>
    </row>
    <row r="76" spans="1:23">
      <c r="A76" s="247" t="str">
        <f t="shared" si="22"/>
        <v/>
      </c>
      <c r="B76" s="248" t="str">
        <f t="shared" si="23"/>
        <v/>
      </c>
      <c r="C76" s="247" t="str">
        <f t="shared" si="24"/>
        <v/>
      </c>
      <c r="D76" s="189" t="str">
        <f t="shared" si="25"/>
        <v/>
      </c>
      <c r="E76" s="2">
        <v>56</v>
      </c>
      <c r="F76" s="15"/>
      <c r="G76" s="15"/>
      <c r="H76" s="2" t="str">
        <f t="shared" si="20"/>
        <v/>
      </c>
      <c r="I76" s="2" t="str">
        <f t="shared" si="26"/>
        <v/>
      </c>
      <c r="J76" s="3" t="str">
        <f t="shared" si="27"/>
        <v/>
      </c>
      <c r="L76" s="4" t="str">
        <f t="shared" si="28"/>
        <v/>
      </c>
      <c r="M76" s="4" t="str">
        <f t="shared" si="29"/>
        <v/>
      </c>
      <c r="N76" s="4" t="str">
        <f t="shared" si="30"/>
        <v/>
      </c>
      <c r="O76" s="4" t="str">
        <f t="shared" si="31"/>
        <v/>
      </c>
      <c r="P76" s="4" t="str">
        <f t="shared" si="32"/>
        <v/>
      </c>
      <c r="Q76" s="4" t="str">
        <f t="shared" si="33"/>
        <v/>
      </c>
      <c r="R76" s="4" t="str">
        <f t="shared" si="34"/>
        <v/>
      </c>
      <c r="S76" s="5" t="str">
        <f t="shared" si="35"/>
        <v/>
      </c>
      <c r="T76" s="5" t="str">
        <f t="shared" si="36"/>
        <v/>
      </c>
      <c r="U76" s="205" t="str">
        <f t="shared" si="37"/>
        <v/>
      </c>
      <c r="V76" s="205" t="str">
        <f t="shared" si="38"/>
        <v/>
      </c>
      <c r="W76" s="205" t="str">
        <f t="shared" si="39"/>
        <v/>
      </c>
    </row>
    <row r="77" spans="1:23">
      <c r="A77" s="247" t="str">
        <f t="shared" si="22"/>
        <v/>
      </c>
      <c r="B77" s="248" t="str">
        <f t="shared" si="23"/>
        <v/>
      </c>
      <c r="C77" s="247" t="str">
        <f t="shared" si="24"/>
        <v/>
      </c>
      <c r="D77" s="189" t="str">
        <f t="shared" si="25"/>
        <v/>
      </c>
      <c r="E77" s="2">
        <v>57</v>
      </c>
      <c r="F77" s="15"/>
      <c r="G77" s="15"/>
      <c r="H77" s="2" t="str">
        <f t="shared" si="20"/>
        <v/>
      </c>
      <c r="I77" s="2" t="str">
        <f t="shared" si="26"/>
        <v/>
      </c>
      <c r="J77" s="3" t="str">
        <f t="shared" si="27"/>
        <v/>
      </c>
      <c r="L77" s="4" t="str">
        <f t="shared" si="28"/>
        <v/>
      </c>
      <c r="M77" s="4" t="str">
        <f t="shared" si="29"/>
        <v/>
      </c>
      <c r="N77" s="4" t="str">
        <f t="shared" si="30"/>
        <v/>
      </c>
      <c r="O77" s="4" t="str">
        <f t="shared" si="31"/>
        <v/>
      </c>
      <c r="P77" s="4" t="str">
        <f t="shared" si="32"/>
        <v/>
      </c>
      <c r="Q77" s="4" t="str">
        <f t="shared" si="33"/>
        <v/>
      </c>
      <c r="R77" s="4" t="str">
        <f t="shared" si="34"/>
        <v/>
      </c>
      <c r="S77" s="5" t="str">
        <f t="shared" si="35"/>
        <v/>
      </c>
      <c r="T77" s="5" t="str">
        <f t="shared" si="36"/>
        <v/>
      </c>
      <c r="U77" s="205" t="str">
        <f t="shared" si="37"/>
        <v/>
      </c>
      <c r="V77" s="205" t="str">
        <f t="shared" si="38"/>
        <v/>
      </c>
      <c r="W77" s="205" t="str">
        <f t="shared" si="39"/>
        <v/>
      </c>
    </row>
    <row r="78" spans="1:23">
      <c r="A78" s="247" t="str">
        <f t="shared" si="22"/>
        <v/>
      </c>
      <c r="B78" s="248" t="str">
        <f t="shared" si="23"/>
        <v/>
      </c>
      <c r="C78" s="247" t="str">
        <f t="shared" si="24"/>
        <v/>
      </c>
      <c r="D78" s="189" t="str">
        <f t="shared" si="25"/>
        <v/>
      </c>
      <c r="E78" s="2">
        <v>58</v>
      </c>
      <c r="F78" s="15"/>
      <c r="G78" s="15"/>
      <c r="H78" s="2" t="str">
        <f t="shared" si="20"/>
        <v/>
      </c>
      <c r="I78" s="2" t="str">
        <f t="shared" si="26"/>
        <v/>
      </c>
      <c r="J78" s="3" t="str">
        <f t="shared" si="27"/>
        <v/>
      </c>
      <c r="L78" s="4" t="str">
        <f t="shared" si="28"/>
        <v/>
      </c>
      <c r="M78" s="4" t="str">
        <f t="shared" si="29"/>
        <v/>
      </c>
      <c r="N78" s="4" t="str">
        <f t="shared" si="30"/>
        <v/>
      </c>
      <c r="O78" s="4" t="str">
        <f t="shared" si="31"/>
        <v/>
      </c>
      <c r="P78" s="4" t="str">
        <f t="shared" si="32"/>
        <v/>
      </c>
      <c r="Q78" s="4" t="str">
        <f t="shared" si="33"/>
        <v/>
      </c>
      <c r="R78" s="4" t="str">
        <f t="shared" si="34"/>
        <v/>
      </c>
      <c r="S78" s="5" t="str">
        <f t="shared" si="35"/>
        <v/>
      </c>
      <c r="T78" s="5" t="str">
        <f t="shared" si="36"/>
        <v/>
      </c>
      <c r="U78" s="205" t="str">
        <f t="shared" si="37"/>
        <v/>
      </c>
      <c r="V78" s="205" t="str">
        <f t="shared" si="38"/>
        <v/>
      </c>
      <c r="W78" s="205" t="str">
        <f t="shared" si="39"/>
        <v/>
      </c>
    </row>
    <row r="79" spans="1:23">
      <c r="A79" s="247" t="str">
        <f t="shared" si="22"/>
        <v/>
      </c>
      <c r="B79" s="248" t="str">
        <f t="shared" si="23"/>
        <v/>
      </c>
      <c r="C79" s="247" t="str">
        <f t="shared" si="24"/>
        <v/>
      </c>
      <c r="D79" s="189" t="str">
        <f t="shared" si="25"/>
        <v/>
      </c>
      <c r="E79" s="2">
        <v>59</v>
      </c>
      <c r="F79" s="15"/>
      <c r="G79" s="15"/>
      <c r="H79" s="2" t="str">
        <f t="shared" si="20"/>
        <v/>
      </c>
      <c r="I79" s="2" t="str">
        <f t="shared" si="26"/>
        <v/>
      </c>
      <c r="J79" s="3" t="str">
        <f t="shared" si="27"/>
        <v/>
      </c>
      <c r="L79" s="4" t="str">
        <f t="shared" si="28"/>
        <v/>
      </c>
      <c r="M79" s="4" t="str">
        <f t="shared" si="29"/>
        <v/>
      </c>
      <c r="N79" s="4" t="str">
        <f t="shared" si="30"/>
        <v/>
      </c>
      <c r="O79" s="4" t="str">
        <f t="shared" si="31"/>
        <v/>
      </c>
      <c r="P79" s="4" t="str">
        <f t="shared" si="32"/>
        <v/>
      </c>
      <c r="Q79" s="4" t="str">
        <f t="shared" si="33"/>
        <v/>
      </c>
      <c r="R79" s="4" t="str">
        <f t="shared" si="34"/>
        <v/>
      </c>
      <c r="S79" s="5" t="str">
        <f t="shared" si="35"/>
        <v/>
      </c>
      <c r="T79" s="5" t="str">
        <f t="shared" si="36"/>
        <v/>
      </c>
      <c r="U79" s="205" t="str">
        <f t="shared" si="37"/>
        <v/>
      </c>
      <c r="V79" s="205" t="str">
        <f t="shared" si="38"/>
        <v/>
      </c>
      <c r="W79" s="205" t="str">
        <f t="shared" si="39"/>
        <v/>
      </c>
    </row>
    <row r="80" spans="1:23">
      <c r="A80" s="247" t="str">
        <f t="shared" si="22"/>
        <v/>
      </c>
      <c r="B80" s="248" t="str">
        <f t="shared" si="23"/>
        <v/>
      </c>
      <c r="C80" s="247" t="str">
        <f t="shared" si="24"/>
        <v/>
      </c>
      <c r="D80" s="189" t="str">
        <f t="shared" si="25"/>
        <v/>
      </c>
      <c r="E80" s="2">
        <v>60</v>
      </c>
      <c r="F80" s="15"/>
      <c r="G80" s="15"/>
      <c r="H80" s="2" t="str">
        <f t="shared" si="20"/>
        <v/>
      </c>
      <c r="I80" s="2" t="str">
        <f t="shared" si="26"/>
        <v/>
      </c>
      <c r="J80" s="3" t="str">
        <f t="shared" si="27"/>
        <v/>
      </c>
      <c r="L80" s="4" t="str">
        <f t="shared" si="28"/>
        <v/>
      </c>
      <c r="M80" s="4" t="str">
        <f t="shared" si="29"/>
        <v/>
      </c>
      <c r="N80" s="4" t="str">
        <f t="shared" si="30"/>
        <v/>
      </c>
      <c r="O80" s="4" t="str">
        <f t="shared" si="31"/>
        <v/>
      </c>
      <c r="P80" s="4" t="str">
        <f t="shared" si="32"/>
        <v/>
      </c>
      <c r="Q80" s="4" t="str">
        <f t="shared" si="33"/>
        <v/>
      </c>
      <c r="R80" s="4" t="str">
        <f t="shared" si="34"/>
        <v/>
      </c>
      <c r="S80" s="5" t="str">
        <f t="shared" si="35"/>
        <v/>
      </c>
      <c r="T80" s="5" t="str">
        <f t="shared" si="36"/>
        <v/>
      </c>
      <c r="U80" s="205" t="str">
        <f t="shared" si="37"/>
        <v/>
      </c>
      <c r="V80" s="205" t="str">
        <f t="shared" si="38"/>
        <v/>
      </c>
      <c r="W80" s="205" t="str">
        <f t="shared" si="39"/>
        <v/>
      </c>
    </row>
    <row r="81" spans="1:23">
      <c r="A81" s="247" t="str">
        <f t="shared" si="22"/>
        <v/>
      </c>
      <c r="B81" s="248" t="str">
        <f t="shared" si="23"/>
        <v/>
      </c>
      <c r="C81" s="247" t="str">
        <f t="shared" si="24"/>
        <v/>
      </c>
      <c r="D81" s="189" t="str">
        <f t="shared" si="25"/>
        <v/>
      </c>
      <c r="E81" s="2">
        <v>61</v>
      </c>
      <c r="F81" s="15"/>
      <c r="G81" s="15"/>
      <c r="H81" s="2" t="str">
        <f t="shared" si="20"/>
        <v/>
      </c>
      <c r="I81" s="2" t="str">
        <f t="shared" si="26"/>
        <v/>
      </c>
      <c r="J81" s="3" t="str">
        <f t="shared" si="27"/>
        <v/>
      </c>
      <c r="L81" s="4" t="str">
        <f t="shared" si="28"/>
        <v/>
      </c>
      <c r="M81" s="4" t="str">
        <f t="shared" si="29"/>
        <v/>
      </c>
      <c r="N81" s="4" t="str">
        <f t="shared" si="30"/>
        <v/>
      </c>
      <c r="O81" s="4" t="str">
        <f t="shared" si="31"/>
        <v/>
      </c>
      <c r="P81" s="4" t="str">
        <f t="shared" si="32"/>
        <v/>
      </c>
      <c r="Q81" s="4" t="str">
        <f t="shared" si="33"/>
        <v/>
      </c>
      <c r="R81" s="4" t="str">
        <f t="shared" si="34"/>
        <v/>
      </c>
      <c r="S81" s="5" t="str">
        <f t="shared" si="35"/>
        <v/>
      </c>
      <c r="T81" s="5" t="str">
        <f t="shared" si="36"/>
        <v/>
      </c>
      <c r="U81" s="205" t="str">
        <f t="shared" si="37"/>
        <v/>
      </c>
      <c r="V81" s="205" t="str">
        <f t="shared" si="38"/>
        <v/>
      </c>
      <c r="W81" s="205" t="str">
        <f t="shared" si="39"/>
        <v/>
      </c>
    </row>
    <row r="82" spans="1:23">
      <c r="A82" s="247" t="str">
        <f t="shared" si="22"/>
        <v/>
      </c>
      <c r="B82" s="248" t="str">
        <f t="shared" si="23"/>
        <v/>
      </c>
      <c r="C82" s="247" t="str">
        <f t="shared" si="24"/>
        <v/>
      </c>
      <c r="D82" s="189" t="str">
        <f t="shared" si="25"/>
        <v/>
      </c>
      <c r="E82" s="2">
        <v>62</v>
      </c>
      <c r="F82" s="15"/>
      <c r="G82" s="15"/>
      <c r="H82" s="2" t="str">
        <f t="shared" si="20"/>
        <v/>
      </c>
      <c r="I82" s="2" t="str">
        <f t="shared" si="26"/>
        <v/>
      </c>
      <c r="J82" s="3" t="str">
        <f t="shared" si="27"/>
        <v/>
      </c>
      <c r="L82" s="4" t="str">
        <f t="shared" si="28"/>
        <v/>
      </c>
      <c r="M82" s="4" t="str">
        <f t="shared" si="29"/>
        <v/>
      </c>
      <c r="N82" s="4" t="str">
        <f t="shared" si="30"/>
        <v/>
      </c>
      <c r="O82" s="4" t="str">
        <f t="shared" si="31"/>
        <v/>
      </c>
      <c r="P82" s="4" t="str">
        <f t="shared" si="32"/>
        <v/>
      </c>
      <c r="Q82" s="4" t="str">
        <f t="shared" si="33"/>
        <v/>
      </c>
      <c r="R82" s="4" t="str">
        <f t="shared" si="34"/>
        <v/>
      </c>
      <c r="S82" s="5" t="str">
        <f t="shared" si="35"/>
        <v/>
      </c>
      <c r="T82" s="5" t="str">
        <f t="shared" si="36"/>
        <v/>
      </c>
      <c r="U82" s="205" t="str">
        <f t="shared" si="37"/>
        <v/>
      </c>
      <c r="V82" s="205" t="str">
        <f t="shared" si="38"/>
        <v/>
      </c>
      <c r="W82" s="205" t="str">
        <f t="shared" si="39"/>
        <v/>
      </c>
    </row>
    <row r="83" spans="1:23">
      <c r="A83" s="247" t="str">
        <f t="shared" si="22"/>
        <v/>
      </c>
      <c r="B83" s="248" t="str">
        <f t="shared" si="23"/>
        <v/>
      </c>
      <c r="C83" s="247" t="str">
        <f t="shared" si="24"/>
        <v/>
      </c>
      <c r="D83" s="189" t="str">
        <f t="shared" si="25"/>
        <v/>
      </c>
      <c r="E83" s="2">
        <v>63</v>
      </c>
      <c r="F83" s="15"/>
      <c r="G83" s="15"/>
      <c r="H83" s="2" t="str">
        <f t="shared" si="20"/>
        <v/>
      </c>
      <c r="I83" s="2" t="str">
        <f t="shared" si="26"/>
        <v/>
      </c>
      <c r="J83" s="3" t="str">
        <f t="shared" si="27"/>
        <v/>
      </c>
      <c r="L83" s="4" t="str">
        <f t="shared" si="28"/>
        <v/>
      </c>
      <c r="M83" s="4" t="str">
        <f t="shared" si="29"/>
        <v/>
      </c>
      <c r="N83" s="4" t="str">
        <f t="shared" si="30"/>
        <v/>
      </c>
      <c r="O83" s="4" t="str">
        <f t="shared" si="31"/>
        <v/>
      </c>
      <c r="P83" s="4" t="str">
        <f t="shared" si="32"/>
        <v/>
      </c>
      <c r="Q83" s="4" t="str">
        <f t="shared" si="33"/>
        <v/>
      </c>
      <c r="R83" s="4" t="str">
        <f t="shared" si="34"/>
        <v/>
      </c>
      <c r="S83" s="5" t="str">
        <f t="shared" si="35"/>
        <v/>
      </c>
      <c r="T83" s="5" t="str">
        <f t="shared" si="36"/>
        <v/>
      </c>
      <c r="U83" s="205" t="str">
        <f t="shared" si="37"/>
        <v/>
      </c>
      <c r="V83" s="205" t="str">
        <f t="shared" si="38"/>
        <v/>
      </c>
      <c r="W83" s="205" t="str">
        <f t="shared" si="39"/>
        <v/>
      </c>
    </row>
    <row r="84" spans="1:23">
      <c r="A84" s="247" t="str">
        <f t="shared" si="22"/>
        <v/>
      </c>
      <c r="B84" s="248" t="str">
        <f t="shared" si="23"/>
        <v/>
      </c>
      <c r="C84" s="247" t="str">
        <f t="shared" si="24"/>
        <v/>
      </c>
      <c r="D84" s="189" t="str">
        <f t="shared" si="25"/>
        <v/>
      </c>
      <c r="E84" s="2">
        <v>64</v>
      </c>
      <c r="F84" s="15"/>
      <c r="G84" s="15"/>
      <c r="H84" s="2" t="str">
        <f t="shared" si="20"/>
        <v/>
      </c>
      <c r="I84" s="2" t="str">
        <f t="shared" si="26"/>
        <v/>
      </c>
      <c r="J84" s="3" t="str">
        <f t="shared" si="27"/>
        <v/>
      </c>
      <c r="L84" s="4" t="str">
        <f t="shared" si="28"/>
        <v/>
      </c>
      <c r="M84" s="4" t="str">
        <f t="shared" si="29"/>
        <v/>
      </c>
      <c r="N84" s="4" t="str">
        <f t="shared" si="30"/>
        <v/>
      </c>
      <c r="O84" s="4" t="str">
        <f t="shared" si="31"/>
        <v/>
      </c>
      <c r="P84" s="4" t="str">
        <f t="shared" si="32"/>
        <v/>
      </c>
      <c r="Q84" s="4" t="str">
        <f t="shared" si="33"/>
        <v/>
      </c>
      <c r="R84" s="4" t="str">
        <f t="shared" si="34"/>
        <v/>
      </c>
      <c r="S84" s="5" t="str">
        <f t="shared" si="35"/>
        <v/>
      </c>
      <c r="T84" s="5" t="str">
        <f t="shared" si="36"/>
        <v/>
      </c>
      <c r="U84" s="205" t="str">
        <f t="shared" si="37"/>
        <v/>
      </c>
      <c r="V84" s="205" t="str">
        <f t="shared" si="38"/>
        <v/>
      </c>
      <c r="W84" s="205" t="str">
        <f t="shared" si="39"/>
        <v/>
      </c>
    </row>
    <row r="85" spans="1:23">
      <c r="A85" s="247" t="str">
        <f t="shared" ref="A85:A105" si="41">IF(F85&lt;&gt;"",((SUM(L85:R85)+SUM(S85:W85))*$A$19),"")</f>
        <v/>
      </c>
      <c r="B85" s="248" t="str">
        <f t="shared" ref="B85:B105" si="42">IF(F85&lt;&gt;"",((SUM(L85:R85)+SUM(U85:W85))*$B$19),"")</f>
        <v/>
      </c>
      <c r="C85" s="247" t="str">
        <f t="shared" ref="C85:C105" si="43">IF(F85&lt;&gt;"",((SUM(L85:R85)+SUM(U85:W85))*$C$19),"")</f>
        <v/>
      </c>
      <c r="D85" s="189" t="str">
        <f t="shared" ref="D85:D105" si="44">IF(J85&lt;&gt;"",SUM(L85:W85),"")</f>
        <v/>
      </c>
      <c r="E85" s="2">
        <v>65</v>
      </c>
      <c r="F85" s="15"/>
      <c r="G85" s="15"/>
      <c r="H85" s="2" t="str">
        <f t="shared" si="20"/>
        <v/>
      </c>
      <c r="I85" s="2" t="str">
        <f t="shared" ref="I85:I91" si="45">IF(G85 =  "","",ROUNDUP(G85/H85,0)*2+2)</f>
        <v/>
      </c>
      <c r="J85" s="3" t="str">
        <f t="shared" ref="J85:J105" si="46">IF(G85="","",F85*G85/144)</f>
        <v/>
      </c>
      <c r="L85" s="4" t="str">
        <f t="shared" ref="L85:L90" si="47">IF(J85="","",J85*$L$118)</f>
        <v/>
      </c>
      <c r="M85" s="4" t="str">
        <f t="shared" ref="M85:M105" si="48">IF(OR($F$14="DM", J85=""),"",(G85*2/12)*$M$118)</f>
        <v/>
      </c>
      <c r="N85" s="4" t="str">
        <f t="shared" ref="N85:N105" si="49">IF(OR($F$14="DM",J85=""),"",((ROUNDUP(G85/6, 0)*2)+2)*$N$118)</f>
        <v/>
      </c>
      <c r="O85" s="4" t="str">
        <f t="shared" ref="O85:O105" si="50">IF(OR($F$14="DM",J85=""),"",((ROUNDUP(G85/6,0)*2)+2)*$O$118)</f>
        <v/>
      </c>
      <c r="P85" s="4" t="str">
        <f t="shared" ref="P85:P105" si="51">IF(OR($F$14="DM", J85=""),"",I85*$P$118)</f>
        <v/>
      </c>
      <c r="Q85" s="4" t="str">
        <f t="shared" ref="Q85:Q105" si="52">IF(J85="","",I85*$Q$118)</f>
        <v/>
      </c>
      <c r="R85" s="4" t="str">
        <f t="shared" ref="R85:R105" si="53">IF(J85="","",((ROUNDUP(G85/6, 0)*2)+2)*$R$118/206)</f>
        <v/>
      </c>
      <c r="S85" s="5" t="str">
        <f t="shared" ref="S85:S105" si="54">IF(AND($F$15="MPM",F85&lt;&gt;"",$F$14&lt;&gt;"FT"),I85*$S$118,"")</f>
        <v/>
      </c>
      <c r="T85" s="5" t="str">
        <f t="shared" ref="T85:T106" si="55">IF(AND($F$15="MPM",F85&lt;&gt;"",$F$14&lt;&gt;"FT"),I85*$T$118,"")</f>
        <v/>
      </c>
      <c r="U85" s="205" t="str">
        <f t="shared" ref="U85:U105" si="56">IF(AND($F$15="FPM",F85&lt;&gt;"",$F$14="DM"),I85*$U$118,"")</f>
        <v/>
      </c>
      <c r="V85" s="205" t="str">
        <f t="shared" ref="V85:V104" si="57">IF(AND($F$15="FPM",F85&lt;&gt;"",$F$14&lt;&gt;"FT"),I85*$V$118,"")</f>
        <v/>
      </c>
      <c r="W85" s="205" t="str">
        <f t="shared" ref="W85:W105" si="58">IF(AND($F$15="FPM",F85&lt;&gt;"", $F$14&lt;&gt;"FT"),I85*$W$118,"")</f>
        <v/>
      </c>
    </row>
    <row r="86" spans="1:23">
      <c r="A86" s="247" t="str">
        <f t="shared" si="41"/>
        <v/>
      </c>
      <c r="B86" s="248" t="str">
        <f t="shared" si="42"/>
        <v/>
      </c>
      <c r="C86" s="247" t="str">
        <f t="shared" si="43"/>
        <v/>
      </c>
      <c r="D86" s="189" t="str">
        <f t="shared" si="44"/>
        <v/>
      </c>
      <c r="E86" s="2">
        <v>66</v>
      </c>
      <c r="F86" s="15"/>
      <c r="G86" s="15"/>
      <c r="H86" s="2" t="str">
        <f t="shared" si="20"/>
        <v/>
      </c>
      <c r="I86" s="2" t="str">
        <f t="shared" si="45"/>
        <v/>
      </c>
      <c r="J86" s="3" t="str">
        <f t="shared" si="46"/>
        <v/>
      </c>
      <c r="L86" s="4" t="str">
        <f t="shared" si="47"/>
        <v/>
      </c>
      <c r="M86" s="4" t="str">
        <f t="shared" si="48"/>
        <v/>
      </c>
      <c r="N86" s="4" t="str">
        <f t="shared" si="49"/>
        <v/>
      </c>
      <c r="O86" s="4" t="str">
        <f t="shared" si="50"/>
        <v/>
      </c>
      <c r="P86" s="4" t="str">
        <f t="shared" si="51"/>
        <v/>
      </c>
      <c r="Q86" s="4" t="str">
        <f t="shared" si="52"/>
        <v/>
      </c>
      <c r="R86" s="4" t="str">
        <f t="shared" si="53"/>
        <v/>
      </c>
      <c r="S86" s="5" t="str">
        <f t="shared" si="54"/>
        <v/>
      </c>
      <c r="T86" s="5" t="str">
        <f t="shared" si="55"/>
        <v/>
      </c>
      <c r="U86" s="205" t="str">
        <f t="shared" si="56"/>
        <v/>
      </c>
      <c r="V86" s="205" t="str">
        <f t="shared" si="57"/>
        <v/>
      </c>
      <c r="W86" s="205" t="str">
        <f t="shared" si="58"/>
        <v/>
      </c>
    </row>
    <row r="87" spans="1:23">
      <c r="A87" s="247" t="str">
        <f t="shared" si="41"/>
        <v/>
      </c>
      <c r="B87" s="248" t="str">
        <f t="shared" si="42"/>
        <v/>
      </c>
      <c r="C87" s="247" t="str">
        <f t="shared" si="43"/>
        <v/>
      </c>
      <c r="D87" s="189" t="str">
        <f t="shared" si="44"/>
        <v/>
      </c>
      <c r="E87" s="2">
        <v>67</v>
      </c>
      <c r="F87" s="15"/>
      <c r="G87" s="15"/>
      <c r="H87" s="2" t="str">
        <f t="shared" si="20"/>
        <v/>
      </c>
      <c r="I87" s="2" t="str">
        <f t="shared" si="45"/>
        <v/>
      </c>
      <c r="J87" s="3" t="str">
        <f t="shared" si="46"/>
        <v/>
      </c>
      <c r="L87" s="4" t="str">
        <f t="shared" si="47"/>
        <v/>
      </c>
      <c r="M87" s="4" t="str">
        <f t="shared" si="48"/>
        <v/>
      </c>
      <c r="N87" s="4" t="str">
        <f t="shared" si="49"/>
        <v/>
      </c>
      <c r="O87" s="4" t="str">
        <f t="shared" si="50"/>
        <v/>
      </c>
      <c r="P87" s="4" t="str">
        <f t="shared" si="51"/>
        <v/>
      </c>
      <c r="Q87" s="4" t="str">
        <f t="shared" si="52"/>
        <v/>
      </c>
      <c r="R87" s="4" t="str">
        <f t="shared" si="53"/>
        <v/>
      </c>
      <c r="S87" s="5" t="str">
        <f t="shared" si="54"/>
        <v/>
      </c>
      <c r="T87" s="5" t="str">
        <f t="shared" si="55"/>
        <v/>
      </c>
      <c r="U87" s="205" t="str">
        <f t="shared" si="56"/>
        <v/>
      </c>
      <c r="V87" s="205" t="str">
        <f t="shared" si="57"/>
        <v/>
      </c>
      <c r="W87" s="205" t="str">
        <f t="shared" si="58"/>
        <v/>
      </c>
    </row>
    <row r="88" spans="1:23">
      <c r="A88" s="247" t="str">
        <f t="shared" si="41"/>
        <v/>
      </c>
      <c r="B88" s="248" t="str">
        <f t="shared" si="42"/>
        <v/>
      </c>
      <c r="C88" s="247" t="str">
        <f t="shared" si="43"/>
        <v/>
      </c>
      <c r="D88" s="189" t="str">
        <f t="shared" si="44"/>
        <v/>
      </c>
      <c r="E88" s="2">
        <v>68</v>
      </c>
      <c r="F88" s="15"/>
      <c r="G88" s="15"/>
      <c r="H88" s="2" t="str">
        <f t="shared" si="20"/>
        <v/>
      </c>
      <c r="I88" s="2" t="str">
        <f t="shared" si="45"/>
        <v/>
      </c>
      <c r="J88" s="3" t="str">
        <f t="shared" si="46"/>
        <v/>
      </c>
      <c r="L88" s="4" t="str">
        <f t="shared" si="47"/>
        <v/>
      </c>
      <c r="M88" s="4" t="str">
        <f t="shared" si="48"/>
        <v/>
      </c>
      <c r="N88" s="4" t="str">
        <f t="shared" si="49"/>
        <v/>
      </c>
      <c r="O88" s="4" t="str">
        <f t="shared" si="50"/>
        <v/>
      </c>
      <c r="P88" s="4" t="str">
        <f t="shared" si="51"/>
        <v/>
      </c>
      <c r="Q88" s="4" t="str">
        <f t="shared" si="52"/>
        <v/>
      </c>
      <c r="R88" s="4" t="str">
        <f t="shared" si="53"/>
        <v/>
      </c>
      <c r="S88" s="5" t="str">
        <f t="shared" si="54"/>
        <v/>
      </c>
      <c r="T88" s="5" t="str">
        <f t="shared" si="55"/>
        <v/>
      </c>
      <c r="U88" s="205" t="str">
        <f t="shared" si="56"/>
        <v/>
      </c>
      <c r="V88" s="205" t="str">
        <f t="shared" si="57"/>
        <v/>
      </c>
      <c r="W88" s="205" t="str">
        <f t="shared" si="58"/>
        <v/>
      </c>
    </row>
    <row r="89" spans="1:23">
      <c r="A89" s="247" t="str">
        <f t="shared" si="41"/>
        <v/>
      </c>
      <c r="B89" s="248" t="str">
        <f t="shared" si="42"/>
        <v/>
      </c>
      <c r="C89" s="247" t="str">
        <f t="shared" si="43"/>
        <v/>
      </c>
      <c r="D89" s="189" t="str">
        <f t="shared" si="44"/>
        <v/>
      </c>
      <c r="E89" s="2">
        <v>69</v>
      </c>
      <c r="F89" s="15"/>
      <c r="G89" s="15"/>
      <c r="H89" s="2" t="str">
        <f t="shared" si="20"/>
        <v/>
      </c>
      <c r="I89" s="2" t="str">
        <f t="shared" si="45"/>
        <v/>
      </c>
      <c r="J89" s="3" t="str">
        <f t="shared" si="46"/>
        <v/>
      </c>
      <c r="L89" s="4" t="str">
        <f t="shared" si="47"/>
        <v/>
      </c>
      <c r="M89" s="4" t="str">
        <f t="shared" si="48"/>
        <v/>
      </c>
      <c r="N89" s="4" t="str">
        <f t="shared" si="49"/>
        <v/>
      </c>
      <c r="O89" s="4" t="str">
        <f t="shared" si="50"/>
        <v/>
      </c>
      <c r="P89" s="4" t="str">
        <f t="shared" si="51"/>
        <v/>
      </c>
      <c r="Q89" s="4" t="str">
        <f t="shared" si="52"/>
        <v/>
      </c>
      <c r="R89" s="4" t="str">
        <f t="shared" si="53"/>
        <v/>
      </c>
      <c r="S89" s="5" t="str">
        <f t="shared" si="54"/>
        <v/>
      </c>
      <c r="T89" s="5" t="str">
        <f t="shared" si="55"/>
        <v/>
      </c>
      <c r="U89" s="205" t="str">
        <f t="shared" si="56"/>
        <v/>
      </c>
      <c r="V89" s="205" t="str">
        <f t="shared" si="57"/>
        <v/>
      </c>
      <c r="W89" s="205" t="str">
        <f t="shared" si="58"/>
        <v/>
      </c>
    </row>
    <row r="90" spans="1:23">
      <c r="A90" s="247" t="str">
        <f t="shared" si="41"/>
        <v/>
      </c>
      <c r="B90" s="248" t="str">
        <f t="shared" si="42"/>
        <v/>
      </c>
      <c r="C90" s="247" t="str">
        <f t="shared" si="43"/>
        <v/>
      </c>
      <c r="D90" s="189" t="str">
        <f t="shared" si="44"/>
        <v/>
      </c>
      <c r="E90" s="2">
        <v>70</v>
      </c>
      <c r="F90" s="15"/>
      <c r="G90" s="15"/>
      <c r="H90" s="2" t="str">
        <f t="shared" si="20"/>
        <v/>
      </c>
      <c r="I90" s="2" t="str">
        <f t="shared" si="45"/>
        <v/>
      </c>
      <c r="J90" s="3" t="str">
        <f t="shared" si="46"/>
        <v/>
      </c>
      <c r="L90" s="4" t="str">
        <f t="shared" si="47"/>
        <v/>
      </c>
      <c r="M90" s="4" t="str">
        <f t="shared" si="48"/>
        <v/>
      </c>
      <c r="N90" s="4" t="str">
        <f t="shared" si="49"/>
        <v/>
      </c>
      <c r="O90" s="4" t="str">
        <f t="shared" si="50"/>
        <v/>
      </c>
      <c r="P90" s="4" t="str">
        <f t="shared" si="51"/>
        <v/>
      </c>
      <c r="Q90" s="4" t="str">
        <f t="shared" si="52"/>
        <v/>
      </c>
      <c r="R90" s="4" t="str">
        <f t="shared" si="53"/>
        <v/>
      </c>
      <c r="S90" s="5" t="str">
        <f t="shared" si="54"/>
        <v/>
      </c>
      <c r="T90" s="5" t="str">
        <f t="shared" si="55"/>
        <v/>
      </c>
      <c r="U90" s="205" t="str">
        <f t="shared" si="56"/>
        <v/>
      </c>
      <c r="V90" s="205" t="str">
        <f t="shared" si="57"/>
        <v/>
      </c>
      <c r="W90" s="205" t="str">
        <f t="shared" si="58"/>
        <v/>
      </c>
    </row>
    <row r="91" spans="1:23">
      <c r="A91" s="247" t="str">
        <f t="shared" si="41"/>
        <v/>
      </c>
      <c r="B91" s="248" t="str">
        <f t="shared" si="42"/>
        <v/>
      </c>
      <c r="C91" s="247" t="str">
        <f t="shared" si="43"/>
        <v/>
      </c>
      <c r="D91" s="189" t="str">
        <f t="shared" si="44"/>
        <v/>
      </c>
      <c r="E91" s="2">
        <v>71</v>
      </c>
      <c r="F91" s="15"/>
      <c r="G91" s="15"/>
      <c r="H91" s="2" t="str">
        <f t="shared" ref="H91:H105" si="59">IF(G91="","",IF($F$14="FT",12,IF(AND($F$14="DM",F91&lt;72.1),11,8)))</f>
        <v/>
      </c>
      <c r="I91" s="2" t="str">
        <f t="shared" si="45"/>
        <v/>
      </c>
      <c r="J91" s="3" t="str">
        <f t="shared" si="46"/>
        <v/>
      </c>
      <c r="L91" s="4" t="str">
        <f t="shared" ref="L91:L105" si="60">IF(J91="","",J91*$L$118)</f>
        <v/>
      </c>
      <c r="M91" s="4" t="str">
        <f t="shared" si="48"/>
        <v/>
      </c>
      <c r="N91" s="4" t="str">
        <f t="shared" si="49"/>
        <v/>
      </c>
      <c r="O91" s="4" t="str">
        <f t="shared" si="50"/>
        <v/>
      </c>
      <c r="P91" s="4" t="str">
        <f t="shared" si="51"/>
        <v/>
      </c>
      <c r="Q91" s="4" t="str">
        <f t="shared" si="52"/>
        <v/>
      </c>
      <c r="R91" s="4" t="str">
        <f t="shared" si="53"/>
        <v/>
      </c>
      <c r="S91" s="5" t="str">
        <f t="shared" si="54"/>
        <v/>
      </c>
      <c r="T91" s="5" t="str">
        <f t="shared" si="55"/>
        <v/>
      </c>
      <c r="U91" s="205" t="str">
        <f t="shared" si="56"/>
        <v/>
      </c>
      <c r="V91" s="205" t="str">
        <f t="shared" si="57"/>
        <v/>
      </c>
      <c r="W91" s="205" t="str">
        <f t="shared" si="58"/>
        <v/>
      </c>
    </row>
    <row r="92" spans="1:23">
      <c r="A92" s="247" t="str">
        <f t="shared" si="41"/>
        <v/>
      </c>
      <c r="B92" s="248" t="str">
        <f t="shared" si="42"/>
        <v/>
      </c>
      <c r="C92" s="247" t="str">
        <f t="shared" si="43"/>
        <v/>
      </c>
      <c r="D92" s="189" t="str">
        <f t="shared" si="44"/>
        <v/>
      </c>
      <c r="E92" s="2">
        <v>72</v>
      </c>
      <c r="F92" s="15"/>
      <c r="G92" s="15"/>
      <c r="H92" s="2" t="str">
        <f t="shared" si="59"/>
        <v/>
      </c>
      <c r="I92" s="2" t="str">
        <f t="shared" ref="I92:I105" si="61">IF(G92 =  "","",ROUNDUP(G92/H92,0)*2+2)</f>
        <v/>
      </c>
      <c r="J92" s="3" t="str">
        <f t="shared" si="46"/>
        <v/>
      </c>
      <c r="L92" s="4" t="str">
        <f t="shared" si="60"/>
        <v/>
      </c>
      <c r="M92" s="4" t="str">
        <f t="shared" si="48"/>
        <v/>
      </c>
      <c r="N92" s="4" t="str">
        <f t="shared" si="49"/>
        <v/>
      </c>
      <c r="O92" s="4" t="str">
        <f t="shared" si="50"/>
        <v/>
      </c>
      <c r="P92" s="4" t="str">
        <f t="shared" si="51"/>
        <v/>
      </c>
      <c r="Q92" s="4" t="str">
        <f t="shared" si="52"/>
        <v/>
      </c>
      <c r="R92" s="4" t="str">
        <f t="shared" si="53"/>
        <v/>
      </c>
      <c r="S92" s="5" t="str">
        <f t="shared" si="54"/>
        <v/>
      </c>
      <c r="T92" s="5" t="str">
        <f t="shared" si="55"/>
        <v/>
      </c>
      <c r="U92" s="205" t="str">
        <f t="shared" si="56"/>
        <v/>
      </c>
      <c r="V92" s="205" t="str">
        <f t="shared" si="57"/>
        <v/>
      </c>
      <c r="W92" s="205" t="str">
        <f t="shared" si="58"/>
        <v/>
      </c>
    </row>
    <row r="93" spans="1:23">
      <c r="A93" s="247" t="str">
        <f t="shared" si="41"/>
        <v/>
      </c>
      <c r="B93" s="248" t="str">
        <f t="shared" si="42"/>
        <v/>
      </c>
      <c r="C93" s="247" t="str">
        <f t="shared" si="43"/>
        <v/>
      </c>
      <c r="D93" s="189" t="str">
        <f t="shared" si="44"/>
        <v/>
      </c>
      <c r="E93" s="2">
        <v>73</v>
      </c>
      <c r="F93" s="15"/>
      <c r="G93" s="15"/>
      <c r="H93" s="2" t="str">
        <f t="shared" si="59"/>
        <v/>
      </c>
      <c r="I93" s="2" t="str">
        <f t="shared" si="61"/>
        <v/>
      </c>
      <c r="J93" s="3" t="str">
        <f t="shared" si="46"/>
        <v/>
      </c>
      <c r="L93" s="4" t="str">
        <f t="shared" si="60"/>
        <v/>
      </c>
      <c r="M93" s="4" t="str">
        <f t="shared" si="48"/>
        <v/>
      </c>
      <c r="N93" s="4" t="str">
        <f t="shared" si="49"/>
        <v/>
      </c>
      <c r="O93" s="4" t="str">
        <f t="shared" si="50"/>
        <v/>
      </c>
      <c r="P93" s="4" t="str">
        <f t="shared" si="51"/>
        <v/>
      </c>
      <c r="Q93" s="4" t="str">
        <f t="shared" si="52"/>
        <v/>
      </c>
      <c r="R93" s="4" t="str">
        <f t="shared" si="53"/>
        <v/>
      </c>
      <c r="S93" s="5" t="str">
        <f t="shared" si="54"/>
        <v/>
      </c>
      <c r="T93" s="5" t="str">
        <f t="shared" si="55"/>
        <v/>
      </c>
      <c r="U93" s="205" t="str">
        <f t="shared" si="56"/>
        <v/>
      </c>
      <c r="V93" s="205" t="str">
        <f t="shared" si="57"/>
        <v/>
      </c>
      <c r="W93" s="205" t="str">
        <f t="shared" si="58"/>
        <v/>
      </c>
    </row>
    <row r="94" spans="1:23">
      <c r="A94" s="247" t="str">
        <f t="shared" si="41"/>
        <v/>
      </c>
      <c r="B94" s="248" t="str">
        <f t="shared" si="42"/>
        <v/>
      </c>
      <c r="C94" s="247" t="str">
        <f t="shared" si="43"/>
        <v/>
      </c>
      <c r="D94" s="189" t="str">
        <f t="shared" si="44"/>
        <v/>
      </c>
      <c r="E94" s="2">
        <v>74</v>
      </c>
      <c r="F94" s="15"/>
      <c r="G94" s="15"/>
      <c r="H94" s="2" t="str">
        <f t="shared" si="59"/>
        <v/>
      </c>
      <c r="I94" s="2" t="str">
        <f t="shared" si="61"/>
        <v/>
      </c>
      <c r="J94" s="3" t="str">
        <f t="shared" si="46"/>
        <v/>
      </c>
      <c r="L94" s="4" t="str">
        <f t="shared" si="60"/>
        <v/>
      </c>
      <c r="M94" s="4" t="str">
        <f t="shared" si="48"/>
        <v/>
      </c>
      <c r="N94" s="4" t="str">
        <f t="shared" si="49"/>
        <v/>
      </c>
      <c r="O94" s="4" t="str">
        <f t="shared" si="50"/>
        <v/>
      </c>
      <c r="P94" s="4" t="str">
        <f t="shared" si="51"/>
        <v/>
      </c>
      <c r="Q94" s="4" t="str">
        <f t="shared" si="52"/>
        <v/>
      </c>
      <c r="R94" s="4" t="str">
        <f t="shared" si="53"/>
        <v/>
      </c>
      <c r="S94" s="5" t="str">
        <f t="shared" si="54"/>
        <v/>
      </c>
      <c r="T94" s="5" t="str">
        <f t="shared" si="55"/>
        <v/>
      </c>
      <c r="U94" s="205" t="str">
        <f t="shared" si="56"/>
        <v/>
      </c>
      <c r="V94" s="205" t="str">
        <f t="shared" si="57"/>
        <v/>
      </c>
      <c r="W94" s="205" t="str">
        <f t="shared" si="58"/>
        <v/>
      </c>
    </row>
    <row r="95" spans="1:23">
      <c r="A95" s="247" t="str">
        <f t="shared" si="41"/>
        <v/>
      </c>
      <c r="B95" s="248" t="str">
        <f t="shared" si="42"/>
        <v/>
      </c>
      <c r="C95" s="247" t="str">
        <f t="shared" si="43"/>
        <v/>
      </c>
      <c r="D95" s="189" t="str">
        <f t="shared" si="44"/>
        <v/>
      </c>
      <c r="E95" s="2">
        <v>75</v>
      </c>
      <c r="F95" s="15"/>
      <c r="G95" s="15"/>
      <c r="H95" s="2" t="str">
        <f t="shared" si="59"/>
        <v/>
      </c>
      <c r="I95" s="2" t="str">
        <f t="shared" si="61"/>
        <v/>
      </c>
      <c r="J95" s="3" t="str">
        <f t="shared" si="46"/>
        <v/>
      </c>
      <c r="L95" s="4" t="str">
        <f t="shared" si="60"/>
        <v/>
      </c>
      <c r="M95" s="4" t="str">
        <f t="shared" si="48"/>
        <v/>
      </c>
      <c r="N95" s="4" t="str">
        <f t="shared" si="49"/>
        <v/>
      </c>
      <c r="O95" s="4" t="str">
        <f t="shared" si="50"/>
        <v/>
      </c>
      <c r="P95" s="4" t="str">
        <f t="shared" si="51"/>
        <v/>
      </c>
      <c r="Q95" s="4" t="str">
        <f t="shared" si="52"/>
        <v/>
      </c>
      <c r="R95" s="4" t="str">
        <f t="shared" si="53"/>
        <v/>
      </c>
      <c r="S95" s="5" t="str">
        <f t="shared" si="54"/>
        <v/>
      </c>
      <c r="T95" s="5" t="str">
        <f t="shared" si="55"/>
        <v/>
      </c>
      <c r="U95" s="205" t="str">
        <f t="shared" si="56"/>
        <v/>
      </c>
      <c r="V95" s="205" t="str">
        <f t="shared" si="57"/>
        <v/>
      </c>
      <c r="W95" s="205" t="str">
        <f t="shared" si="58"/>
        <v/>
      </c>
    </row>
    <row r="96" spans="1:23">
      <c r="A96" s="247" t="str">
        <f t="shared" si="41"/>
        <v/>
      </c>
      <c r="B96" s="248" t="str">
        <f t="shared" si="42"/>
        <v/>
      </c>
      <c r="C96" s="247" t="str">
        <f t="shared" si="43"/>
        <v/>
      </c>
      <c r="D96" s="189" t="str">
        <f t="shared" si="44"/>
        <v/>
      </c>
      <c r="E96" s="2">
        <v>76</v>
      </c>
      <c r="F96" s="15"/>
      <c r="G96" s="15"/>
      <c r="H96" s="2" t="str">
        <f t="shared" si="59"/>
        <v/>
      </c>
      <c r="I96" s="2" t="str">
        <f t="shared" si="61"/>
        <v/>
      </c>
      <c r="J96" s="3" t="str">
        <f t="shared" si="46"/>
        <v/>
      </c>
      <c r="L96" s="4" t="str">
        <f t="shared" si="60"/>
        <v/>
      </c>
      <c r="M96" s="4" t="str">
        <f t="shared" si="48"/>
        <v/>
      </c>
      <c r="N96" s="4" t="str">
        <f t="shared" si="49"/>
        <v/>
      </c>
      <c r="O96" s="4" t="str">
        <f t="shared" si="50"/>
        <v/>
      </c>
      <c r="P96" s="4" t="str">
        <f t="shared" si="51"/>
        <v/>
      </c>
      <c r="Q96" s="4" t="str">
        <f t="shared" si="52"/>
        <v/>
      </c>
      <c r="R96" s="4" t="str">
        <f t="shared" si="53"/>
        <v/>
      </c>
      <c r="S96" s="5" t="str">
        <f t="shared" si="54"/>
        <v/>
      </c>
      <c r="T96" s="5" t="str">
        <f t="shared" si="55"/>
        <v/>
      </c>
      <c r="U96" s="205" t="str">
        <f t="shared" si="56"/>
        <v/>
      </c>
      <c r="V96" s="205" t="str">
        <f t="shared" si="57"/>
        <v/>
      </c>
      <c r="W96" s="205" t="str">
        <f t="shared" si="58"/>
        <v/>
      </c>
    </row>
    <row r="97" spans="1:23">
      <c r="A97" s="247" t="str">
        <f t="shared" si="41"/>
        <v/>
      </c>
      <c r="B97" s="248" t="str">
        <f t="shared" si="42"/>
        <v/>
      </c>
      <c r="C97" s="247" t="str">
        <f t="shared" si="43"/>
        <v/>
      </c>
      <c r="D97" s="189" t="str">
        <f t="shared" si="44"/>
        <v/>
      </c>
      <c r="E97" s="2">
        <v>77</v>
      </c>
      <c r="F97" s="15"/>
      <c r="G97" s="15"/>
      <c r="H97" s="2" t="str">
        <f t="shared" si="59"/>
        <v/>
      </c>
      <c r="I97" s="2" t="str">
        <f t="shared" si="61"/>
        <v/>
      </c>
      <c r="J97" s="3" t="str">
        <f t="shared" si="46"/>
        <v/>
      </c>
      <c r="L97" s="4" t="str">
        <f t="shared" si="60"/>
        <v/>
      </c>
      <c r="M97" s="4" t="str">
        <f t="shared" si="48"/>
        <v/>
      </c>
      <c r="N97" s="4" t="str">
        <f t="shared" si="49"/>
        <v/>
      </c>
      <c r="O97" s="4" t="str">
        <f t="shared" si="50"/>
        <v/>
      </c>
      <c r="P97" s="4" t="str">
        <f t="shared" si="51"/>
        <v/>
      </c>
      <c r="Q97" s="4" t="str">
        <f t="shared" si="52"/>
        <v/>
      </c>
      <c r="R97" s="4" t="str">
        <f t="shared" si="53"/>
        <v/>
      </c>
      <c r="S97" s="5" t="str">
        <f t="shared" si="54"/>
        <v/>
      </c>
      <c r="T97" s="5" t="str">
        <f t="shared" si="55"/>
        <v/>
      </c>
      <c r="U97" s="205" t="str">
        <f t="shared" si="56"/>
        <v/>
      </c>
      <c r="V97" s="205" t="str">
        <f t="shared" si="57"/>
        <v/>
      </c>
      <c r="W97" s="205" t="str">
        <f t="shared" si="58"/>
        <v/>
      </c>
    </row>
    <row r="98" spans="1:23">
      <c r="A98" s="247" t="str">
        <f t="shared" si="41"/>
        <v/>
      </c>
      <c r="B98" s="248" t="str">
        <f t="shared" si="42"/>
        <v/>
      </c>
      <c r="C98" s="247" t="str">
        <f t="shared" si="43"/>
        <v/>
      </c>
      <c r="D98" s="189" t="str">
        <f t="shared" si="44"/>
        <v/>
      </c>
      <c r="E98" s="2">
        <v>78</v>
      </c>
      <c r="F98" s="15"/>
      <c r="G98" s="15"/>
      <c r="H98" s="2" t="str">
        <f t="shared" si="59"/>
        <v/>
      </c>
      <c r="I98" s="2" t="str">
        <f t="shared" si="61"/>
        <v/>
      </c>
      <c r="J98" s="3" t="str">
        <f t="shared" si="46"/>
        <v/>
      </c>
      <c r="L98" s="4" t="str">
        <f t="shared" si="60"/>
        <v/>
      </c>
      <c r="M98" s="4" t="str">
        <f t="shared" si="48"/>
        <v/>
      </c>
      <c r="N98" s="4" t="str">
        <f t="shared" si="49"/>
        <v/>
      </c>
      <c r="O98" s="4" t="str">
        <f t="shared" si="50"/>
        <v/>
      </c>
      <c r="P98" s="4" t="str">
        <f t="shared" si="51"/>
        <v/>
      </c>
      <c r="Q98" s="4" t="str">
        <f t="shared" si="52"/>
        <v/>
      </c>
      <c r="R98" s="4" t="str">
        <f t="shared" si="53"/>
        <v/>
      </c>
      <c r="S98" s="5" t="str">
        <f t="shared" si="54"/>
        <v/>
      </c>
      <c r="T98" s="5" t="str">
        <f t="shared" si="55"/>
        <v/>
      </c>
      <c r="U98" s="205" t="str">
        <f t="shared" si="56"/>
        <v/>
      </c>
      <c r="V98" s="205" t="str">
        <f t="shared" si="57"/>
        <v/>
      </c>
      <c r="W98" s="205" t="str">
        <f t="shared" si="58"/>
        <v/>
      </c>
    </row>
    <row r="99" spans="1:23">
      <c r="A99" s="247" t="str">
        <f t="shared" si="41"/>
        <v/>
      </c>
      <c r="B99" s="248" t="str">
        <f t="shared" si="42"/>
        <v/>
      </c>
      <c r="C99" s="247" t="str">
        <f t="shared" si="43"/>
        <v/>
      </c>
      <c r="D99" s="189" t="str">
        <f t="shared" si="44"/>
        <v/>
      </c>
      <c r="E99" s="2">
        <v>79</v>
      </c>
      <c r="F99" s="15"/>
      <c r="G99" s="15"/>
      <c r="H99" s="2" t="str">
        <f t="shared" si="59"/>
        <v/>
      </c>
      <c r="I99" s="2" t="str">
        <f t="shared" si="61"/>
        <v/>
      </c>
      <c r="J99" s="3" t="str">
        <f t="shared" si="46"/>
        <v/>
      </c>
      <c r="L99" s="4" t="str">
        <f t="shared" si="60"/>
        <v/>
      </c>
      <c r="M99" s="4" t="str">
        <f t="shared" si="48"/>
        <v/>
      </c>
      <c r="N99" s="4" t="str">
        <f t="shared" si="49"/>
        <v/>
      </c>
      <c r="O99" s="4" t="str">
        <f t="shared" si="50"/>
        <v/>
      </c>
      <c r="P99" s="4" t="str">
        <f t="shared" si="51"/>
        <v/>
      </c>
      <c r="Q99" s="4" t="str">
        <f t="shared" si="52"/>
        <v/>
      </c>
      <c r="R99" s="4" t="str">
        <f t="shared" si="53"/>
        <v/>
      </c>
      <c r="S99" s="5" t="str">
        <f t="shared" si="54"/>
        <v/>
      </c>
      <c r="T99" s="5" t="str">
        <f t="shared" si="55"/>
        <v/>
      </c>
      <c r="U99" s="205" t="str">
        <f t="shared" si="56"/>
        <v/>
      </c>
      <c r="V99" s="205" t="str">
        <f t="shared" si="57"/>
        <v/>
      </c>
      <c r="W99" s="205" t="str">
        <f t="shared" si="58"/>
        <v/>
      </c>
    </row>
    <row r="100" spans="1:23">
      <c r="A100" s="247" t="str">
        <f t="shared" si="41"/>
        <v/>
      </c>
      <c r="B100" s="248" t="str">
        <f t="shared" si="42"/>
        <v/>
      </c>
      <c r="C100" s="247" t="str">
        <f t="shared" si="43"/>
        <v/>
      </c>
      <c r="D100" s="189" t="str">
        <f t="shared" si="44"/>
        <v/>
      </c>
      <c r="E100" s="2">
        <v>80</v>
      </c>
      <c r="F100" s="15"/>
      <c r="G100" s="15"/>
      <c r="H100" s="2" t="str">
        <f t="shared" si="59"/>
        <v/>
      </c>
      <c r="I100" s="2" t="str">
        <f t="shared" si="61"/>
        <v/>
      </c>
      <c r="J100" s="3" t="str">
        <f t="shared" si="46"/>
        <v/>
      </c>
      <c r="L100" s="4" t="str">
        <f t="shared" si="60"/>
        <v/>
      </c>
      <c r="M100" s="4" t="str">
        <f t="shared" si="48"/>
        <v/>
      </c>
      <c r="N100" s="4" t="str">
        <f t="shared" si="49"/>
        <v/>
      </c>
      <c r="O100" s="4" t="str">
        <f t="shared" si="50"/>
        <v/>
      </c>
      <c r="P100" s="4" t="str">
        <f t="shared" si="51"/>
        <v/>
      </c>
      <c r="Q100" s="4" t="str">
        <f t="shared" si="52"/>
        <v/>
      </c>
      <c r="R100" s="4" t="str">
        <f t="shared" si="53"/>
        <v/>
      </c>
      <c r="S100" s="5" t="str">
        <f t="shared" si="54"/>
        <v/>
      </c>
      <c r="T100" s="5" t="str">
        <f t="shared" si="55"/>
        <v/>
      </c>
      <c r="U100" s="205" t="str">
        <f t="shared" si="56"/>
        <v/>
      </c>
      <c r="V100" s="205" t="str">
        <f t="shared" si="57"/>
        <v/>
      </c>
      <c r="W100" s="205" t="str">
        <f t="shared" si="58"/>
        <v/>
      </c>
    </row>
    <row r="101" spans="1:23">
      <c r="A101" s="247" t="str">
        <f t="shared" si="41"/>
        <v/>
      </c>
      <c r="B101" s="248" t="str">
        <f t="shared" si="42"/>
        <v/>
      </c>
      <c r="C101" s="247" t="str">
        <f t="shared" si="43"/>
        <v/>
      </c>
      <c r="D101" s="189" t="str">
        <f t="shared" si="44"/>
        <v/>
      </c>
      <c r="E101" s="2">
        <v>81</v>
      </c>
      <c r="F101" s="15"/>
      <c r="G101" s="15"/>
      <c r="H101" s="2" t="str">
        <f t="shared" si="59"/>
        <v/>
      </c>
      <c r="I101" s="2" t="str">
        <f t="shared" si="61"/>
        <v/>
      </c>
      <c r="J101" s="3" t="str">
        <f t="shared" si="46"/>
        <v/>
      </c>
      <c r="L101" s="4" t="str">
        <f t="shared" si="60"/>
        <v/>
      </c>
      <c r="M101" s="4" t="str">
        <f t="shared" si="48"/>
        <v/>
      </c>
      <c r="N101" s="4" t="str">
        <f t="shared" si="49"/>
        <v/>
      </c>
      <c r="O101" s="4" t="str">
        <f t="shared" si="50"/>
        <v/>
      </c>
      <c r="P101" s="4" t="str">
        <f t="shared" si="51"/>
        <v/>
      </c>
      <c r="Q101" s="4" t="str">
        <f t="shared" si="52"/>
        <v/>
      </c>
      <c r="R101" s="4" t="str">
        <f t="shared" si="53"/>
        <v/>
      </c>
      <c r="S101" s="5" t="str">
        <f t="shared" si="54"/>
        <v/>
      </c>
      <c r="T101" s="5" t="str">
        <f t="shared" si="55"/>
        <v/>
      </c>
      <c r="U101" s="205" t="str">
        <f t="shared" si="56"/>
        <v/>
      </c>
      <c r="V101" s="205" t="str">
        <f t="shared" si="57"/>
        <v/>
      </c>
      <c r="W101" s="205" t="str">
        <f t="shared" si="58"/>
        <v/>
      </c>
    </row>
    <row r="102" spans="1:23">
      <c r="A102" s="247" t="str">
        <f t="shared" si="41"/>
        <v/>
      </c>
      <c r="B102" s="248" t="str">
        <f t="shared" si="42"/>
        <v/>
      </c>
      <c r="C102" s="247" t="str">
        <f t="shared" si="43"/>
        <v/>
      </c>
      <c r="D102" s="189" t="str">
        <f t="shared" si="44"/>
        <v/>
      </c>
      <c r="E102" s="2">
        <v>82</v>
      </c>
      <c r="F102" s="15"/>
      <c r="G102" s="15"/>
      <c r="H102" s="2" t="str">
        <f t="shared" si="59"/>
        <v/>
      </c>
      <c r="I102" s="2" t="str">
        <f t="shared" si="61"/>
        <v/>
      </c>
      <c r="J102" s="3" t="str">
        <f t="shared" si="46"/>
        <v/>
      </c>
      <c r="L102" s="4" t="str">
        <f t="shared" si="60"/>
        <v/>
      </c>
      <c r="M102" s="4" t="str">
        <f t="shared" si="48"/>
        <v/>
      </c>
      <c r="N102" s="4" t="str">
        <f t="shared" si="49"/>
        <v/>
      </c>
      <c r="O102" s="4" t="str">
        <f t="shared" si="50"/>
        <v/>
      </c>
      <c r="P102" s="4" t="str">
        <f t="shared" si="51"/>
        <v/>
      </c>
      <c r="Q102" s="4" t="str">
        <f t="shared" si="52"/>
        <v/>
      </c>
      <c r="R102" s="4" t="str">
        <f t="shared" si="53"/>
        <v/>
      </c>
      <c r="S102" s="5" t="str">
        <f t="shared" si="54"/>
        <v/>
      </c>
      <c r="T102" s="5" t="str">
        <f t="shared" si="55"/>
        <v/>
      </c>
      <c r="U102" s="205" t="str">
        <f t="shared" si="56"/>
        <v/>
      </c>
      <c r="V102" s="205" t="str">
        <f t="shared" si="57"/>
        <v/>
      </c>
      <c r="W102" s="205" t="str">
        <f t="shared" si="58"/>
        <v/>
      </c>
    </row>
    <row r="103" spans="1:23">
      <c r="A103" s="247" t="str">
        <f t="shared" si="41"/>
        <v/>
      </c>
      <c r="B103" s="248" t="str">
        <f t="shared" si="42"/>
        <v/>
      </c>
      <c r="C103" s="247" t="str">
        <f t="shared" si="43"/>
        <v/>
      </c>
      <c r="D103" s="189" t="str">
        <f t="shared" si="44"/>
        <v/>
      </c>
      <c r="E103" s="2">
        <v>83</v>
      </c>
      <c r="F103" s="15"/>
      <c r="G103" s="15"/>
      <c r="H103" s="2" t="str">
        <f t="shared" si="59"/>
        <v/>
      </c>
      <c r="I103" s="2" t="str">
        <f t="shared" si="61"/>
        <v/>
      </c>
      <c r="J103" s="3" t="str">
        <f t="shared" si="46"/>
        <v/>
      </c>
      <c r="L103" s="4" t="str">
        <f t="shared" si="60"/>
        <v/>
      </c>
      <c r="M103" s="4" t="str">
        <f t="shared" si="48"/>
        <v/>
      </c>
      <c r="N103" s="4" t="str">
        <f t="shared" si="49"/>
        <v/>
      </c>
      <c r="O103" s="4" t="str">
        <f t="shared" si="50"/>
        <v/>
      </c>
      <c r="P103" s="4" t="str">
        <f t="shared" si="51"/>
        <v/>
      </c>
      <c r="Q103" s="4" t="str">
        <f t="shared" si="52"/>
        <v/>
      </c>
      <c r="R103" s="4" t="str">
        <f t="shared" si="53"/>
        <v/>
      </c>
      <c r="S103" s="5" t="str">
        <f t="shared" si="54"/>
        <v/>
      </c>
      <c r="T103" s="5" t="str">
        <f t="shared" si="55"/>
        <v/>
      </c>
      <c r="U103" s="205" t="str">
        <f t="shared" si="56"/>
        <v/>
      </c>
      <c r="V103" s="205" t="str">
        <f t="shared" si="57"/>
        <v/>
      </c>
      <c r="W103" s="205" t="str">
        <f t="shared" si="58"/>
        <v/>
      </c>
    </row>
    <row r="104" spans="1:23">
      <c r="A104" s="247" t="str">
        <f t="shared" si="41"/>
        <v/>
      </c>
      <c r="B104" s="248" t="str">
        <f t="shared" si="42"/>
        <v/>
      </c>
      <c r="C104" s="247" t="str">
        <f t="shared" si="43"/>
        <v/>
      </c>
      <c r="D104" s="189" t="str">
        <f t="shared" si="44"/>
        <v/>
      </c>
      <c r="E104" s="2">
        <v>84</v>
      </c>
      <c r="F104" s="15"/>
      <c r="G104" s="15"/>
      <c r="H104" s="2" t="str">
        <f t="shared" si="59"/>
        <v/>
      </c>
      <c r="I104" s="2" t="str">
        <f t="shared" si="61"/>
        <v/>
      </c>
      <c r="J104" s="3" t="str">
        <f t="shared" si="46"/>
        <v/>
      </c>
      <c r="L104" s="4" t="str">
        <f t="shared" si="60"/>
        <v/>
      </c>
      <c r="M104" s="4" t="str">
        <f t="shared" si="48"/>
        <v/>
      </c>
      <c r="N104" s="4" t="str">
        <f t="shared" si="49"/>
        <v/>
      </c>
      <c r="O104" s="4" t="str">
        <f t="shared" si="50"/>
        <v/>
      </c>
      <c r="P104" s="4" t="str">
        <f t="shared" si="51"/>
        <v/>
      </c>
      <c r="Q104" s="4" t="str">
        <f t="shared" si="52"/>
        <v/>
      </c>
      <c r="R104" s="4" t="str">
        <f t="shared" si="53"/>
        <v/>
      </c>
      <c r="S104" s="5" t="str">
        <f t="shared" si="54"/>
        <v/>
      </c>
      <c r="T104" s="5" t="str">
        <f t="shared" si="55"/>
        <v/>
      </c>
      <c r="U104" s="205" t="str">
        <f t="shared" si="56"/>
        <v/>
      </c>
      <c r="V104" s="205" t="str">
        <f t="shared" si="57"/>
        <v/>
      </c>
      <c r="W104" s="205" t="str">
        <f t="shared" si="58"/>
        <v/>
      </c>
    </row>
    <row r="105" spans="1:23">
      <c r="A105" s="247" t="str">
        <f t="shared" si="41"/>
        <v/>
      </c>
      <c r="B105" s="248" t="str">
        <f t="shared" si="42"/>
        <v/>
      </c>
      <c r="C105" s="247" t="str">
        <f t="shared" si="43"/>
        <v/>
      </c>
      <c r="D105" s="189" t="str">
        <f t="shared" si="44"/>
        <v/>
      </c>
      <c r="E105" s="2">
        <v>85</v>
      </c>
      <c r="F105" s="15"/>
      <c r="G105" s="15"/>
      <c r="H105" s="2" t="str">
        <f t="shared" si="59"/>
        <v/>
      </c>
      <c r="I105" s="2" t="str">
        <f t="shared" si="61"/>
        <v/>
      </c>
      <c r="J105" s="3" t="str">
        <f t="shared" si="46"/>
        <v/>
      </c>
      <c r="L105" s="4" t="str">
        <f t="shared" si="60"/>
        <v/>
      </c>
      <c r="M105" s="4" t="str">
        <f t="shared" si="48"/>
        <v/>
      </c>
      <c r="N105" s="4" t="str">
        <f t="shared" si="49"/>
        <v/>
      </c>
      <c r="O105" s="4" t="str">
        <f t="shared" si="50"/>
        <v/>
      </c>
      <c r="P105" s="4" t="str">
        <f t="shared" si="51"/>
        <v/>
      </c>
      <c r="Q105" s="4" t="str">
        <f t="shared" si="52"/>
        <v/>
      </c>
      <c r="R105" s="4" t="str">
        <f t="shared" si="53"/>
        <v/>
      </c>
      <c r="S105" s="5" t="str">
        <f t="shared" si="54"/>
        <v/>
      </c>
      <c r="T105" s="5" t="str">
        <f t="shared" si="55"/>
        <v/>
      </c>
      <c r="U105" s="205" t="str">
        <f t="shared" si="56"/>
        <v/>
      </c>
      <c r="V105" s="205" t="str">
        <f>IF(AND($F$15="FPM",F105&lt;&gt;""),I105*$V$118,"")</f>
        <v/>
      </c>
      <c r="W105" s="205" t="str">
        <f t="shared" si="58"/>
        <v/>
      </c>
    </row>
    <row r="106" spans="1:23">
      <c r="S106" s="5" t="str">
        <f>IF(AND($F$15="MPM",F106&lt;&gt;""),I106*$S$118,"")</f>
        <v/>
      </c>
      <c r="T106" s="5" t="str">
        <f t="shared" si="55"/>
        <v/>
      </c>
      <c r="U106" s="205" t="str">
        <f>IF(AND($F$15="FPM",F106&lt;&gt;""),I106*$U$118,"")</f>
        <v/>
      </c>
      <c r="V106" s="205" t="str">
        <f>IF(AND($F$15="FPM",F106&lt;&gt;""),I106*$V$118,"")</f>
        <v/>
      </c>
      <c r="W106" s="205" t="str">
        <f>IF(AND($F$15="FPM",F106&lt;&gt;""),I106*$W$118,"")</f>
        <v/>
      </c>
    </row>
    <row r="107" spans="1:23">
      <c r="S107" s="5" t="str">
        <f>IF(AND($F$15="MPM",F107&lt;&gt;""),I107*$S$118,"")</f>
        <v/>
      </c>
      <c r="T107" s="5" t="str">
        <f>IF(AND($F$15="MPM",F107&lt;&gt;""),I107*$T$118,"")</f>
        <v/>
      </c>
      <c r="U107" s="205" t="str">
        <f>IF(AND($F$15="FPM",F107&lt;&gt;""),I107*$U$118,"")</f>
        <v/>
      </c>
      <c r="V107" s="205" t="str">
        <f>IF(AND($F$15="FPM",F107&lt;&gt;""),I107*$V$118,"")</f>
        <v/>
      </c>
      <c r="W107" s="205" t="str">
        <f>IF(AND($F$15="FPM",F107&lt;&gt;""),I107*$W$118,"")</f>
        <v/>
      </c>
    </row>
    <row r="117" spans="1:23">
      <c r="F117" s="2" t="s">
        <v>190</v>
      </c>
      <c r="G117" s="2" t="s">
        <v>193</v>
      </c>
      <c r="L117" s="2" t="s">
        <v>217</v>
      </c>
      <c r="M117" s="2" t="s">
        <v>218</v>
      </c>
      <c r="N117" s="2" t="s">
        <v>219</v>
      </c>
      <c r="O117" s="2" t="s">
        <v>220</v>
      </c>
      <c r="P117" s="2" t="s">
        <v>219</v>
      </c>
      <c r="Q117" s="2" t="s">
        <v>221</v>
      </c>
      <c r="R117" s="2"/>
      <c r="S117" t="s">
        <v>213</v>
      </c>
      <c r="U117" s="2" t="s">
        <v>148</v>
      </c>
      <c r="V117" s="2" t="s">
        <v>219</v>
      </c>
      <c r="W117" s="2" t="s">
        <v>148</v>
      </c>
    </row>
    <row r="118" spans="1:23">
      <c r="A118" s="30">
        <v>1.8</v>
      </c>
      <c r="F118" s="2" t="s">
        <v>222</v>
      </c>
      <c r="G118" s="2" t="s">
        <v>213</v>
      </c>
      <c r="L118" s="205">
        <f>Parts!M19</f>
        <v>2.2454000000000001</v>
      </c>
      <c r="M118" s="205">
        <f>Parts!M25</f>
        <v>3.0084</v>
      </c>
      <c r="N118" s="4">
        <f>Parts!M150</f>
        <v>0.73030000000000006</v>
      </c>
      <c r="O118" s="205">
        <f>Parts!M26</f>
        <v>8.7200000000000014E-2</v>
      </c>
      <c r="P118" s="4">
        <f>Parts!M6</f>
        <v>0.30520000000000003</v>
      </c>
      <c r="Q118" s="4">
        <f>Parts!M5</f>
        <v>0.19620000000000001</v>
      </c>
      <c r="R118" s="205">
        <f>Parts!M81</f>
        <v>9.7446000000000002</v>
      </c>
      <c r="S118" s="104">
        <f>Parts!M37</f>
        <v>0.31391999999999998</v>
      </c>
      <c r="T118" s="104">
        <f>Parts!M40</f>
        <v>4.3600000000000007E-2</v>
      </c>
      <c r="U118" s="205">
        <f>Parts!M41</f>
        <v>1.043239</v>
      </c>
      <c r="V118" s="205">
        <f>Parts!M7</f>
        <v>0.98100000000000009</v>
      </c>
      <c r="W118" s="205">
        <f>Parts!M10</f>
        <v>0.76300000000000001</v>
      </c>
    </row>
    <row r="119" spans="1:23">
      <c r="A119" s="30">
        <v>1.81</v>
      </c>
      <c r="M119" s="2" t="s">
        <v>223</v>
      </c>
    </row>
    <row r="120" spans="1:23">
      <c r="A120" s="30">
        <v>1.82</v>
      </c>
      <c r="M120">
        <f>Parts!M21+Parts!M22</f>
        <v>2.3980000000000001</v>
      </c>
    </row>
    <row r="121" spans="1:23">
      <c r="A121" s="30">
        <v>1.83</v>
      </c>
    </row>
    <row r="122" spans="1:23">
      <c r="A122" s="30">
        <v>1.84</v>
      </c>
    </row>
    <row r="123" spans="1:23">
      <c r="A123" s="30">
        <v>1.85</v>
      </c>
    </row>
    <row r="124" spans="1:23">
      <c r="A124" s="30">
        <v>1.86</v>
      </c>
    </row>
    <row r="125" spans="1:23">
      <c r="A125" s="30">
        <v>1.87</v>
      </c>
    </row>
    <row r="126" spans="1:23">
      <c r="A126" s="30">
        <v>1.88</v>
      </c>
    </row>
    <row r="127" spans="1:23">
      <c r="A127" s="30">
        <v>1.89</v>
      </c>
    </row>
    <row r="128" spans="1:23">
      <c r="A128" s="30">
        <v>1.9</v>
      </c>
    </row>
    <row r="129" spans="1:1">
      <c r="A129" s="30">
        <v>1.91</v>
      </c>
    </row>
    <row r="130" spans="1:1">
      <c r="A130" s="30">
        <v>1.92</v>
      </c>
    </row>
    <row r="131" spans="1:1">
      <c r="A131" s="30">
        <v>1.93</v>
      </c>
    </row>
    <row r="132" spans="1:1">
      <c r="A132" s="30">
        <v>1.94</v>
      </c>
    </row>
    <row r="133" spans="1:1">
      <c r="A133" s="30">
        <v>1.95</v>
      </c>
    </row>
    <row r="134" spans="1:1">
      <c r="A134" s="30">
        <v>1.96</v>
      </c>
    </row>
    <row r="135" spans="1:1">
      <c r="A135" s="30">
        <v>1.97</v>
      </c>
    </row>
    <row r="136" spans="1:1">
      <c r="A136" s="30">
        <v>1.98</v>
      </c>
    </row>
    <row r="137" spans="1:1">
      <c r="A137" s="30">
        <v>1.99</v>
      </c>
    </row>
    <row r="138" spans="1:1">
      <c r="A138" s="30">
        <v>2</v>
      </c>
    </row>
    <row r="139" spans="1:1">
      <c r="A139" s="30">
        <v>2.0099999999999998</v>
      </c>
    </row>
    <row r="140" spans="1:1">
      <c r="A140" s="30">
        <v>2.02</v>
      </c>
    </row>
    <row r="141" spans="1:1">
      <c r="A141" s="30">
        <v>2.0299999999999998</v>
      </c>
    </row>
    <row r="142" spans="1:1">
      <c r="A142" s="30">
        <v>2.04</v>
      </c>
    </row>
    <row r="143" spans="1:1">
      <c r="A143" s="30">
        <v>2.0499999999999998</v>
      </c>
    </row>
    <row r="144" spans="1:1">
      <c r="A144" s="30">
        <v>2.06</v>
      </c>
    </row>
    <row r="145" spans="1:1">
      <c r="A145" s="30">
        <v>2.0699999999999998</v>
      </c>
    </row>
    <row r="146" spans="1:1">
      <c r="A146" s="30">
        <v>2.08</v>
      </c>
    </row>
    <row r="147" spans="1:1">
      <c r="A147" s="30">
        <v>2.09</v>
      </c>
    </row>
    <row r="148" spans="1:1">
      <c r="A148" s="30">
        <v>2.1</v>
      </c>
    </row>
    <row r="149" spans="1:1">
      <c r="A149" s="30">
        <v>2.11</v>
      </c>
    </row>
    <row r="150" spans="1:1">
      <c r="A150" s="30">
        <v>2.12</v>
      </c>
    </row>
    <row r="151" spans="1:1">
      <c r="A151" s="30">
        <v>2.13</v>
      </c>
    </row>
    <row r="152" spans="1:1">
      <c r="A152" s="30">
        <v>2.14</v>
      </c>
    </row>
    <row r="153" spans="1:1">
      <c r="A153" s="30">
        <v>2.15</v>
      </c>
    </row>
    <row r="154" spans="1:1">
      <c r="A154" s="30">
        <v>2.16</v>
      </c>
    </row>
    <row r="155" spans="1:1">
      <c r="A155" s="30">
        <v>2.17</v>
      </c>
    </row>
    <row r="156" spans="1:1">
      <c r="A156" s="30">
        <v>2.1800000000000002</v>
      </c>
    </row>
    <row r="157" spans="1:1">
      <c r="A157" s="30">
        <v>2.19</v>
      </c>
    </row>
    <row r="158" spans="1:1">
      <c r="A158" s="30">
        <v>2.2000000000000002</v>
      </c>
    </row>
    <row r="159" spans="1:1">
      <c r="A159" s="30">
        <v>2.21</v>
      </c>
    </row>
    <row r="160" spans="1:1">
      <c r="A160" s="30">
        <v>2.2200000000000002</v>
      </c>
    </row>
    <row r="161" spans="1:1">
      <c r="A161" s="30">
        <v>2.23</v>
      </c>
    </row>
    <row r="162" spans="1:1">
      <c r="A162" s="30">
        <v>2.2400000000000002</v>
      </c>
    </row>
    <row r="163" spans="1:1">
      <c r="A163" s="30">
        <v>2.25</v>
      </c>
    </row>
    <row r="164" spans="1:1">
      <c r="A164" s="30">
        <v>2.2599999999999998</v>
      </c>
    </row>
    <row r="165" spans="1:1">
      <c r="A165" s="30">
        <v>2.27</v>
      </c>
    </row>
    <row r="166" spans="1:1">
      <c r="A166" s="30">
        <v>2.2799999999999998</v>
      </c>
    </row>
    <row r="167" spans="1:1">
      <c r="A167" s="30">
        <v>2.29</v>
      </c>
    </row>
    <row r="168" spans="1:1">
      <c r="A168" s="30">
        <v>2.2999999999999998</v>
      </c>
    </row>
    <row r="169" spans="1:1">
      <c r="A169" s="30">
        <v>2.31</v>
      </c>
    </row>
    <row r="170" spans="1:1">
      <c r="A170" s="30">
        <v>2.3199999999999998</v>
      </c>
    </row>
    <row r="171" spans="1:1">
      <c r="A171" s="30">
        <v>2.33</v>
      </c>
    </row>
    <row r="172" spans="1:1">
      <c r="A172" s="30">
        <v>2.34</v>
      </c>
    </row>
    <row r="173" spans="1:1">
      <c r="A173" s="30">
        <v>2.35</v>
      </c>
    </row>
    <row r="174" spans="1:1">
      <c r="A174" s="30">
        <v>2.36</v>
      </c>
    </row>
    <row r="175" spans="1:1">
      <c r="A175" s="30">
        <v>2.37</v>
      </c>
    </row>
    <row r="176" spans="1:1">
      <c r="A176" s="30">
        <v>2.38</v>
      </c>
    </row>
    <row r="177" spans="1:1">
      <c r="A177" s="30">
        <v>2.39</v>
      </c>
    </row>
    <row r="178" spans="1:1">
      <c r="A178" s="30">
        <v>2.4</v>
      </c>
    </row>
    <row r="179" spans="1:1">
      <c r="A179" s="30">
        <v>2.41</v>
      </c>
    </row>
    <row r="180" spans="1:1">
      <c r="A180" s="30">
        <v>2.42</v>
      </c>
    </row>
    <row r="181" spans="1:1">
      <c r="A181" s="30">
        <v>2.4300000000000002</v>
      </c>
    </row>
    <row r="182" spans="1:1">
      <c r="A182" s="30">
        <v>2.44</v>
      </c>
    </row>
    <row r="183" spans="1:1">
      <c r="A183" s="30">
        <v>2.4500000000000002</v>
      </c>
    </row>
    <row r="184" spans="1:1">
      <c r="A184" s="30">
        <v>2.46</v>
      </c>
    </row>
    <row r="185" spans="1:1">
      <c r="A185" s="30">
        <v>2.4700000000000002</v>
      </c>
    </row>
    <row r="186" spans="1:1">
      <c r="A186" s="30">
        <v>2.48</v>
      </c>
    </row>
    <row r="187" spans="1:1">
      <c r="A187" s="30">
        <v>2.4900000000000002</v>
      </c>
    </row>
    <row r="188" spans="1:1">
      <c r="A188" s="30">
        <v>2.5</v>
      </c>
    </row>
  </sheetData>
  <sheetProtection algorithmName="SHA-512" hashValue="fqrl/vwriPoCJxAeQ5eJTYH01/gvcbbsOMbYPvr2WTzGDc5JiUc4sdNBApB4kPimhrvliSfikjebmnz1vGw5Tw==" saltValue="2aQlpq8/NK6IkTCAt3kyEg==" spinCount="100000" sheet="1" objects="1" scenarios="1"/>
  <mergeCells count="13">
    <mergeCell ref="E1:H1"/>
    <mergeCell ref="F18:G18"/>
    <mergeCell ref="A15:C15"/>
    <mergeCell ref="G10:K10"/>
    <mergeCell ref="G11:K11"/>
    <mergeCell ref="G12:K12"/>
    <mergeCell ref="G15:J15"/>
    <mergeCell ref="G13:K13"/>
    <mergeCell ref="A1:C1"/>
    <mergeCell ref="A3:C3"/>
    <mergeCell ref="A4:C5"/>
    <mergeCell ref="A11:C13"/>
    <mergeCell ref="A6:C7"/>
  </mergeCells>
  <conditionalFormatting sqref="A11">
    <cfRule type="expression" dxfId="64" priority="4">
      <formula>P11&gt;0.149</formula>
    </cfRule>
  </conditionalFormatting>
  <conditionalFormatting sqref="A17">
    <cfRule type="expression" dxfId="63" priority="1">
      <formula>P11&gt;0.149</formula>
    </cfRule>
    <cfRule type="expression" dxfId="62" priority="2">
      <formula>P11&lt;0.15</formula>
    </cfRule>
  </conditionalFormatting>
  <conditionalFormatting sqref="A11:C13">
    <cfRule type="expression" dxfId="61" priority="3">
      <formula>P11&lt;0.15</formula>
    </cfRule>
  </conditionalFormatting>
  <conditionalFormatting sqref="P11">
    <cfRule type="cellIs" dxfId="60" priority="5" operator="lessThan">
      <formula>0.15</formula>
    </cfRule>
    <cfRule type="cellIs" dxfId="59" priority="6" operator="greaterThan">
      <formula>0.149</formula>
    </cfRule>
  </conditionalFormatting>
  <dataValidations count="3">
    <dataValidation type="list" allowBlank="1" showInputMessage="1" showErrorMessage="1" sqref="F14" xr:uid="{F7762BA5-1C89-4009-87BD-7A34EE21E489}">
      <formula1>$F$117:$F$118</formula1>
    </dataValidation>
    <dataValidation type="list" allowBlank="1" showInputMessage="1" showErrorMessage="1" sqref="F15" xr:uid="{AA4F1F80-2F43-4956-BB69-E75736058754}">
      <formula1>$G$117:$G$118</formula1>
    </dataValidation>
    <dataValidation type="list" allowBlank="1" showInputMessage="1" showErrorMessage="1" sqref="A19" xr:uid="{BB4C762F-104A-4DFA-AA13-512595802F84}">
      <formula1>$A$118:$A$188</formula1>
    </dataValidation>
  </dataValidations>
  <pageMargins left="0.7" right="0.7" top="0.75" bottom="0.75" header="0.3" footer="0.3"/>
  <pageSetup scale="79" fitToWidth="2" orientation="landscape" r:id="rId1"/>
  <ignoredErrors>
    <ignoredError sqref="O18:P18 S20:T20" evalError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C140E-55C9-4550-932D-F31A28CD0AFE}">
  <sheetPr codeName="Sheet10">
    <tabColor rgb="FF92D050"/>
    <pageSetUpPr fitToPage="1"/>
  </sheetPr>
  <dimension ref="A1:T217"/>
  <sheetViews>
    <sheetView workbookViewId="0">
      <selection activeCell="A7" sqref="A7:O74"/>
    </sheetView>
  </sheetViews>
  <sheetFormatPr defaultRowHeight="15"/>
  <cols>
    <col min="1" max="3" width="14.140625" customWidth="1"/>
    <col min="4" max="4" width="12.85546875" customWidth="1"/>
    <col min="5" max="5" width="13.5703125" customWidth="1"/>
    <col min="6" max="6" width="15.28515625" style="2" customWidth="1"/>
    <col min="7" max="7" width="15.7109375" style="2" customWidth="1"/>
    <col min="8" max="8" width="12.28515625" customWidth="1"/>
    <col min="9" max="9" width="13" style="2" customWidth="1"/>
    <col min="10" max="10" width="12.42578125" style="2" customWidth="1"/>
    <col min="11" max="11" width="11.28515625" style="2" customWidth="1"/>
    <col min="12" max="12" width="13.5703125" customWidth="1"/>
    <col min="13" max="13" width="14.28515625" customWidth="1"/>
    <col min="14" max="14" width="13.7109375" customWidth="1"/>
    <col min="15" max="15" width="12" customWidth="1"/>
    <col min="16" max="17" width="12.28515625" customWidth="1"/>
    <col min="18" max="18" width="12.42578125" customWidth="1"/>
    <col min="19" max="19" width="12.85546875" customWidth="1"/>
    <col min="20" max="20" width="12.42578125" customWidth="1"/>
  </cols>
  <sheetData>
    <row r="1" spans="1:20">
      <c r="A1" s="337" t="s">
        <v>163</v>
      </c>
      <c r="B1" s="337"/>
      <c r="C1" s="337"/>
      <c r="E1" s="356" t="s">
        <v>87</v>
      </c>
      <c r="F1" s="356"/>
      <c r="G1" s="356"/>
      <c r="H1" s="356"/>
      <c r="O1" s="22" t="s">
        <v>164</v>
      </c>
    </row>
    <row r="2" spans="1:20">
      <c r="A2" t="s">
        <v>224</v>
      </c>
      <c r="L2" s="254" t="s">
        <v>203</v>
      </c>
      <c r="M2" s="254" t="s">
        <v>176</v>
      </c>
      <c r="O2" s="27">
        <f>COUNT(A22:A106)</f>
        <v>4</v>
      </c>
    </row>
    <row r="3" spans="1:20">
      <c r="A3" s="303" t="s">
        <v>225</v>
      </c>
      <c r="B3" s="303"/>
      <c r="C3" s="303"/>
      <c r="E3" s="1" t="s">
        <v>226</v>
      </c>
      <c r="L3" s="2" t="s">
        <v>227</v>
      </c>
      <c r="M3" s="2" t="s">
        <v>228</v>
      </c>
      <c r="N3" s="2"/>
      <c r="O3" s="22" t="s">
        <v>168</v>
      </c>
    </row>
    <row r="4" spans="1:20">
      <c r="A4" s="370" t="s">
        <v>169</v>
      </c>
      <c r="B4" s="371"/>
      <c r="C4" s="371"/>
      <c r="E4" s="1" t="s">
        <v>229</v>
      </c>
      <c r="L4" s="2" t="s">
        <v>230</v>
      </c>
      <c r="M4" s="201" t="s">
        <v>231</v>
      </c>
      <c r="N4" s="201"/>
      <c r="O4" s="90">
        <v>20</v>
      </c>
      <c r="R4" s="2"/>
      <c r="S4" s="19"/>
    </row>
    <row r="5" spans="1:20">
      <c r="A5" s="371"/>
      <c r="B5" s="371"/>
      <c r="C5" s="371"/>
      <c r="J5" s="96"/>
      <c r="L5" s="22" t="s">
        <v>232</v>
      </c>
      <c r="M5" s="22" t="s">
        <v>233</v>
      </c>
      <c r="N5" s="5"/>
      <c r="O5" s="2" t="s">
        <v>174</v>
      </c>
      <c r="R5" s="2"/>
      <c r="S5" s="197"/>
      <c r="T5" s="2"/>
    </row>
    <row r="6" spans="1:20" ht="33" customHeight="1">
      <c r="A6" s="370" t="s">
        <v>175</v>
      </c>
      <c r="B6" s="370"/>
      <c r="C6" s="370"/>
      <c r="E6" s="1" t="s">
        <v>176</v>
      </c>
      <c r="L6" s="22" t="s">
        <v>234</v>
      </c>
      <c r="M6" s="22" t="s">
        <v>235</v>
      </c>
      <c r="N6" s="5"/>
      <c r="O6" s="2">
        <v>50</v>
      </c>
      <c r="P6" s="5"/>
      <c r="Q6" s="5"/>
      <c r="R6" s="5"/>
      <c r="S6" s="202"/>
      <c r="T6" s="2"/>
    </row>
    <row r="7" spans="1:20">
      <c r="A7" s="5"/>
      <c r="E7" s="1" t="s">
        <v>236</v>
      </c>
      <c r="L7" s="22" t="s">
        <v>237</v>
      </c>
      <c r="M7" s="22" t="s">
        <v>238</v>
      </c>
      <c r="N7" s="5"/>
      <c r="O7" s="5"/>
      <c r="R7" s="22"/>
      <c r="S7" s="5"/>
      <c r="T7" s="203"/>
    </row>
    <row r="8" spans="1:20">
      <c r="L8" s="22" t="s">
        <v>239</v>
      </c>
      <c r="M8" s="22" t="s">
        <v>240</v>
      </c>
      <c r="N8" s="5"/>
      <c r="O8" s="22" t="s">
        <v>182</v>
      </c>
      <c r="R8" s="5"/>
      <c r="S8" s="5"/>
      <c r="T8" s="2"/>
    </row>
    <row r="9" spans="1:20">
      <c r="L9" s="5"/>
      <c r="M9" s="5"/>
      <c r="N9" s="5"/>
      <c r="O9" s="249">
        <f>L13-M10</f>
        <v>86.767701623042171</v>
      </c>
      <c r="Q9" s="303"/>
      <c r="R9" s="303"/>
      <c r="S9" s="5"/>
    </row>
    <row r="10" spans="1:20">
      <c r="E10" s="1" t="s">
        <v>183</v>
      </c>
      <c r="G10" s="360" t="s">
        <v>241</v>
      </c>
      <c r="H10" s="361"/>
      <c r="I10" s="362"/>
      <c r="J10" s="96"/>
      <c r="K10" s="2" t="s">
        <v>171</v>
      </c>
      <c r="L10" s="5"/>
      <c r="M10" s="156">
        <f>SUM(M11:M15)</f>
        <v>197.37001743197413</v>
      </c>
      <c r="N10" s="5"/>
      <c r="O10" s="22" t="s">
        <v>184</v>
      </c>
      <c r="Q10" s="5"/>
      <c r="R10" s="156"/>
      <c r="S10" s="5"/>
    </row>
    <row r="11" spans="1:20">
      <c r="A11" s="376" t="s">
        <v>185</v>
      </c>
      <c r="B11" s="376"/>
      <c r="C11" s="376"/>
      <c r="E11" s="1" t="s">
        <v>186</v>
      </c>
      <c r="G11" s="388">
        <v>45309</v>
      </c>
      <c r="H11" s="361"/>
      <c r="I11" s="362"/>
      <c r="K11" s="2" t="s">
        <v>172</v>
      </c>
      <c r="L11" s="5">
        <f>A18</f>
        <v>568.2754381100325</v>
      </c>
      <c r="M11" s="5">
        <f>(O2*O4/60)*O6</f>
        <v>66.666666666666657</v>
      </c>
      <c r="N11" s="5" t="s">
        <v>173</v>
      </c>
      <c r="O11" s="216">
        <f>O9/L11</f>
        <v>0.15268599662095858</v>
      </c>
      <c r="Q11" s="5"/>
      <c r="R11" s="5"/>
      <c r="S11" s="5"/>
    </row>
    <row r="12" spans="1:20">
      <c r="A12" s="376"/>
      <c r="B12" s="376"/>
      <c r="C12" s="376"/>
      <c r="E12" s="1" t="s">
        <v>187</v>
      </c>
      <c r="G12" s="366" t="s">
        <v>242</v>
      </c>
      <c r="H12" s="361"/>
      <c r="I12" s="362"/>
      <c r="K12" s="2" t="s">
        <v>177</v>
      </c>
      <c r="L12" s="5">
        <f>F19</f>
        <v>284.13771905501619</v>
      </c>
      <c r="M12" s="5">
        <f>A18*0.03</f>
        <v>17.048263143300975</v>
      </c>
      <c r="N12" s="5" t="s">
        <v>178</v>
      </c>
      <c r="O12" s="5"/>
      <c r="P12" s="5"/>
      <c r="Q12" s="5"/>
      <c r="R12" s="5"/>
      <c r="S12" s="5"/>
    </row>
    <row r="13" spans="1:20">
      <c r="A13" s="376"/>
      <c r="B13" s="376"/>
      <c r="C13" s="376"/>
      <c r="E13" s="1"/>
      <c r="G13" s="366"/>
      <c r="H13" s="367"/>
      <c r="I13" s="368"/>
      <c r="L13" s="156">
        <f>L11-L12</f>
        <v>284.1377190550163</v>
      </c>
      <c r="M13" s="5">
        <f>A18*0.2</f>
        <v>113.6550876220065</v>
      </c>
      <c r="N13" s="5" t="s">
        <v>180</v>
      </c>
      <c r="Q13" s="156"/>
      <c r="R13" s="5"/>
      <c r="S13" s="5"/>
    </row>
    <row r="14" spans="1:20" ht="17.25" customHeight="1">
      <c r="B14" s="250"/>
      <c r="E14" s="1"/>
      <c r="G14" s="385"/>
      <c r="H14" s="386"/>
      <c r="I14" s="387"/>
      <c r="L14" s="5"/>
      <c r="M14" s="5"/>
      <c r="N14" s="5"/>
      <c r="R14" s="105"/>
      <c r="S14" s="5"/>
    </row>
    <row r="15" spans="1:20" ht="15.75" thickBot="1">
      <c r="B15" s="250"/>
      <c r="L15" s="5"/>
      <c r="M15" s="5"/>
      <c r="N15" s="5"/>
      <c r="O15" s="5"/>
      <c r="R15" s="5"/>
      <c r="S15" s="5"/>
    </row>
    <row r="16" spans="1:20" ht="16.5" thickTop="1" thickBot="1">
      <c r="B16" s="250"/>
      <c r="E16" s="289" t="s">
        <v>243</v>
      </c>
      <c r="F16" s="206" t="s">
        <v>190</v>
      </c>
      <c r="H16" s="383" t="s">
        <v>244</v>
      </c>
      <c r="I16" s="384"/>
      <c r="J16" s="206"/>
      <c r="K16" s="43" t="s">
        <v>245</v>
      </c>
      <c r="L16" s="5"/>
      <c r="M16" s="5"/>
      <c r="N16" s="5"/>
      <c r="O16" s="5"/>
      <c r="P16" s="5"/>
      <c r="Q16" s="5"/>
      <c r="R16" s="5"/>
      <c r="S16" s="5"/>
    </row>
    <row r="17" spans="1:20" ht="16.5" thickTop="1" thickBot="1">
      <c r="B17" s="250"/>
      <c r="E17" s="2"/>
      <c r="J17" s="96"/>
      <c r="L17" s="5"/>
      <c r="M17" s="5"/>
      <c r="N17" s="5"/>
      <c r="O17" s="5"/>
      <c r="P17" s="5"/>
      <c r="Q17" s="5"/>
      <c r="R17" s="5"/>
      <c r="S17" s="5"/>
    </row>
    <row r="18" spans="1:20" ht="15.75" thickBot="1">
      <c r="A18" s="241">
        <f>SUM(A22:A106)</f>
        <v>568.2754381100325</v>
      </c>
      <c r="B18" s="5">
        <f t="shared" ref="B18:C18" si="0">SUM(B22:B106)</f>
        <v>710.34429763754054</v>
      </c>
      <c r="C18" s="241">
        <f t="shared" si="0"/>
        <v>852.41315716504869</v>
      </c>
      <c r="E18" s="2"/>
    </row>
    <row r="19" spans="1:20" ht="15.75" thickBot="1">
      <c r="A19" s="251" t="s">
        <v>171</v>
      </c>
      <c r="B19" s="254" t="s">
        <v>195</v>
      </c>
      <c r="C19" s="251" t="s">
        <v>246</v>
      </c>
      <c r="E19" s="286" t="s">
        <v>197</v>
      </c>
      <c r="F19" s="357">
        <f>SUM(L19:T19)</f>
        <v>284.13771905501619</v>
      </c>
      <c r="G19" s="358"/>
      <c r="H19" s="8" t="s">
        <v>198</v>
      </c>
      <c r="I19" s="2">
        <f>SUM(I22:I106)</f>
        <v>48</v>
      </c>
      <c r="J19" s="3">
        <f>SUM(J22:J106)</f>
        <v>92.944444444444457</v>
      </c>
      <c r="L19" s="204">
        <f>SUM(L22:L106)</f>
        <v>151.9641666666667</v>
      </c>
      <c r="M19" s="204">
        <f t="shared" ref="M19:T19" si="1">SUM(M22:M106)</f>
        <v>0</v>
      </c>
      <c r="N19" s="204">
        <f t="shared" si="1"/>
        <v>0</v>
      </c>
      <c r="O19" s="204">
        <f t="shared" si="1"/>
        <v>6.3387203883495147</v>
      </c>
      <c r="P19" s="204">
        <f t="shared" si="1"/>
        <v>15.068159999999999</v>
      </c>
      <c r="Q19" s="204">
        <f t="shared" si="1"/>
        <v>9.4176000000000002</v>
      </c>
      <c r="R19" s="204">
        <f t="shared" si="1"/>
        <v>50.075472000000005</v>
      </c>
      <c r="S19" s="204">
        <f t="shared" si="1"/>
        <v>14.649600000000001</v>
      </c>
      <c r="T19" s="204">
        <f t="shared" si="1"/>
        <v>36.624000000000002</v>
      </c>
    </row>
    <row r="20" spans="1:20" ht="16.5" thickTop="1" thickBot="1">
      <c r="A20" s="207">
        <v>2</v>
      </c>
      <c r="B20" s="2">
        <f>A20+0.5</f>
        <v>2.5</v>
      </c>
      <c r="C20" s="252">
        <f>B20+0.5</f>
        <v>3</v>
      </c>
      <c r="E20" s="286"/>
      <c r="F20" s="381"/>
      <c r="G20" s="382"/>
      <c r="J20" s="2" t="s">
        <v>199</v>
      </c>
      <c r="K20" s="25" t="s">
        <v>200</v>
      </c>
      <c r="L20" s="2">
        <f>COUNT(J22:J106)</f>
        <v>4</v>
      </c>
      <c r="M20" s="2">
        <f>SUM(G22:G106)/240*1.2</f>
        <v>1.84</v>
      </c>
      <c r="N20" s="2">
        <f>N19/N119</f>
        <v>0</v>
      </c>
      <c r="O20" s="2">
        <f>ROUNDUP(O19/O119,1)</f>
        <v>0.7</v>
      </c>
      <c r="R20" s="2">
        <f>R19/R119</f>
        <v>48</v>
      </c>
      <c r="S20" s="2">
        <f>S19/S119</f>
        <v>48</v>
      </c>
      <c r="T20" s="2">
        <f>T19/T119</f>
        <v>48</v>
      </c>
    </row>
    <row r="21" spans="1:20" ht="16.5" thickTop="1" thickBot="1">
      <c r="A21" s="253">
        <v>2.52E-2</v>
      </c>
      <c r="B21" s="96">
        <v>0.05</v>
      </c>
      <c r="C21" s="253">
        <v>0.08</v>
      </c>
      <c r="D21" s="254" t="s">
        <v>247</v>
      </c>
      <c r="E21" s="244" t="s">
        <v>202</v>
      </c>
      <c r="F21" s="245" t="s">
        <v>203</v>
      </c>
      <c r="G21" s="245" t="s">
        <v>204</v>
      </c>
      <c r="H21" s="2" t="s">
        <v>176</v>
      </c>
      <c r="I21" s="2" t="s">
        <v>199</v>
      </c>
      <c r="J21" s="2" t="s">
        <v>205</v>
      </c>
      <c r="L21" s="181" t="s">
        <v>206</v>
      </c>
      <c r="M21" s="2" t="s">
        <v>248</v>
      </c>
      <c r="N21" s="2" t="s">
        <v>249</v>
      </c>
      <c r="O21" s="2" t="s">
        <v>212</v>
      </c>
      <c r="P21" s="2" t="s">
        <v>213</v>
      </c>
      <c r="Q21" s="2" t="s">
        <v>250</v>
      </c>
      <c r="R21" s="2" t="s">
        <v>193</v>
      </c>
      <c r="S21" s="2" t="s">
        <v>215</v>
      </c>
      <c r="T21" s="2" t="s">
        <v>216</v>
      </c>
    </row>
    <row r="22" spans="1:20" ht="15.75" thickTop="1">
      <c r="A22" s="255">
        <f t="shared" ref="A22:A53" si="2">IF(F22&lt;&gt;"",D22*$A$20,"")</f>
        <v>119.40529521035602</v>
      </c>
      <c r="B22" s="248">
        <f t="shared" ref="B22:B53" si="3">IF(F22&lt;&gt;"",D22*$B$20,"")</f>
        <v>149.25661901294501</v>
      </c>
      <c r="C22" s="255">
        <f t="shared" ref="C22:C53" si="4">IF(F22&lt;&gt;"",D22*$C$20,"")</f>
        <v>179.10794281553402</v>
      </c>
      <c r="D22" s="256">
        <f>IF(J22&lt;&gt;"",SUM(L22:T22),"")</f>
        <v>59.702647605178008</v>
      </c>
      <c r="E22" s="2">
        <v>1</v>
      </c>
      <c r="F22" s="243">
        <v>32</v>
      </c>
      <c r="G22" s="243">
        <v>88</v>
      </c>
      <c r="H22" s="2">
        <f>IF(G22="","",IF(AND($F$16="AT",F22&lt;36.1),24,IF(AND($F$16="AT",F22&gt;36,F22&lt;42.1),20,IF(AND($F$16="AT",F22&gt;42,F22&lt;54.1),16,IF(AND($F$16="AT",F22&gt;54,F22&lt;78.1),12,IF(AND($F$16="AT",F22&gt;78, F22&lt;114),8,IF(AND($F$16="AT",F22&gt;114,F22&lt;144.1),4,IF(AND($F$16="DM",F22&lt;36.1),24,IF(AND($F$16="DM",F22&gt;36,F22&lt;42.1),20,IF(AND($F$16="DM",F22&gt;42,F22&lt;54.1),16,IF(AND($F$16="DM",F22&gt;54,F22&lt;78.1),12,IF(AND($F$16="DM",F22&gt;78, F22&lt;114),8,IF(AND($F$16="DM",F22&gt;114,F22&lt;144.1),4,"?")))))))))))))</f>
        <v>24</v>
      </c>
      <c r="I22" s="2">
        <f>IF(G22 =  "","",ROUNDUP(G22/H22,0)*2+2)</f>
        <v>10</v>
      </c>
      <c r="J22" s="3">
        <f t="shared" ref="J22:J53" si="5">IF(G22="","",F22*G22/144)</f>
        <v>19.555555555555557</v>
      </c>
      <c r="L22" s="4">
        <f>IF(J22="","",J22*$L$119)</f>
        <v>31.97333333333334</v>
      </c>
      <c r="M22" s="4" t="str">
        <f t="shared" ref="M22:M53" si="6">IF(OR($F$16="DM", J22=""),"",(G22*2/12)*$M$119)</f>
        <v/>
      </c>
      <c r="N22" s="4" t="str">
        <f t="shared" ref="N22:N53" si="7">IF(OR($F$16="DM",J22=""),"",((ROUNDUP(G22/6, 0)*2)+2)*$N$119)</f>
        <v/>
      </c>
      <c r="O22" s="4">
        <f t="shared" ref="O22:O53" si="8">IF(J22="","",((ROUNDUP(G22/6, 0)*2)+2)*$O$119/206)</f>
        <v>1.5137242718446602</v>
      </c>
      <c r="P22" s="205">
        <f t="shared" ref="P22:P53" si="9">IF(OR($J$16="FPM",H22="", $F$16="AT"),"",(I22*$P$119))</f>
        <v>3.1391999999999998</v>
      </c>
      <c r="Q22" s="205">
        <f>IF(OR($J$16="MPM",I22="", $F$16="AT"),"",(I22*$Q$119))</f>
        <v>1.9620000000000002</v>
      </c>
      <c r="R22" s="205">
        <f t="shared" ref="R22:R53" si="10">IF(OR($J$16="MPM",J22="", $F$16="AT"),"",(I22*$R$119))</f>
        <v>10.43239</v>
      </c>
      <c r="S22" s="205">
        <f t="shared" ref="S22:S53" si="11">IF(OR($F$16="AT",J22="",$J$16="MPM"),"",(I22*$S$119))</f>
        <v>3.0520000000000005</v>
      </c>
      <c r="T22" s="205">
        <f t="shared" ref="T22:T53" si="12">IF(OR($F$16="AT",J22="",$J$16="MPM"),"",(I22*$T$119))</f>
        <v>7.63</v>
      </c>
    </row>
    <row r="23" spans="1:20">
      <c r="A23" s="255">
        <f t="shared" si="2"/>
        <v>139.88319787702267</v>
      </c>
      <c r="B23" s="248">
        <f t="shared" si="3"/>
        <v>174.85399734627833</v>
      </c>
      <c r="C23" s="255">
        <f t="shared" si="4"/>
        <v>209.824796815534</v>
      </c>
      <c r="D23" s="256">
        <f t="shared" ref="D23:D86" si="13">IF(J23&lt;&gt;"",SUM(L23:T23),"")</f>
        <v>69.941598938511333</v>
      </c>
      <c r="E23" s="2">
        <v>2</v>
      </c>
      <c r="F23" s="15">
        <v>37</v>
      </c>
      <c r="G23" s="15">
        <v>88</v>
      </c>
      <c r="H23" s="2">
        <f t="shared" ref="H23:H86" si="14">IF(G23="","",IF(AND($F$16="AT",F23&lt;36.1),24,IF(AND($F$16="AT",F23&gt;36,F23&lt;42.1),20,IF(AND($F$16="AT",F23&gt;42,F23&lt;54.1),16,IF(AND($F$16="AT",F23&gt;54,F23&lt;78.1),12,IF(AND($F$16="AT",F23&gt;78, F23&lt;114),8,IF(AND($F$16="AT",F23&gt;114,F23&lt;144.1),4,IF(AND($F$16="DM",F23&lt;36.1),24,IF(AND($F$16="DM",F23&gt;36,F23&lt;42.1),20,IF(AND($F$16="DM",F23&gt;42,F23&lt;54.1),16,IF(AND($F$16="DM",F23&gt;54,F23&lt;78.1),12,IF(AND($F$16="DM",F23&gt;78, F23&lt;114),8,IF(AND($F$16="DM",F23&gt;114,F23&lt;144.1),4,"?")))))))))))))</f>
        <v>20</v>
      </c>
      <c r="I23" s="2">
        <f t="shared" ref="I23:I86" si="15">IF(G23 =  "","",ROUNDUP(G23/H23,0)*2+2)</f>
        <v>12</v>
      </c>
      <c r="J23" s="3">
        <f t="shared" si="5"/>
        <v>22.611111111111111</v>
      </c>
      <c r="L23" s="4">
        <f t="shared" ref="L23:L91" si="16">IF(J23="","",J23*$L$119)</f>
        <v>36.969166666666673</v>
      </c>
      <c r="M23" s="4" t="str">
        <f t="shared" si="6"/>
        <v/>
      </c>
      <c r="N23" s="4" t="str">
        <f t="shared" si="7"/>
        <v/>
      </c>
      <c r="O23" s="4">
        <f t="shared" si="8"/>
        <v>1.5137242718446602</v>
      </c>
      <c r="P23" s="205">
        <f t="shared" si="9"/>
        <v>3.7670399999999997</v>
      </c>
      <c r="Q23" s="205">
        <f t="shared" ref="Q23:Q86" si="17">IF(OR($J$16="MPM",I23="", $F$16="AT"),"",(I23*$Q$119))</f>
        <v>2.3544</v>
      </c>
      <c r="R23" s="205">
        <f t="shared" si="10"/>
        <v>12.518868000000001</v>
      </c>
      <c r="S23" s="205">
        <f t="shared" si="11"/>
        <v>3.6624000000000003</v>
      </c>
      <c r="T23" s="205">
        <f t="shared" si="12"/>
        <v>9.1560000000000006</v>
      </c>
    </row>
    <row r="24" spans="1:20">
      <c r="A24" s="255">
        <f t="shared" si="2"/>
        <v>139.88319787702267</v>
      </c>
      <c r="B24" s="248">
        <f t="shared" si="3"/>
        <v>174.85399734627833</v>
      </c>
      <c r="C24" s="255">
        <f t="shared" si="4"/>
        <v>209.824796815534</v>
      </c>
      <c r="D24" s="256">
        <f t="shared" si="13"/>
        <v>69.941598938511333</v>
      </c>
      <c r="E24" s="2">
        <v>3</v>
      </c>
      <c r="F24" s="15">
        <v>37</v>
      </c>
      <c r="G24" s="15">
        <v>88</v>
      </c>
      <c r="H24" s="2">
        <f t="shared" si="14"/>
        <v>20</v>
      </c>
      <c r="I24" s="2">
        <f t="shared" si="15"/>
        <v>12</v>
      </c>
      <c r="J24" s="3">
        <f t="shared" si="5"/>
        <v>22.611111111111111</v>
      </c>
      <c r="L24" s="4">
        <f t="shared" si="16"/>
        <v>36.969166666666673</v>
      </c>
      <c r="M24" s="4" t="str">
        <f t="shared" si="6"/>
        <v/>
      </c>
      <c r="N24" s="4" t="str">
        <f t="shared" si="7"/>
        <v/>
      </c>
      <c r="O24" s="4">
        <f t="shared" si="8"/>
        <v>1.5137242718446602</v>
      </c>
      <c r="P24" s="205">
        <f t="shared" si="9"/>
        <v>3.7670399999999997</v>
      </c>
      <c r="Q24" s="205">
        <f t="shared" si="17"/>
        <v>2.3544</v>
      </c>
      <c r="R24" s="205">
        <f t="shared" si="10"/>
        <v>12.518868000000001</v>
      </c>
      <c r="S24" s="205">
        <f t="shared" si="11"/>
        <v>3.6624000000000003</v>
      </c>
      <c r="T24" s="205">
        <f t="shared" si="12"/>
        <v>9.1560000000000006</v>
      </c>
    </row>
    <row r="25" spans="1:20">
      <c r="A25" s="255">
        <f t="shared" si="2"/>
        <v>169.1037471456311</v>
      </c>
      <c r="B25" s="248">
        <f t="shared" si="3"/>
        <v>211.37968393203889</v>
      </c>
      <c r="C25" s="255">
        <f t="shared" si="4"/>
        <v>253.65562071844664</v>
      </c>
      <c r="D25" s="256">
        <f t="shared" si="13"/>
        <v>84.551873572815552</v>
      </c>
      <c r="E25" s="2">
        <v>4</v>
      </c>
      <c r="F25" s="15">
        <v>39</v>
      </c>
      <c r="G25" s="15">
        <v>104</v>
      </c>
      <c r="H25" s="2">
        <f t="shared" si="14"/>
        <v>20</v>
      </c>
      <c r="I25" s="2">
        <f t="shared" si="15"/>
        <v>14</v>
      </c>
      <c r="J25" s="3">
        <f t="shared" si="5"/>
        <v>28.166666666666668</v>
      </c>
      <c r="L25" s="4">
        <f t="shared" si="16"/>
        <v>46.052500000000009</v>
      </c>
      <c r="M25" s="4" t="str">
        <f t="shared" si="6"/>
        <v/>
      </c>
      <c r="N25" s="4" t="str">
        <f t="shared" si="7"/>
        <v/>
      </c>
      <c r="O25" s="4">
        <f t="shared" si="8"/>
        <v>1.7975475728155341</v>
      </c>
      <c r="P25" s="205">
        <f t="shared" si="9"/>
        <v>4.3948799999999997</v>
      </c>
      <c r="Q25" s="205">
        <f t="shared" si="17"/>
        <v>2.7468000000000004</v>
      </c>
      <c r="R25" s="205">
        <f t="shared" si="10"/>
        <v>14.605346000000001</v>
      </c>
      <c r="S25" s="205">
        <f t="shared" si="11"/>
        <v>4.2728000000000002</v>
      </c>
      <c r="T25" s="205">
        <f t="shared" si="12"/>
        <v>10.682</v>
      </c>
    </row>
    <row r="26" spans="1:20">
      <c r="A26" s="255" t="str">
        <f t="shared" si="2"/>
        <v/>
      </c>
      <c r="B26" s="248" t="str">
        <f t="shared" si="3"/>
        <v/>
      </c>
      <c r="C26" s="255" t="str">
        <f t="shared" si="4"/>
        <v/>
      </c>
      <c r="D26" s="256" t="str">
        <f t="shared" si="13"/>
        <v/>
      </c>
      <c r="E26" s="2">
        <v>5</v>
      </c>
      <c r="F26" s="15"/>
      <c r="G26" s="15"/>
      <c r="H26" s="2" t="str">
        <f t="shared" si="14"/>
        <v/>
      </c>
      <c r="I26" s="2" t="str">
        <f t="shared" si="15"/>
        <v/>
      </c>
      <c r="J26" s="3" t="str">
        <f t="shared" si="5"/>
        <v/>
      </c>
      <c r="L26" s="4" t="str">
        <f t="shared" si="16"/>
        <v/>
      </c>
      <c r="M26" s="4" t="str">
        <f t="shared" si="6"/>
        <v/>
      </c>
      <c r="N26" s="4" t="str">
        <f t="shared" si="7"/>
        <v/>
      </c>
      <c r="O26" s="4" t="str">
        <f t="shared" si="8"/>
        <v/>
      </c>
      <c r="P26" s="205" t="str">
        <f t="shared" si="9"/>
        <v/>
      </c>
      <c r="Q26" s="205" t="str">
        <f t="shared" si="17"/>
        <v/>
      </c>
      <c r="R26" s="205" t="str">
        <f t="shared" si="10"/>
        <v/>
      </c>
      <c r="S26" s="205" t="str">
        <f t="shared" si="11"/>
        <v/>
      </c>
      <c r="T26" s="205" t="str">
        <f t="shared" si="12"/>
        <v/>
      </c>
    </row>
    <row r="27" spans="1:20">
      <c r="A27" s="255" t="str">
        <f t="shared" si="2"/>
        <v/>
      </c>
      <c r="B27" s="248" t="str">
        <f t="shared" si="3"/>
        <v/>
      </c>
      <c r="C27" s="255" t="str">
        <f t="shared" si="4"/>
        <v/>
      </c>
      <c r="D27" s="256" t="str">
        <f t="shared" si="13"/>
        <v/>
      </c>
      <c r="E27" s="2">
        <v>6</v>
      </c>
      <c r="F27" s="15"/>
      <c r="G27" s="15"/>
      <c r="H27" s="2" t="str">
        <f t="shared" si="14"/>
        <v/>
      </c>
      <c r="I27" s="2" t="str">
        <f t="shared" si="15"/>
        <v/>
      </c>
      <c r="J27" s="3" t="str">
        <f t="shared" si="5"/>
        <v/>
      </c>
      <c r="L27" s="4" t="str">
        <f t="shared" si="16"/>
        <v/>
      </c>
      <c r="M27" s="4" t="str">
        <f t="shared" si="6"/>
        <v/>
      </c>
      <c r="N27" s="4" t="str">
        <f t="shared" si="7"/>
        <v/>
      </c>
      <c r="O27" s="4" t="str">
        <f t="shared" si="8"/>
        <v/>
      </c>
      <c r="P27" s="205" t="str">
        <f t="shared" si="9"/>
        <v/>
      </c>
      <c r="Q27" s="205" t="str">
        <f t="shared" si="17"/>
        <v/>
      </c>
      <c r="R27" s="205" t="str">
        <f t="shared" si="10"/>
        <v/>
      </c>
      <c r="S27" s="205" t="str">
        <f t="shared" si="11"/>
        <v/>
      </c>
      <c r="T27" s="205" t="str">
        <f t="shared" si="12"/>
        <v/>
      </c>
    </row>
    <row r="28" spans="1:20">
      <c r="A28" s="255" t="str">
        <f t="shared" si="2"/>
        <v/>
      </c>
      <c r="B28" s="248" t="str">
        <f t="shared" si="3"/>
        <v/>
      </c>
      <c r="C28" s="255" t="str">
        <f t="shared" si="4"/>
        <v/>
      </c>
      <c r="D28" s="256" t="str">
        <f t="shared" si="13"/>
        <v/>
      </c>
      <c r="E28" s="2">
        <v>7</v>
      </c>
      <c r="F28" s="15"/>
      <c r="G28" s="15"/>
      <c r="H28" s="2" t="str">
        <f t="shared" si="14"/>
        <v/>
      </c>
      <c r="I28" s="2" t="str">
        <f t="shared" si="15"/>
        <v/>
      </c>
      <c r="J28" s="3" t="str">
        <f t="shared" si="5"/>
        <v/>
      </c>
      <c r="L28" s="4" t="str">
        <f t="shared" si="16"/>
        <v/>
      </c>
      <c r="M28" s="4" t="str">
        <f t="shared" si="6"/>
        <v/>
      </c>
      <c r="N28" s="4" t="str">
        <f t="shared" si="7"/>
        <v/>
      </c>
      <c r="O28" s="4" t="str">
        <f t="shared" si="8"/>
        <v/>
      </c>
      <c r="P28" s="205" t="str">
        <f t="shared" si="9"/>
        <v/>
      </c>
      <c r="Q28" s="205" t="str">
        <f t="shared" si="17"/>
        <v/>
      </c>
      <c r="R28" s="205" t="str">
        <f t="shared" si="10"/>
        <v/>
      </c>
      <c r="S28" s="205" t="str">
        <f t="shared" si="11"/>
        <v/>
      </c>
      <c r="T28" s="205" t="str">
        <f t="shared" si="12"/>
        <v/>
      </c>
    </row>
    <row r="29" spans="1:20">
      <c r="A29" s="255" t="str">
        <f t="shared" si="2"/>
        <v/>
      </c>
      <c r="B29" s="248" t="str">
        <f t="shared" si="3"/>
        <v/>
      </c>
      <c r="C29" s="255" t="str">
        <f t="shared" si="4"/>
        <v/>
      </c>
      <c r="D29" s="256" t="str">
        <f t="shared" si="13"/>
        <v/>
      </c>
      <c r="E29" s="2">
        <v>8</v>
      </c>
      <c r="F29" s="15"/>
      <c r="G29" s="15"/>
      <c r="H29" s="2" t="str">
        <f t="shared" si="14"/>
        <v/>
      </c>
      <c r="I29" s="2" t="str">
        <f t="shared" si="15"/>
        <v/>
      </c>
      <c r="J29" s="3" t="str">
        <f t="shared" si="5"/>
        <v/>
      </c>
      <c r="L29" s="4" t="str">
        <f t="shared" si="16"/>
        <v/>
      </c>
      <c r="M29" s="4" t="str">
        <f t="shared" si="6"/>
        <v/>
      </c>
      <c r="N29" s="4" t="str">
        <f t="shared" si="7"/>
        <v/>
      </c>
      <c r="O29" s="4" t="str">
        <f t="shared" si="8"/>
        <v/>
      </c>
      <c r="P29" s="205" t="str">
        <f t="shared" si="9"/>
        <v/>
      </c>
      <c r="Q29" s="205" t="str">
        <f t="shared" si="17"/>
        <v/>
      </c>
      <c r="R29" s="205" t="str">
        <f t="shared" si="10"/>
        <v/>
      </c>
      <c r="S29" s="205" t="str">
        <f t="shared" si="11"/>
        <v/>
      </c>
      <c r="T29" s="205" t="str">
        <f t="shared" si="12"/>
        <v/>
      </c>
    </row>
    <row r="30" spans="1:20">
      <c r="A30" s="255" t="str">
        <f t="shared" si="2"/>
        <v/>
      </c>
      <c r="B30" s="248" t="str">
        <f t="shared" si="3"/>
        <v/>
      </c>
      <c r="C30" s="255" t="str">
        <f t="shared" si="4"/>
        <v/>
      </c>
      <c r="D30" s="256" t="str">
        <f t="shared" si="13"/>
        <v/>
      </c>
      <c r="E30" s="2">
        <v>9</v>
      </c>
      <c r="F30" s="15"/>
      <c r="G30" s="15"/>
      <c r="H30" s="2" t="str">
        <f t="shared" si="14"/>
        <v/>
      </c>
      <c r="I30" s="2" t="str">
        <f t="shared" si="15"/>
        <v/>
      </c>
      <c r="J30" s="3" t="str">
        <f t="shared" si="5"/>
        <v/>
      </c>
      <c r="L30" s="4" t="str">
        <f t="shared" si="16"/>
        <v/>
      </c>
      <c r="M30" s="4" t="str">
        <f t="shared" si="6"/>
        <v/>
      </c>
      <c r="N30" s="4" t="str">
        <f t="shared" si="7"/>
        <v/>
      </c>
      <c r="O30" s="4" t="str">
        <f t="shared" si="8"/>
        <v/>
      </c>
      <c r="P30" s="205" t="str">
        <f t="shared" si="9"/>
        <v/>
      </c>
      <c r="Q30" s="205" t="str">
        <f t="shared" si="17"/>
        <v/>
      </c>
      <c r="R30" s="205" t="str">
        <f t="shared" si="10"/>
        <v/>
      </c>
      <c r="S30" s="205" t="str">
        <f t="shared" si="11"/>
        <v/>
      </c>
      <c r="T30" s="205" t="str">
        <f t="shared" si="12"/>
        <v/>
      </c>
    </row>
    <row r="31" spans="1:20">
      <c r="A31" s="255" t="str">
        <f t="shared" si="2"/>
        <v/>
      </c>
      <c r="B31" s="248" t="str">
        <f t="shared" si="3"/>
        <v/>
      </c>
      <c r="C31" s="255" t="str">
        <f t="shared" si="4"/>
        <v/>
      </c>
      <c r="D31" s="256" t="str">
        <f t="shared" si="13"/>
        <v/>
      </c>
      <c r="E31" s="2">
        <v>10</v>
      </c>
      <c r="F31" s="15"/>
      <c r="G31" s="15"/>
      <c r="H31" s="2" t="str">
        <f t="shared" si="14"/>
        <v/>
      </c>
      <c r="I31" s="2" t="str">
        <f t="shared" si="15"/>
        <v/>
      </c>
      <c r="J31" s="3" t="str">
        <f t="shared" si="5"/>
        <v/>
      </c>
      <c r="L31" s="4" t="str">
        <f t="shared" si="16"/>
        <v/>
      </c>
      <c r="M31" s="4" t="str">
        <f t="shared" si="6"/>
        <v/>
      </c>
      <c r="N31" s="4" t="str">
        <f t="shared" si="7"/>
        <v/>
      </c>
      <c r="O31" s="4" t="str">
        <f t="shared" si="8"/>
        <v/>
      </c>
      <c r="P31" s="205" t="str">
        <f t="shared" si="9"/>
        <v/>
      </c>
      <c r="Q31" s="205" t="str">
        <f t="shared" si="17"/>
        <v/>
      </c>
      <c r="R31" s="205" t="str">
        <f t="shared" si="10"/>
        <v/>
      </c>
      <c r="S31" s="205" t="str">
        <f t="shared" si="11"/>
        <v/>
      </c>
      <c r="T31" s="205" t="str">
        <f t="shared" si="12"/>
        <v/>
      </c>
    </row>
    <row r="32" spans="1:20">
      <c r="A32" s="255" t="str">
        <f t="shared" si="2"/>
        <v/>
      </c>
      <c r="B32" s="248" t="str">
        <f t="shared" si="3"/>
        <v/>
      </c>
      <c r="C32" s="255" t="str">
        <f t="shared" si="4"/>
        <v/>
      </c>
      <c r="D32" s="256" t="str">
        <f t="shared" si="13"/>
        <v/>
      </c>
      <c r="E32" s="2">
        <v>11</v>
      </c>
      <c r="F32" s="15"/>
      <c r="G32" s="15"/>
      <c r="H32" s="2" t="str">
        <f t="shared" si="14"/>
        <v/>
      </c>
      <c r="I32" s="2" t="str">
        <f t="shared" si="15"/>
        <v/>
      </c>
      <c r="J32" s="3" t="str">
        <f t="shared" si="5"/>
        <v/>
      </c>
      <c r="L32" s="4" t="str">
        <f t="shared" si="16"/>
        <v/>
      </c>
      <c r="M32" s="4" t="str">
        <f t="shared" si="6"/>
        <v/>
      </c>
      <c r="N32" s="4" t="str">
        <f t="shared" si="7"/>
        <v/>
      </c>
      <c r="O32" s="4" t="str">
        <f t="shared" si="8"/>
        <v/>
      </c>
      <c r="P32" s="205" t="str">
        <f t="shared" si="9"/>
        <v/>
      </c>
      <c r="Q32" s="205" t="str">
        <f t="shared" si="17"/>
        <v/>
      </c>
      <c r="R32" s="205" t="str">
        <f t="shared" si="10"/>
        <v/>
      </c>
      <c r="S32" s="205" t="str">
        <f t="shared" si="11"/>
        <v/>
      </c>
      <c r="T32" s="205" t="str">
        <f t="shared" si="12"/>
        <v/>
      </c>
    </row>
    <row r="33" spans="1:20">
      <c r="A33" s="255" t="str">
        <f t="shared" si="2"/>
        <v/>
      </c>
      <c r="B33" s="248" t="str">
        <f t="shared" si="3"/>
        <v/>
      </c>
      <c r="C33" s="255" t="str">
        <f t="shared" si="4"/>
        <v/>
      </c>
      <c r="D33" s="256" t="str">
        <f t="shared" si="13"/>
        <v/>
      </c>
      <c r="E33" s="2">
        <v>12</v>
      </c>
      <c r="F33" s="15"/>
      <c r="G33" s="15"/>
      <c r="H33" s="2" t="str">
        <f t="shared" si="14"/>
        <v/>
      </c>
      <c r="I33" s="2" t="str">
        <f t="shared" si="15"/>
        <v/>
      </c>
      <c r="J33" s="3" t="str">
        <f t="shared" si="5"/>
        <v/>
      </c>
      <c r="L33" s="4" t="str">
        <f t="shared" si="16"/>
        <v/>
      </c>
      <c r="M33" s="4" t="str">
        <f t="shared" si="6"/>
        <v/>
      </c>
      <c r="N33" s="4" t="str">
        <f t="shared" si="7"/>
        <v/>
      </c>
      <c r="O33" s="4" t="str">
        <f t="shared" si="8"/>
        <v/>
      </c>
      <c r="P33" s="205" t="str">
        <f t="shared" si="9"/>
        <v/>
      </c>
      <c r="Q33" s="205" t="str">
        <f t="shared" si="17"/>
        <v/>
      </c>
      <c r="R33" s="205" t="str">
        <f t="shared" si="10"/>
        <v/>
      </c>
      <c r="S33" s="205" t="str">
        <f t="shared" si="11"/>
        <v/>
      </c>
      <c r="T33" s="205" t="str">
        <f t="shared" si="12"/>
        <v/>
      </c>
    </row>
    <row r="34" spans="1:20">
      <c r="A34" s="255" t="str">
        <f t="shared" si="2"/>
        <v/>
      </c>
      <c r="B34" s="248" t="str">
        <f t="shared" si="3"/>
        <v/>
      </c>
      <c r="C34" s="255" t="str">
        <f t="shared" si="4"/>
        <v/>
      </c>
      <c r="D34" s="256" t="str">
        <f t="shared" si="13"/>
        <v/>
      </c>
      <c r="E34" s="2">
        <v>13</v>
      </c>
      <c r="F34" s="15"/>
      <c r="G34" s="15"/>
      <c r="H34" s="2" t="str">
        <f t="shared" si="14"/>
        <v/>
      </c>
      <c r="I34" s="2" t="str">
        <f t="shared" si="15"/>
        <v/>
      </c>
      <c r="J34" s="3" t="str">
        <f t="shared" si="5"/>
        <v/>
      </c>
      <c r="L34" s="4" t="str">
        <f t="shared" si="16"/>
        <v/>
      </c>
      <c r="M34" s="4" t="str">
        <f t="shared" si="6"/>
        <v/>
      </c>
      <c r="N34" s="4" t="str">
        <f t="shared" si="7"/>
        <v/>
      </c>
      <c r="O34" s="4" t="str">
        <f t="shared" si="8"/>
        <v/>
      </c>
      <c r="P34" s="205" t="str">
        <f t="shared" si="9"/>
        <v/>
      </c>
      <c r="Q34" s="205" t="str">
        <f t="shared" si="17"/>
        <v/>
      </c>
      <c r="R34" s="205" t="str">
        <f t="shared" si="10"/>
        <v/>
      </c>
      <c r="S34" s="205" t="str">
        <f t="shared" si="11"/>
        <v/>
      </c>
      <c r="T34" s="205" t="str">
        <f t="shared" si="12"/>
        <v/>
      </c>
    </row>
    <row r="35" spans="1:20">
      <c r="A35" s="255" t="str">
        <f t="shared" si="2"/>
        <v/>
      </c>
      <c r="B35" s="248" t="str">
        <f t="shared" si="3"/>
        <v/>
      </c>
      <c r="C35" s="255" t="str">
        <f t="shared" si="4"/>
        <v/>
      </c>
      <c r="D35" s="256" t="str">
        <f t="shared" si="13"/>
        <v/>
      </c>
      <c r="E35" s="2">
        <v>14</v>
      </c>
      <c r="F35" s="15"/>
      <c r="G35" s="15"/>
      <c r="H35" s="2" t="str">
        <f t="shared" si="14"/>
        <v/>
      </c>
      <c r="I35" s="2" t="str">
        <f t="shared" si="15"/>
        <v/>
      </c>
      <c r="J35" s="3" t="str">
        <f t="shared" si="5"/>
        <v/>
      </c>
      <c r="L35" s="4" t="str">
        <f t="shared" si="16"/>
        <v/>
      </c>
      <c r="M35" s="4" t="str">
        <f t="shared" si="6"/>
        <v/>
      </c>
      <c r="N35" s="4" t="str">
        <f t="shared" si="7"/>
        <v/>
      </c>
      <c r="O35" s="4" t="str">
        <f t="shared" si="8"/>
        <v/>
      </c>
      <c r="P35" s="205" t="str">
        <f t="shared" si="9"/>
        <v/>
      </c>
      <c r="Q35" s="205" t="str">
        <f t="shared" si="17"/>
        <v/>
      </c>
      <c r="R35" s="205" t="str">
        <f t="shared" si="10"/>
        <v/>
      </c>
      <c r="S35" s="205" t="str">
        <f t="shared" si="11"/>
        <v/>
      </c>
      <c r="T35" s="205" t="str">
        <f t="shared" si="12"/>
        <v/>
      </c>
    </row>
    <row r="36" spans="1:20">
      <c r="A36" s="255" t="str">
        <f t="shared" si="2"/>
        <v/>
      </c>
      <c r="B36" s="248" t="str">
        <f t="shared" si="3"/>
        <v/>
      </c>
      <c r="C36" s="255" t="str">
        <f t="shared" si="4"/>
        <v/>
      </c>
      <c r="D36" s="256" t="str">
        <f t="shared" si="13"/>
        <v/>
      </c>
      <c r="E36" s="2">
        <v>15</v>
      </c>
      <c r="F36" s="15"/>
      <c r="G36" s="15"/>
      <c r="H36" s="2" t="str">
        <f t="shared" si="14"/>
        <v/>
      </c>
      <c r="I36" s="2" t="str">
        <f t="shared" si="15"/>
        <v/>
      </c>
      <c r="J36" s="3" t="str">
        <f t="shared" si="5"/>
        <v/>
      </c>
      <c r="L36" s="4" t="str">
        <f t="shared" si="16"/>
        <v/>
      </c>
      <c r="M36" s="4" t="str">
        <f t="shared" si="6"/>
        <v/>
      </c>
      <c r="N36" s="4" t="str">
        <f t="shared" si="7"/>
        <v/>
      </c>
      <c r="O36" s="4" t="str">
        <f t="shared" si="8"/>
        <v/>
      </c>
      <c r="P36" s="205" t="str">
        <f t="shared" si="9"/>
        <v/>
      </c>
      <c r="Q36" s="205" t="str">
        <f t="shared" si="17"/>
        <v/>
      </c>
      <c r="R36" s="205" t="str">
        <f t="shared" si="10"/>
        <v/>
      </c>
      <c r="S36" s="205" t="str">
        <f t="shared" si="11"/>
        <v/>
      </c>
      <c r="T36" s="205" t="str">
        <f t="shared" si="12"/>
        <v/>
      </c>
    </row>
    <row r="37" spans="1:20">
      <c r="A37" s="255" t="str">
        <f t="shared" si="2"/>
        <v/>
      </c>
      <c r="B37" s="248" t="str">
        <f t="shared" si="3"/>
        <v/>
      </c>
      <c r="C37" s="255" t="str">
        <f t="shared" si="4"/>
        <v/>
      </c>
      <c r="D37" s="256" t="str">
        <f t="shared" si="13"/>
        <v/>
      </c>
      <c r="E37" s="2">
        <v>16</v>
      </c>
      <c r="F37" s="15"/>
      <c r="G37" s="15"/>
      <c r="H37" s="2" t="str">
        <f t="shared" si="14"/>
        <v/>
      </c>
      <c r="I37" s="2" t="str">
        <f t="shared" si="15"/>
        <v/>
      </c>
      <c r="J37" s="3" t="str">
        <f t="shared" si="5"/>
        <v/>
      </c>
      <c r="L37" s="4" t="str">
        <f t="shared" si="16"/>
        <v/>
      </c>
      <c r="M37" s="4" t="str">
        <f t="shared" si="6"/>
        <v/>
      </c>
      <c r="N37" s="4" t="str">
        <f t="shared" si="7"/>
        <v/>
      </c>
      <c r="O37" s="4" t="str">
        <f t="shared" si="8"/>
        <v/>
      </c>
      <c r="P37" s="205" t="str">
        <f t="shared" si="9"/>
        <v/>
      </c>
      <c r="Q37" s="205" t="str">
        <f t="shared" si="17"/>
        <v/>
      </c>
      <c r="R37" s="205" t="str">
        <f t="shared" si="10"/>
        <v/>
      </c>
      <c r="S37" s="205" t="str">
        <f t="shared" si="11"/>
        <v/>
      </c>
      <c r="T37" s="205" t="str">
        <f t="shared" si="12"/>
        <v/>
      </c>
    </row>
    <row r="38" spans="1:20">
      <c r="A38" s="255" t="str">
        <f t="shared" si="2"/>
        <v/>
      </c>
      <c r="B38" s="248" t="str">
        <f t="shared" si="3"/>
        <v/>
      </c>
      <c r="C38" s="255" t="str">
        <f t="shared" si="4"/>
        <v/>
      </c>
      <c r="D38" s="256" t="str">
        <f t="shared" si="13"/>
        <v/>
      </c>
      <c r="E38" s="2">
        <v>17</v>
      </c>
      <c r="F38" s="15"/>
      <c r="G38" s="15"/>
      <c r="H38" s="2" t="str">
        <f t="shared" si="14"/>
        <v/>
      </c>
      <c r="I38" s="2" t="str">
        <f t="shared" si="15"/>
        <v/>
      </c>
      <c r="J38" s="3" t="str">
        <f t="shared" si="5"/>
        <v/>
      </c>
      <c r="L38" s="4" t="str">
        <f t="shared" si="16"/>
        <v/>
      </c>
      <c r="M38" s="4" t="str">
        <f t="shared" si="6"/>
        <v/>
      </c>
      <c r="N38" s="4" t="str">
        <f t="shared" si="7"/>
        <v/>
      </c>
      <c r="O38" s="4" t="str">
        <f t="shared" si="8"/>
        <v/>
      </c>
      <c r="P38" s="205" t="str">
        <f t="shared" si="9"/>
        <v/>
      </c>
      <c r="Q38" s="205" t="str">
        <f t="shared" si="17"/>
        <v/>
      </c>
      <c r="R38" s="205" t="str">
        <f t="shared" si="10"/>
        <v/>
      </c>
      <c r="S38" s="205" t="str">
        <f t="shared" si="11"/>
        <v/>
      </c>
      <c r="T38" s="205" t="str">
        <f t="shared" si="12"/>
        <v/>
      </c>
    </row>
    <row r="39" spans="1:20">
      <c r="A39" s="255" t="str">
        <f t="shared" si="2"/>
        <v/>
      </c>
      <c r="B39" s="248" t="str">
        <f t="shared" si="3"/>
        <v/>
      </c>
      <c r="C39" s="255" t="str">
        <f t="shared" si="4"/>
        <v/>
      </c>
      <c r="D39" s="256" t="str">
        <f t="shared" si="13"/>
        <v/>
      </c>
      <c r="E39" s="2">
        <v>18</v>
      </c>
      <c r="F39" s="15"/>
      <c r="G39" s="15"/>
      <c r="H39" s="2" t="str">
        <f t="shared" si="14"/>
        <v/>
      </c>
      <c r="I39" s="2" t="str">
        <f t="shared" si="15"/>
        <v/>
      </c>
      <c r="J39" s="3" t="str">
        <f t="shared" si="5"/>
        <v/>
      </c>
      <c r="L39" s="4" t="str">
        <f t="shared" si="16"/>
        <v/>
      </c>
      <c r="M39" s="4" t="str">
        <f t="shared" si="6"/>
        <v/>
      </c>
      <c r="N39" s="4" t="str">
        <f t="shared" si="7"/>
        <v/>
      </c>
      <c r="O39" s="4" t="str">
        <f t="shared" si="8"/>
        <v/>
      </c>
      <c r="P39" s="205" t="str">
        <f t="shared" si="9"/>
        <v/>
      </c>
      <c r="Q39" s="205" t="str">
        <f t="shared" si="17"/>
        <v/>
      </c>
      <c r="R39" s="205" t="str">
        <f t="shared" si="10"/>
        <v/>
      </c>
      <c r="S39" s="205" t="str">
        <f t="shared" si="11"/>
        <v/>
      </c>
      <c r="T39" s="205" t="str">
        <f t="shared" si="12"/>
        <v/>
      </c>
    </row>
    <row r="40" spans="1:20">
      <c r="A40" s="255" t="str">
        <f t="shared" si="2"/>
        <v/>
      </c>
      <c r="B40" s="248" t="str">
        <f t="shared" si="3"/>
        <v/>
      </c>
      <c r="C40" s="255" t="str">
        <f t="shared" si="4"/>
        <v/>
      </c>
      <c r="D40" s="256" t="str">
        <f t="shared" si="13"/>
        <v/>
      </c>
      <c r="E40" s="2">
        <v>19</v>
      </c>
      <c r="F40" s="15"/>
      <c r="G40" s="15"/>
      <c r="H40" s="2" t="str">
        <f t="shared" si="14"/>
        <v/>
      </c>
      <c r="I40" s="2" t="str">
        <f t="shared" si="15"/>
        <v/>
      </c>
      <c r="J40" s="3" t="str">
        <f t="shared" si="5"/>
        <v/>
      </c>
      <c r="L40" s="4" t="str">
        <f t="shared" si="16"/>
        <v/>
      </c>
      <c r="M40" s="4" t="str">
        <f t="shared" si="6"/>
        <v/>
      </c>
      <c r="N40" s="4" t="str">
        <f t="shared" si="7"/>
        <v/>
      </c>
      <c r="O40" s="4" t="str">
        <f t="shared" si="8"/>
        <v/>
      </c>
      <c r="P40" s="205" t="str">
        <f t="shared" si="9"/>
        <v/>
      </c>
      <c r="Q40" s="205" t="str">
        <f t="shared" si="17"/>
        <v/>
      </c>
      <c r="R40" s="205" t="str">
        <f t="shared" si="10"/>
        <v/>
      </c>
      <c r="S40" s="205" t="str">
        <f t="shared" si="11"/>
        <v/>
      </c>
      <c r="T40" s="205" t="str">
        <f t="shared" si="12"/>
        <v/>
      </c>
    </row>
    <row r="41" spans="1:20">
      <c r="A41" s="255" t="str">
        <f t="shared" si="2"/>
        <v/>
      </c>
      <c r="B41" s="248" t="str">
        <f t="shared" si="3"/>
        <v/>
      </c>
      <c r="C41" s="255" t="str">
        <f t="shared" si="4"/>
        <v/>
      </c>
      <c r="D41" s="256" t="str">
        <f t="shared" si="13"/>
        <v/>
      </c>
      <c r="E41" s="2">
        <v>20</v>
      </c>
      <c r="F41" s="15"/>
      <c r="G41" s="15"/>
      <c r="H41" s="2" t="str">
        <f t="shared" si="14"/>
        <v/>
      </c>
      <c r="I41" s="2" t="str">
        <f t="shared" si="15"/>
        <v/>
      </c>
      <c r="J41" s="3" t="str">
        <f t="shared" si="5"/>
        <v/>
      </c>
      <c r="L41" s="4" t="str">
        <f t="shared" si="16"/>
        <v/>
      </c>
      <c r="M41" s="4" t="str">
        <f t="shared" si="6"/>
        <v/>
      </c>
      <c r="N41" s="4" t="str">
        <f t="shared" si="7"/>
        <v/>
      </c>
      <c r="O41" s="4" t="str">
        <f t="shared" si="8"/>
        <v/>
      </c>
      <c r="P41" s="205" t="str">
        <f t="shared" si="9"/>
        <v/>
      </c>
      <c r="Q41" s="205" t="str">
        <f t="shared" si="17"/>
        <v/>
      </c>
      <c r="R41" s="205" t="str">
        <f t="shared" si="10"/>
        <v/>
      </c>
      <c r="S41" s="205" t="str">
        <f t="shared" si="11"/>
        <v/>
      </c>
      <c r="T41" s="205" t="str">
        <f t="shared" si="12"/>
        <v/>
      </c>
    </row>
    <row r="42" spans="1:20">
      <c r="A42" s="255" t="str">
        <f t="shared" si="2"/>
        <v/>
      </c>
      <c r="B42" s="248" t="str">
        <f t="shared" si="3"/>
        <v/>
      </c>
      <c r="C42" s="255" t="str">
        <f t="shared" si="4"/>
        <v/>
      </c>
      <c r="D42" s="256" t="str">
        <f t="shared" si="13"/>
        <v/>
      </c>
      <c r="E42" s="2">
        <v>21</v>
      </c>
      <c r="F42" s="15"/>
      <c r="G42" s="15"/>
      <c r="H42" s="2" t="str">
        <f t="shared" si="14"/>
        <v/>
      </c>
      <c r="I42" s="2" t="str">
        <f t="shared" si="15"/>
        <v/>
      </c>
      <c r="J42" s="3" t="str">
        <f t="shared" si="5"/>
        <v/>
      </c>
      <c r="L42" s="4" t="str">
        <f t="shared" si="16"/>
        <v/>
      </c>
      <c r="M42" s="4" t="str">
        <f t="shared" si="6"/>
        <v/>
      </c>
      <c r="N42" s="4" t="str">
        <f t="shared" si="7"/>
        <v/>
      </c>
      <c r="O42" s="4" t="str">
        <f t="shared" si="8"/>
        <v/>
      </c>
      <c r="P42" s="205" t="str">
        <f t="shared" si="9"/>
        <v/>
      </c>
      <c r="Q42" s="205" t="str">
        <f t="shared" si="17"/>
        <v/>
      </c>
      <c r="R42" s="205" t="str">
        <f t="shared" si="10"/>
        <v/>
      </c>
      <c r="S42" s="205" t="str">
        <f t="shared" si="11"/>
        <v/>
      </c>
      <c r="T42" s="205" t="str">
        <f t="shared" si="12"/>
        <v/>
      </c>
    </row>
    <row r="43" spans="1:20">
      <c r="A43" s="255" t="str">
        <f t="shared" si="2"/>
        <v/>
      </c>
      <c r="B43" s="248" t="str">
        <f t="shared" si="3"/>
        <v/>
      </c>
      <c r="C43" s="255" t="str">
        <f t="shared" si="4"/>
        <v/>
      </c>
      <c r="D43" s="256" t="str">
        <f t="shared" si="13"/>
        <v/>
      </c>
      <c r="E43" s="2">
        <v>22</v>
      </c>
      <c r="F43" s="15"/>
      <c r="G43" s="15"/>
      <c r="H43" s="2" t="str">
        <f t="shared" si="14"/>
        <v/>
      </c>
      <c r="I43" s="2" t="str">
        <f t="shared" si="15"/>
        <v/>
      </c>
      <c r="J43" s="3" t="str">
        <f t="shared" si="5"/>
        <v/>
      </c>
      <c r="L43" s="4" t="str">
        <f t="shared" si="16"/>
        <v/>
      </c>
      <c r="M43" s="4" t="str">
        <f t="shared" si="6"/>
        <v/>
      </c>
      <c r="N43" s="4" t="str">
        <f t="shared" si="7"/>
        <v/>
      </c>
      <c r="O43" s="4" t="str">
        <f t="shared" si="8"/>
        <v/>
      </c>
      <c r="P43" s="205" t="str">
        <f t="shared" si="9"/>
        <v/>
      </c>
      <c r="Q43" s="205" t="str">
        <f t="shared" si="17"/>
        <v/>
      </c>
      <c r="R43" s="205" t="str">
        <f t="shared" si="10"/>
        <v/>
      </c>
      <c r="S43" s="205" t="str">
        <f t="shared" si="11"/>
        <v/>
      </c>
      <c r="T43" s="205" t="str">
        <f t="shared" si="12"/>
        <v/>
      </c>
    </row>
    <row r="44" spans="1:20">
      <c r="A44" s="255" t="str">
        <f t="shared" si="2"/>
        <v/>
      </c>
      <c r="B44" s="248" t="str">
        <f t="shared" si="3"/>
        <v/>
      </c>
      <c r="C44" s="255" t="str">
        <f t="shared" si="4"/>
        <v/>
      </c>
      <c r="D44" s="256" t="str">
        <f t="shared" si="13"/>
        <v/>
      </c>
      <c r="E44" s="2">
        <v>23</v>
      </c>
      <c r="F44" s="15"/>
      <c r="G44" s="15"/>
      <c r="H44" s="2" t="str">
        <f t="shared" si="14"/>
        <v/>
      </c>
      <c r="I44" s="2" t="str">
        <f t="shared" si="15"/>
        <v/>
      </c>
      <c r="J44" s="3" t="str">
        <f t="shared" si="5"/>
        <v/>
      </c>
      <c r="L44" s="4" t="str">
        <f t="shared" si="16"/>
        <v/>
      </c>
      <c r="M44" s="4" t="str">
        <f t="shared" si="6"/>
        <v/>
      </c>
      <c r="N44" s="4" t="str">
        <f t="shared" si="7"/>
        <v/>
      </c>
      <c r="O44" s="4" t="str">
        <f t="shared" si="8"/>
        <v/>
      </c>
      <c r="P44" s="205" t="str">
        <f t="shared" si="9"/>
        <v/>
      </c>
      <c r="Q44" s="205" t="str">
        <f t="shared" si="17"/>
        <v/>
      </c>
      <c r="R44" s="205" t="str">
        <f t="shared" si="10"/>
        <v/>
      </c>
      <c r="S44" s="205" t="str">
        <f t="shared" si="11"/>
        <v/>
      </c>
      <c r="T44" s="205" t="str">
        <f t="shared" si="12"/>
        <v/>
      </c>
    </row>
    <row r="45" spans="1:20">
      <c r="A45" s="255" t="str">
        <f t="shared" si="2"/>
        <v/>
      </c>
      <c r="B45" s="248" t="str">
        <f t="shared" si="3"/>
        <v/>
      </c>
      <c r="C45" s="255" t="str">
        <f t="shared" si="4"/>
        <v/>
      </c>
      <c r="D45" s="256" t="str">
        <f t="shared" si="13"/>
        <v/>
      </c>
      <c r="E45" s="2">
        <v>24</v>
      </c>
      <c r="F45" s="15"/>
      <c r="G45" s="15"/>
      <c r="H45" s="2" t="str">
        <f t="shared" si="14"/>
        <v/>
      </c>
      <c r="I45" s="2" t="str">
        <f t="shared" si="15"/>
        <v/>
      </c>
      <c r="J45" s="3" t="str">
        <f t="shared" si="5"/>
        <v/>
      </c>
      <c r="L45" s="4" t="str">
        <f t="shared" si="16"/>
        <v/>
      </c>
      <c r="M45" s="4" t="str">
        <f t="shared" si="6"/>
        <v/>
      </c>
      <c r="N45" s="4" t="str">
        <f t="shared" si="7"/>
        <v/>
      </c>
      <c r="O45" s="4" t="str">
        <f t="shared" si="8"/>
        <v/>
      </c>
      <c r="P45" s="205" t="str">
        <f t="shared" si="9"/>
        <v/>
      </c>
      <c r="Q45" s="205" t="str">
        <f t="shared" si="17"/>
        <v/>
      </c>
      <c r="R45" s="205" t="str">
        <f t="shared" si="10"/>
        <v/>
      </c>
      <c r="S45" s="205" t="str">
        <f t="shared" si="11"/>
        <v/>
      </c>
      <c r="T45" s="205" t="str">
        <f t="shared" si="12"/>
        <v/>
      </c>
    </row>
    <row r="46" spans="1:20">
      <c r="A46" s="255" t="str">
        <f t="shared" si="2"/>
        <v/>
      </c>
      <c r="B46" s="248" t="str">
        <f t="shared" si="3"/>
        <v/>
      </c>
      <c r="C46" s="255" t="str">
        <f t="shared" si="4"/>
        <v/>
      </c>
      <c r="D46" s="256" t="str">
        <f t="shared" si="13"/>
        <v/>
      </c>
      <c r="E46" s="2">
        <v>25</v>
      </c>
      <c r="F46" s="15"/>
      <c r="G46" s="15"/>
      <c r="H46" s="2" t="str">
        <f t="shared" si="14"/>
        <v/>
      </c>
      <c r="I46" s="2" t="str">
        <f t="shared" si="15"/>
        <v/>
      </c>
      <c r="J46" s="3" t="str">
        <f t="shared" si="5"/>
        <v/>
      </c>
      <c r="L46" s="4" t="str">
        <f t="shared" si="16"/>
        <v/>
      </c>
      <c r="M46" s="4" t="str">
        <f t="shared" si="6"/>
        <v/>
      </c>
      <c r="N46" s="4" t="str">
        <f t="shared" si="7"/>
        <v/>
      </c>
      <c r="O46" s="4" t="str">
        <f t="shared" si="8"/>
        <v/>
      </c>
      <c r="P46" s="205" t="str">
        <f t="shared" si="9"/>
        <v/>
      </c>
      <c r="Q46" s="205" t="str">
        <f t="shared" si="17"/>
        <v/>
      </c>
      <c r="R46" s="205" t="str">
        <f t="shared" si="10"/>
        <v/>
      </c>
      <c r="S46" s="205" t="str">
        <f t="shared" si="11"/>
        <v/>
      </c>
      <c r="T46" s="205" t="str">
        <f t="shared" si="12"/>
        <v/>
      </c>
    </row>
    <row r="47" spans="1:20">
      <c r="A47" s="255" t="str">
        <f t="shared" si="2"/>
        <v/>
      </c>
      <c r="B47" s="248" t="str">
        <f t="shared" si="3"/>
        <v/>
      </c>
      <c r="C47" s="255" t="str">
        <f t="shared" si="4"/>
        <v/>
      </c>
      <c r="D47" s="256" t="str">
        <f t="shared" si="13"/>
        <v/>
      </c>
      <c r="E47" s="2">
        <v>26</v>
      </c>
      <c r="F47" s="15"/>
      <c r="G47" s="15"/>
      <c r="H47" s="2" t="str">
        <f t="shared" si="14"/>
        <v/>
      </c>
      <c r="I47" s="2" t="str">
        <f t="shared" si="15"/>
        <v/>
      </c>
      <c r="J47" s="3" t="str">
        <f t="shared" si="5"/>
        <v/>
      </c>
      <c r="L47" s="4" t="str">
        <f t="shared" si="16"/>
        <v/>
      </c>
      <c r="M47" s="4" t="str">
        <f t="shared" si="6"/>
        <v/>
      </c>
      <c r="N47" s="4" t="str">
        <f t="shared" si="7"/>
        <v/>
      </c>
      <c r="O47" s="4" t="str">
        <f t="shared" si="8"/>
        <v/>
      </c>
      <c r="P47" s="205" t="str">
        <f t="shared" si="9"/>
        <v/>
      </c>
      <c r="Q47" s="205" t="str">
        <f t="shared" si="17"/>
        <v/>
      </c>
      <c r="R47" s="205" t="str">
        <f t="shared" si="10"/>
        <v/>
      </c>
      <c r="S47" s="205" t="str">
        <f t="shared" si="11"/>
        <v/>
      </c>
      <c r="T47" s="205" t="str">
        <f t="shared" si="12"/>
        <v/>
      </c>
    </row>
    <row r="48" spans="1:20">
      <c r="A48" s="255" t="str">
        <f t="shared" si="2"/>
        <v/>
      </c>
      <c r="B48" s="248" t="str">
        <f t="shared" si="3"/>
        <v/>
      </c>
      <c r="C48" s="255" t="str">
        <f t="shared" si="4"/>
        <v/>
      </c>
      <c r="D48" s="256" t="str">
        <f t="shared" si="13"/>
        <v/>
      </c>
      <c r="E48" s="2">
        <v>27</v>
      </c>
      <c r="F48" s="15"/>
      <c r="G48" s="15"/>
      <c r="H48" s="2" t="str">
        <f t="shared" si="14"/>
        <v/>
      </c>
      <c r="I48" s="2" t="str">
        <f t="shared" si="15"/>
        <v/>
      </c>
      <c r="J48" s="3" t="str">
        <f t="shared" si="5"/>
        <v/>
      </c>
      <c r="L48" s="4" t="str">
        <f t="shared" si="16"/>
        <v/>
      </c>
      <c r="M48" s="4" t="str">
        <f t="shared" si="6"/>
        <v/>
      </c>
      <c r="N48" s="4" t="str">
        <f t="shared" si="7"/>
        <v/>
      </c>
      <c r="O48" s="4" t="str">
        <f t="shared" si="8"/>
        <v/>
      </c>
      <c r="P48" s="205" t="str">
        <f t="shared" si="9"/>
        <v/>
      </c>
      <c r="Q48" s="205" t="str">
        <f t="shared" si="17"/>
        <v/>
      </c>
      <c r="R48" s="205" t="str">
        <f t="shared" si="10"/>
        <v/>
      </c>
      <c r="S48" s="205" t="str">
        <f t="shared" si="11"/>
        <v/>
      </c>
      <c r="T48" s="205" t="str">
        <f t="shared" si="12"/>
        <v/>
      </c>
    </row>
    <row r="49" spans="1:20">
      <c r="A49" s="255" t="str">
        <f t="shared" si="2"/>
        <v/>
      </c>
      <c r="B49" s="248" t="str">
        <f t="shared" si="3"/>
        <v/>
      </c>
      <c r="C49" s="255" t="str">
        <f t="shared" si="4"/>
        <v/>
      </c>
      <c r="D49" s="256" t="str">
        <f t="shared" si="13"/>
        <v/>
      </c>
      <c r="E49" s="2">
        <v>28</v>
      </c>
      <c r="F49" s="15"/>
      <c r="G49" s="15"/>
      <c r="H49" s="2" t="str">
        <f t="shared" si="14"/>
        <v/>
      </c>
      <c r="I49" s="2" t="str">
        <f t="shared" si="15"/>
        <v/>
      </c>
      <c r="J49" s="3" t="str">
        <f t="shared" si="5"/>
        <v/>
      </c>
      <c r="L49" s="4" t="str">
        <f t="shared" si="16"/>
        <v/>
      </c>
      <c r="M49" s="4" t="str">
        <f t="shared" si="6"/>
        <v/>
      </c>
      <c r="N49" s="4" t="str">
        <f t="shared" si="7"/>
        <v/>
      </c>
      <c r="O49" s="4" t="str">
        <f t="shared" si="8"/>
        <v/>
      </c>
      <c r="P49" s="205" t="str">
        <f t="shared" si="9"/>
        <v/>
      </c>
      <c r="Q49" s="205" t="str">
        <f t="shared" si="17"/>
        <v/>
      </c>
      <c r="R49" s="205" t="str">
        <f t="shared" si="10"/>
        <v/>
      </c>
      <c r="S49" s="205" t="str">
        <f t="shared" si="11"/>
        <v/>
      </c>
      <c r="T49" s="205" t="str">
        <f t="shared" si="12"/>
        <v/>
      </c>
    </row>
    <row r="50" spans="1:20">
      <c r="A50" s="255" t="str">
        <f t="shared" si="2"/>
        <v/>
      </c>
      <c r="B50" s="248" t="str">
        <f t="shared" si="3"/>
        <v/>
      </c>
      <c r="C50" s="255" t="str">
        <f t="shared" si="4"/>
        <v/>
      </c>
      <c r="D50" s="256" t="str">
        <f t="shared" si="13"/>
        <v/>
      </c>
      <c r="E50" s="2">
        <v>29</v>
      </c>
      <c r="F50" s="15"/>
      <c r="G50" s="15"/>
      <c r="H50" s="2" t="str">
        <f t="shared" si="14"/>
        <v/>
      </c>
      <c r="I50" s="2" t="str">
        <f t="shared" si="15"/>
        <v/>
      </c>
      <c r="J50" s="3" t="str">
        <f t="shared" si="5"/>
        <v/>
      </c>
      <c r="L50" s="4" t="str">
        <f t="shared" si="16"/>
        <v/>
      </c>
      <c r="M50" s="4" t="str">
        <f t="shared" si="6"/>
        <v/>
      </c>
      <c r="N50" s="4" t="str">
        <f t="shared" si="7"/>
        <v/>
      </c>
      <c r="O50" s="4" t="str">
        <f t="shared" si="8"/>
        <v/>
      </c>
      <c r="P50" s="205" t="str">
        <f t="shared" si="9"/>
        <v/>
      </c>
      <c r="Q50" s="205" t="str">
        <f t="shared" si="17"/>
        <v/>
      </c>
      <c r="R50" s="205" t="str">
        <f t="shared" si="10"/>
        <v/>
      </c>
      <c r="S50" s="205" t="str">
        <f t="shared" si="11"/>
        <v/>
      </c>
      <c r="T50" s="205" t="str">
        <f t="shared" si="12"/>
        <v/>
      </c>
    </row>
    <row r="51" spans="1:20">
      <c r="A51" s="255" t="str">
        <f t="shared" si="2"/>
        <v/>
      </c>
      <c r="B51" s="248" t="str">
        <f t="shared" si="3"/>
        <v/>
      </c>
      <c r="C51" s="255" t="str">
        <f t="shared" si="4"/>
        <v/>
      </c>
      <c r="D51" s="256" t="str">
        <f t="shared" si="13"/>
        <v/>
      </c>
      <c r="E51" s="2">
        <v>30</v>
      </c>
      <c r="F51" s="15"/>
      <c r="G51" s="15"/>
      <c r="H51" s="2" t="str">
        <f t="shared" si="14"/>
        <v/>
      </c>
      <c r="I51" s="2" t="str">
        <f t="shared" si="15"/>
        <v/>
      </c>
      <c r="J51" s="3" t="str">
        <f t="shared" si="5"/>
        <v/>
      </c>
      <c r="L51" s="4" t="str">
        <f t="shared" si="16"/>
        <v/>
      </c>
      <c r="M51" s="4" t="str">
        <f t="shared" si="6"/>
        <v/>
      </c>
      <c r="N51" s="4" t="str">
        <f t="shared" si="7"/>
        <v/>
      </c>
      <c r="O51" s="4" t="str">
        <f t="shared" si="8"/>
        <v/>
      </c>
      <c r="P51" s="205" t="str">
        <f t="shared" si="9"/>
        <v/>
      </c>
      <c r="Q51" s="205" t="str">
        <f t="shared" si="17"/>
        <v/>
      </c>
      <c r="R51" s="205" t="str">
        <f t="shared" si="10"/>
        <v/>
      </c>
      <c r="S51" s="205" t="str">
        <f t="shared" si="11"/>
        <v/>
      </c>
      <c r="T51" s="205" t="str">
        <f t="shared" si="12"/>
        <v/>
      </c>
    </row>
    <row r="52" spans="1:20">
      <c r="A52" s="255" t="str">
        <f t="shared" si="2"/>
        <v/>
      </c>
      <c r="B52" s="248" t="str">
        <f t="shared" si="3"/>
        <v/>
      </c>
      <c r="C52" s="255" t="str">
        <f t="shared" si="4"/>
        <v/>
      </c>
      <c r="D52" s="256" t="str">
        <f t="shared" si="13"/>
        <v/>
      </c>
      <c r="E52" s="2">
        <v>31</v>
      </c>
      <c r="F52" s="15"/>
      <c r="G52" s="15"/>
      <c r="H52" s="2" t="str">
        <f t="shared" si="14"/>
        <v/>
      </c>
      <c r="I52" s="2" t="str">
        <f t="shared" si="15"/>
        <v/>
      </c>
      <c r="J52" s="3" t="str">
        <f t="shared" si="5"/>
        <v/>
      </c>
      <c r="L52" s="4" t="str">
        <f t="shared" si="16"/>
        <v/>
      </c>
      <c r="M52" s="4" t="str">
        <f t="shared" si="6"/>
        <v/>
      </c>
      <c r="N52" s="4" t="str">
        <f t="shared" si="7"/>
        <v/>
      </c>
      <c r="O52" s="4" t="str">
        <f t="shared" si="8"/>
        <v/>
      </c>
      <c r="P52" s="205" t="str">
        <f t="shared" si="9"/>
        <v/>
      </c>
      <c r="Q52" s="205" t="str">
        <f t="shared" si="17"/>
        <v/>
      </c>
      <c r="R52" s="205" t="str">
        <f t="shared" si="10"/>
        <v/>
      </c>
      <c r="S52" s="205" t="str">
        <f t="shared" si="11"/>
        <v/>
      </c>
      <c r="T52" s="205" t="str">
        <f t="shared" si="12"/>
        <v/>
      </c>
    </row>
    <row r="53" spans="1:20">
      <c r="A53" s="255" t="str">
        <f t="shared" si="2"/>
        <v/>
      </c>
      <c r="B53" s="248" t="str">
        <f t="shared" si="3"/>
        <v/>
      </c>
      <c r="C53" s="255" t="str">
        <f t="shared" si="4"/>
        <v/>
      </c>
      <c r="D53" s="256" t="str">
        <f t="shared" si="13"/>
        <v/>
      </c>
      <c r="E53" s="2">
        <v>32</v>
      </c>
      <c r="F53" s="15"/>
      <c r="G53" s="15"/>
      <c r="H53" s="2" t="str">
        <f t="shared" si="14"/>
        <v/>
      </c>
      <c r="I53" s="2" t="str">
        <f t="shared" si="15"/>
        <v/>
      </c>
      <c r="J53" s="3" t="str">
        <f t="shared" si="5"/>
        <v/>
      </c>
      <c r="L53" s="4" t="str">
        <f t="shared" si="16"/>
        <v/>
      </c>
      <c r="M53" s="4" t="str">
        <f t="shared" si="6"/>
        <v/>
      </c>
      <c r="N53" s="4" t="str">
        <f t="shared" si="7"/>
        <v/>
      </c>
      <c r="O53" s="4" t="str">
        <f t="shared" si="8"/>
        <v/>
      </c>
      <c r="P53" s="205" t="str">
        <f t="shared" si="9"/>
        <v/>
      </c>
      <c r="Q53" s="205" t="str">
        <f t="shared" si="17"/>
        <v/>
      </c>
      <c r="R53" s="205" t="str">
        <f t="shared" si="10"/>
        <v/>
      </c>
      <c r="S53" s="205" t="str">
        <f t="shared" si="11"/>
        <v/>
      </c>
      <c r="T53" s="205" t="str">
        <f t="shared" si="12"/>
        <v/>
      </c>
    </row>
    <row r="54" spans="1:20">
      <c r="A54" s="255" t="str">
        <f t="shared" ref="A54:A85" si="18">IF(F54&lt;&gt;"",D54*$A$20,"")</f>
        <v/>
      </c>
      <c r="B54" s="248" t="str">
        <f t="shared" ref="B54:B85" si="19">IF(F54&lt;&gt;"",D54*$B$20,"")</f>
        <v/>
      </c>
      <c r="C54" s="255" t="str">
        <f t="shared" ref="C54:C85" si="20">IF(F54&lt;&gt;"",D54*$C$20,"")</f>
        <v/>
      </c>
      <c r="D54" s="256" t="str">
        <f t="shared" si="13"/>
        <v/>
      </c>
      <c r="E54" s="2">
        <v>33</v>
      </c>
      <c r="F54" s="15"/>
      <c r="G54" s="15"/>
      <c r="H54" s="2" t="str">
        <f t="shared" si="14"/>
        <v/>
      </c>
      <c r="I54" s="2" t="str">
        <f t="shared" si="15"/>
        <v/>
      </c>
      <c r="J54" s="3" t="str">
        <f t="shared" ref="J54:J85" si="21">IF(G54="","",F54*G54/144)</f>
        <v/>
      </c>
      <c r="L54" s="4" t="str">
        <f t="shared" si="16"/>
        <v/>
      </c>
      <c r="M54" s="4" t="str">
        <f t="shared" ref="M54:M85" si="22">IF(OR($F$16="DM", J54=""),"",(G54*2/12)*$M$119)</f>
        <v/>
      </c>
      <c r="N54" s="4" t="str">
        <f t="shared" ref="N54:N85" si="23">IF(OR($F$16="DM",J54=""),"",((ROUNDUP(G54/6, 0)*2)+2)*$N$119)</f>
        <v/>
      </c>
      <c r="O54" s="4" t="str">
        <f t="shared" ref="O54:O85" si="24">IF(J54="","",((ROUNDUP(G54/6, 0)*2)+2)*$O$119/206)</f>
        <v/>
      </c>
      <c r="P54" s="205" t="str">
        <f t="shared" ref="P54:P85" si="25">IF(OR($J$16="FPM",H54="", $F$16="AT"),"",(I54*$P$119))</f>
        <v/>
      </c>
      <c r="Q54" s="205" t="str">
        <f t="shared" si="17"/>
        <v/>
      </c>
      <c r="R54" s="205" t="str">
        <f t="shared" ref="R54:R85" si="26">IF(OR($J$16="MPM",J54="", $F$16="AT"),"",(I54*$R$119))</f>
        <v/>
      </c>
      <c r="S54" s="205" t="str">
        <f t="shared" ref="S54:S85" si="27">IF(OR($F$16="AT",J54="",$J$16="MPM"),"",(I54*$S$119))</f>
        <v/>
      </c>
      <c r="T54" s="205" t="str">
        <f t="shared" ref="T54:T85" si="28">IF(OR($F$16="AT",J54="",$J$16="MPM"),"",(I54*$T$119))</f>
        <v/>
      </c>
    </row>
    <row r="55" spans="1:20">
      <c r="A55" s="255" t="str">
        <f t="shared" si="18"/>
        <v/>
      </c>
      <c r="B55" s="248" t="str">
        <f t="shared" si="19"/>
        <v/>
      </c>
      <c r="C55" s="255" t="str">
        <f t="shared" si="20"/>
        <v/>
      </c>
      <c r="D55" s="256" t="str">
        <f t="shared" si="13"/>
        <v/>
      </c>
      <c r="E55" s="2">
        <v>34</v>
      </c>
      <c r="F55" s="15"/>
      <c r="G55" s="15"/>
      <c r="H55" s="2" t="str">
        <f t="shared" si="14"/>
        <v/>
      </c>
      <c r="I55" s="2" t="str">
        <f t="shared" si="15"/>
        <v/>
      </c>
      <c r="J55" s="3" t="str">
        <f t="shared" si="21"/>
        <v/>
      </c>
      <c r="L55" s="4" t="str">
        <f t="shared" si="16"/>
        <v/>
      </c>
      <c r="M55" s="4" t="str">
        <f t="shared" si="22"/>
        <v/>
      </c>
      <c r="N55" s="4" t="str">
        <f t="shared" si="23"/>
        <v/>
      </c>
      <c r="O55" s="4" t="str">
        <f t="shared" si="24"/>
        <v/>
      </c>
      <c r="P55" s="205" t="str">
        <f t="shared" si="25"/>
        <v/>
      </c>
      <c r="Q55" s="205" t="str">
        <f t="shared" si="17"/>
        <v/>
      </c>
      <c r="R55" s="205" t="str">
        <f t="shared" si="26"/>
        <v/>
      </c>
      <c r="S55" s="205" t="str">
        <f t="shared" si="27"/>
        <v/>
      </c>
      <c r="T55" s="205" t="str">
        <f t="shared" si="28"/>
        <v/>
      </c>
    </row>
    <row r="56" spans="1:20">
      <c r="A56" s="255" t="str">
        <f t="shared" si="18"/>
        <v/>
      </c>
      <c r="B56" s="248" t="str">
        <f t="shared" si="19"/>
        <v/>
      </c>
      <c r="C56" s="255" t="str">
        <f t="shared" si="20"/>
        <v/>
      </c>
      <c r="D56" s="256" t="str">
        <f t="shared" si="13"/>
        <v/>
      </c>
      <c r="E56" s="2">
        <v>35</v>
      </c>
      <c r="F56" s="15"/>
      <c r="G56" s="15"/>
      <c r="H56" s="2" t="str">
        <f t="shared" si="14"/>
        <v/>
      </c>
      <c r="I56" s="2" t="str">
        <f t="shared" si="15"/>
        <v/>
      </c>
      <c r="J56" s="3" t="str">
        <f t="shared" si="21"/>
        <v/>
      </c>
      <c r="L56" s="4" t="str">
        <f t="shared" si="16"/>
        <v/>
      </c>
      <c r="M56" s="4" t="str">
        <f t="shared" si="22"/>
        <v/>
      </c>
      <c r="N56" s="4" t="str">
        <f t="shared" si="23"/>
        <v/>
      </c>
      <c r="O56" s="4" t="str">
        <f t="shared" si="24"/>
        <v/>
      </c>
      <c r="P56" s="205" t="str">
        <f t="shared" si="25"/>
        <v/>
      </c>
      <c r="Q56" s="205" t="str">
        <f t="shared" si="17"/>
        <v/>
      </c>
      <c r="R56" s="205" t="str">
        <f t="shared" si="26"/>
        <v/>
      </c>
      <c r="S56" s="205" t="str">
        <f t="shared" si="27"/>
        <v/>
      </c>
      <c r="T56" s="205" t="str">
        <f t="shared" si="28"/>
        <v/>
      </c>
    </row>
    <row r="57" spans="1:20">
      <c r="A57" s="255" t="str">
        <f t="shared" si="18"/>
        <v/>
      </c>
      <c r="B57" s="248" t="str">
        <f t="shared" si="19"/>
        <v/>
      </c>
      <c r="C57" s="255" t="str">
        <f t="shared" si="20"/>
        <v/>
      </c>
      <c r="D57" s="256" t="str">
        <f t="shared" si="13"/>
        <v/>
      </c>
      <c r="E57" s="2">
        <v>36</v>
      </c>
      <c r="F57" s="15"/>
      <c r="G57" s="15"/>
      <c r="H57" s="2" t="str">
        <f t="shared" si="14"/>
        <v/>
      </c>
      <c r="I57" s="2" t="str">
        <f t="shared" si="15"/>
        <v/>
      </c>
      <c r="J57" s="3" t="str">
        <f t="shared" si="21"/>
        <v/>
      </c>
      <c r="L57" s="4" t="str">
        <f t="shared" si="16"/>
        <v/>
      </c>
      <c r="M57" s="4" t="str">
        <f t="shared" si="22"/>
        <v/>
      </c>
      <c r="N57" s="4" t="str">
        <f t="shared" si="23"/>
        <v/>
      </c>
      <c r="O57" s="4" t="str">
        <f t="shared" si="24"/>
        <v/>
      </c>
      <c r="P57" s="205" t="str">
        <f t="shared" si="25"/>
        <v/>
      </c>
      <c r="Q57" s="205" t="str">
        <f t="shared" si="17"/>
        <v/>
      </c>
      <c r="R57" s="205" t="str">
        <f t="shared" si="26"/>
        <v/>
      </c>
      <c r="S57" s="205" t="str">
        <f t="shared" si="27"/>
        <v/>
      </c>
      <c r="T57" s="205" t="str">
        <f t="shared" si="28"/>
        <v/>
      </c>
    </row>
    <row r="58" spans="1:20">
      <c r="A58" s="255" t="str">
        <f t="shared" si="18"/>
        <v/>
      </c>
      <c r="B58" s="248" t="str">
        <f t="shared" si="19"/>
        <v/>
      </c>
      <c r="C58" s="255" t="str">
        <f t="shared" si="20"/>
        <v/>
      </c>
      <c r="D58" s="256" t="str">
        <f t="shared" si="13"/>
        <v/>
      </c>
      <c r="E58" s="2">
        <v>37</v>
      </c>
      <c r="F58" s="15"/>
      <c r="G58" s="15"/>
      <c r="H58" s="2" t="str">
        <f t="shared" si="14"/>
        <v/>
      </c>
      <c r="I58" s="2" t="str">
        <f t="shared" si="15"/>
        <v/>
      </c>
      <c r="J58" s="3" t="str">
        <f t="shared" si="21"/>
        <v/>
      </c>
      <c r="L58" s="4" t="str">
        <f t="shared" si="16"/>
        <v/>
      </c>
      <c r="M58" s="4" t="str">
        <f t="shared" si="22"/>
        <v/>
      </c>
      <c r="N58" s="4" t="str">
        <f t="shared" si="23"/>
        <v/>
      </c>
      <c r="O58" s="4" t="str">
        <f t="shared" si="24"/>
        <v/>
      </c>
      <c r="P58" s="205" t="str">
        <f t="shared" si="25"/>
        <v/>
      </c>
      <c r="Q58" s="205" t="str">
        <f t="shared" si="17"/>
        <v/>
      </c>
      <c r="R58" s="205" t="str">
        <f t="shared" si="26"/>
        <v/>
      </c>
      <c r="S58" s="205" t="str">
        <f t="shared" si="27"/>
        <v/>
      </c>
      <c r="T58" s="205" t="str">
        <f t="shared" si="28"/>
        <v/>
      </c>
    </row>
    <row r="59" spans="1:20">
      <c r="A59" s="255" t="str">
        <f t="shared" si="18"/>
        <v/>
      </c>
      <c r="B59" s="248" t="str">
        <f t="shared" si="19"/>
        <v/>
      </c>
      <c r="C59" s="255" t="str">
        <f t="shared" si="20"/>
        <v/>
      </c>
      <c r="D59" s="256" t="str">
        <f t="shared" si="13"/>
        <v/>
      </c>
      <c r="E59" s="2">
        <v>38</v>
      </c>
      <c r="F59" s="15"/>
      <c r="G59" s="15"/>
      <c r="H59" s="2" t="str">
        <f t="shared" si="14"/>
        <v/>
      </c>
      <c r="I59" s="2" t="str">
        <f t="shared" si="15"/>
        <v/>
      </c>
      <c r="J59" s="3" t="str">
        <f t="shared" si="21"/>
        <v/>
      </c>
      <c r="L59" s="4" t="str">
        <f t="shared" si="16"/>
        <v/>
      </c>
      <c r="M59" s="4" t="str">
        <f t="shared" si="22"/>
        <v/>
      </c>
      <c r="N59" s="4" t="str">
        <f t="shared" si="23"/>
        <v/>
      </c>
      <c r="O59" s="4" t="str">
        <f t="shared" si="24"/>
        <v/>
      </c>
      <c r="P59" s="205" t="str">
        <f t="shared" si="25"/>
        <v/>
      </c>
      <c r="Q59" s="205" t="str">
        <f t="shared" si="17"/>
        <v/>
      </c>
      <c r="R59" s="205" t="str">
        <f t="shared" si="26"/>
        <v/>
      </c>
      <c r="S59" s="205" t="str">
        <f t="shared" si="27"/>
        <v/>
      </c>
      <c r="T59" s="205" t="str">
        <f t="shared" si="28"/>
        <v/>
      </c>
    </row>
    <row r="60" spans="1:20">
      <c r="A60" s="255" t="str">
        <f t="shared" si="18"/>
        <v/>
      </c>
      <c r="B60" s="248" t="str">
        <f t="shared" si="19"/>
        <v/>
      </c>
      <c r="C60" s="255" t="str">
        <f t="shared" si="20"/>
        <v/>
      </c>
      <c r="D60" s="256" t="str">
        <f t="shared" si="13"/>
        <v/>
      </c>
      <c r="E60" s="2">
        <v>39</v>
      </c>
      <c r="F60" s="15"/>
      <c r="G60" s="15"/>
      <c r="H60" s="2" t="str">
        <f t="shared" si="14"/>
        <v/>
      </c>
      <c r="I60" s="2" t="str">
        <f t="shared" si="15"/>
        <v/>
      </c>
      <c r="J60" s="3" t="str">
        <f t="shared" si="21"/>
        <v/>
      </c>
      <c r="L60" s="4" t="str">
        <f t="shared" si="16"/>
        <v/>
      </c>
      <c r="M60" s="4" t="str">
        <f t="shared" si="22"/>
        <v/>
      </c>
      <c r="N60" s="4" t="str">
        <f t="shared" si="23"/>
        <v/>
      </c>
      <c r="O60" s="4" t="str">
        <f t="shared" si="24"/>
        <v/>
      </c>
      <c r="P60" s="205" t="str">
        <f t="shared" si="25"/>
        <v/>
      </c>
      <c r="Q60" s="205" t="str">
        <f t="shared" si="17"/>
        <v/>
      </c>
      <c r="R60" s="205" t="str">
        <f t="shared" si="26"/>
        <v/>
      </c>
      <c r="S60" s="205" t="str">
        <f t="shared" si="27"/>
        <v/>
      </c>
      <c r="T60" s="205" t="str">
        <f t="shared" si="28"/>
        <v/>
      </c>
    </row>
    <row r="61" spans="1:20">
      <c r="A61" s="255" t="str">
        <f t="shared" si="18"/>
        <v/>
      </c>
      <c r="B61" s="248" t="str">
        <f t="shared" si="19"/>
        <v/>
      </c>
      <c r="C61" s="255" t="str">
        <f t="shared" si="20"/>
        <v/>
      </c>
      <c r="D61" s="256" t="str">
        <f t="shared" si="13"/>
        <v/>
      </c>
      <c r="E61" s="2">
        <v>40</v>
      </c>
      <c r="F61" s="15"/>
      <c r="G61" s="15"/>
      <c r="H61" s="2" t="str">
        <f t="shared" si="14"/>
        <v/>
      </c>
      <c r="I61" s="2" t="str">
        <f t="shared" si="15"/>
        <v/>
      </c>
      <c r="J61" s="3" t="str">
        <f t="shared" si="21"/>
        <v/>
      </c>
      <c r="L61" s="4" t="str">
        <f t="shared" si="16"/>
        <v/>
      </c>
      <c r="M61" s="4" t="str">
        <f t="shared" si="22"/>
        <v/>
      </c>
      <c r="N61" s="4" t="str">
        <f t="shared" si="23"/>
        <v/>
      </c>
      <c r="O61" s="4" t="str">
        <f t="shared" si="24"/>
        <v/>
      </c>
      <c r="P61" s="205" t="str">
        <f t="shared" si="25"/>
        <v/>
      </c>
      <c r="Q61" s="205" t="str">
        <f t="shared" si="17"/>
        <v/>
      </c>
      <c r="R61" s="205" t="str">
        <f t="shared" si="26"/>
        <v/>
      </c>
      <c r="S61" s="205" t="str">
        <f t="shared" si="27"/>
        <v/>
      </c>
      <c r="T61" s="205" t="str">
        <f t="shared" si="28"/>
        <v/>
      </c>
    </row>
    <row r="62" spans="1:20">
      <c r="A62" s="255" t="str">
        <f t="shared" si="18"/>
        <v/>
      </c>
      <c r="B62" s="248" t="str">
        <f t="shared" si="19"/>
        <v/>
      </c>
      <c r="C62" s="255" t="str">
        <f t="shared" si="20"/>
        <v/>
      </c>
      <c r="D62" s="256" t="str">
        <f t="shared" si="13"/>
        <v/>
      </c>
      <c r="E62" s="2">
        <v>41</v>
      </c>
      <c r="F62" s="15"/>
      <c r="G62" s="15"/>
      <c r="H62" s="2" t="str">
        <f t="shared" si="14"/>
        <v/>
      </c>
      <c r="I62" s="2" t="str">
        <f t="shared" si="15"/>
        <v/>
      </c>
      <c r="J62" s="3" t="str">
        <f t="shared" si="21"/>
        <v/>
      </c>
      <c r="L62" s="4" t="str">
        <f t="shared" si="16"/>
        <v/>
      </c>
      <c r="M62" s="4" t="str">
        <f t="shared" si="22"/>
        <v/>
      </c>
      <c r="N62" s="4" t="str">
        <f t="shared" si="23"/>
        <v/>
      </c>
      <c r="O62" s="4" t="str">
        <f t="shared" si="24"/>
        <v/>
      </c>
      <c r="P62" s="205" t="str">
        <f t="shared" si="25"/>
        <v/>
      </c>
      <c r="Q62" s="205" t="str">
        <f t="shared" si="17"/>
        <v/>
      </c>
      <c r="R62" s="205" t="str">
        <f t="shared" si="26"/>
        <v/>
      </c>
      <c r="S62" s="205" t="str">
        <f t="shared" si="27"/>
        <v/>
      </c>
      <c r="T62" s="205" t="str">
        <f t="shared" si="28"/>
        <v/>
      </c>
    </row>
    <row r="63" spans="1:20">
      <c r="A63" s="255" t="str">
        <f t="shared" si="18"/>
        <v/>
      </c>
      <c r="B63" s="248" t="str">
        <f t="shared" si="19"/>
        <v/>
      </c>
      <c r="C63" s="255" t="str">
        <f t="shared" si="20"/>
        <v/>
      </c>
      <c r="D63" s="256" t="str">
        <f t="shared" si="13"/>
        <v/>
      </c>
      <c r="E63" s="2">
        <v>42</v>
      </c>
      <c r="F63" s="15"/>
      <c r="G63" s="15"/>
      <c r="H63" s="2" t="str">
        <f t="shared" si="14"/>
        <v/>
      </c>
      <c r="I63" s="2" t="str">
        <f t="shared" si="15"/>
        <v/>
      </c>
      <c r="J63" s="3" t="str">
        <f t="shared" si="21"/>
        <v/>
      </c>
      <c r="L63" s="4" t="str">
        <f t="shared" si="16"/>
        <v/>
      </c>
      <c r="M63" s="4" t="str">
        <f t="shared" si="22"/>
        <v/>
      </c>
      <c r="N63" s="4" t="str">
        <f t="shared" si="23"/>
        <v/>
      </c>
      <c r="O63" s="4" t="str">
        <f t="shared" si="24"/>
        <v/>
      </c>
      <c r="P63" s="205" t="str">
        <f t="shared" si="25"/>
        <v/>
      </c>
      <c r="Q63" s="205" t="str">
        <f t="shared" si="17"/>
        <v/>
      </c>
      <c r="R63" s="205" t="str">
        <f t="shared" si="26"/>
        <v/>
      </c>
      <c r="S63" s="205" t="str">
        <f t="shared" si="27"/>
        <v/>
      </c>
      <c r="T63" s="205" t="str">
        <f t="shared" si="28"/>
        <v/>
      </c>
    </row>
    <row r="64" spans="1:20">
      <c r="A64" s="255" t="str">
        <f t="shared" si="18"/>
        <v/>
      </c>
      <c r="B64" s="248" t="str">
        <f t="shared" si="19"/>
        <v/>
      </c>
      <c r="C64" s="255" t="str">
        <f t="shared" si="20"/>
        <v/>
      </c>
      <c r="D64" s="256" t="str">
        <f t="shared" si="13"/>
        <v/>
      </c>
      <c r="E64" s="2">
        <v>43</v>
      </c>
      <c r="F64" s="15"/>
      <c r="G64" s="15"/>
      <c r="H64" s="2" t="str">
        <f t="shared" si="14"/>
        <v/>
      </c>
      <c r="I64" s="2" t="str">
        <f t="shared" si="15"/>
        <v/>
      </c>
      <c r="J64" s="3" t="str">
        <f t="shared" si="21"/>
        <v/>
      </c>
      <c r="L64" s="4" t="str">
        <f t="shared" si="16"/>
        <v/>
      </c>
      <c r="M64" s="4" t="str">
        <f t="shared" si="22"/>
        <v/>
      </c>
      <c r="N64" s="4" t="str">
        <f t="shared" si="23"/>
        <v/>
      </c>
      <c r="O64" s="4" t="str">
        <f t="shared" si="24"/>
        <v/>
      </c>
      <c r="P64" s="205" t="str">
        <f t="shared" si="25"/>
        <v/>
      </c>
      <c r="Q64" s="205" t="str">
        <f t="shared" si="17"/>
        <v/>
      </c>
      <c r="R64" s="205" t="str">
        <f t="shared" si="26"/>
        <v/>
      </c>
      <c r="S64" s="205" t="str">
        <f t="shared" si="27"/>
        <v/>
      </c>
      <c r="T64" s="205" t="str">
        <f t="shared" si="28"/>
        <v/>
      </c>
    </row>
    <row r="65" spans="1:20">
      <c r="A65" s="255" t="str">
        <f t="shared" si="18"/>
        <v/>
      </c>
      <c r="B65" s="248" t="str">
        <f t="shared" si="19"/>
        <v/>
      </c>
      <c r="C65" s="255" t="str">
        <f t="shared" si="20"/>
        <v/>
      </c>
      <c r="D65" s="256" t="str">
        <f t="shared" si="13"/>
        <v/>
      </c>
      <c r="E65" s="2">
        <v>44</v>
      </c>
      <c r="F65" s="15"/>
      <c r="G65" s="15"/>
      <c r="H65" s="2" t="str">
        <f t="shared" si="14"/>
        <v/>
      </c>
      <c r="I65" s="2" t="str">
        <f t="shared" si="15"/>
        <v/>
      </c>
      <c r="J65" s="3" t="str">
        <f t="shared" si="21"/>
        <v/>
      </c>
      <c r="L65" s="4" t="str">
        <f t="shared" si="16"/>
        <v/>
      </c>
      <c r="M65" s="4" t="str">
        <f t="shared" si="22"/>
        <v/>
      </c>
      <c r="N65" s="4" t="str">
        <f t="shared" si="23"/>
        <v/>
      </c>
      <c r="O65" s="4" t="str">
        <f t="shared" si="24"/>
        <v/>
      </c>
      <c r="P65" s="205" t="str">
        <f t="shared" si="25"/>
        <v/>
      </c>
      <c r="Q65" s="205" t="str">
        <f t="shared" si="17"/>
        <v/>
      </c>
      <c r="R65" s="205" t="str">
        <f t="shared" si="26"/>
        <v/>
      </c>
      <c r="S65" s="205" t="str">
        <f t="shared" si="27"/>
        <v/>
      </c>
      <c r="T65" s="205" t="str">
        <f t="shared" si="28"/>
        <v/>
      </c>
    </row>
    <row r="66" spans="1:20">
      <c r="A66" s="255" t="str">
        <f t="shared" si="18"/>
        <v/>
      </c>
      <c r="B66" s="248" t="str">
        <f t="shared" si="19"/>
        <v/>
      </c>
      <c r="C66" s="255" t="str">
        <f t="shared" si="20"/>
        <v/>
      </c>
      <c r="D66" s="256" t="str">
        <f t="shared" si="13"/>
        <v/>
      </c>
      <c r="E66" s="2">
        <v>45</v>
      </c>
      <c r="F66" s="15"/>
      <c r="G66" s="15"/>
      <c r="H66" s="2" t="str">
        <f t="shared" si="14"/>
        <v/>
      </c>
      <c r="I66" s="2" t="str">
        <f t="shared" si="15"/>
        <v/>
      </c>
      <c r="J66" s="3" t="str">
        <f t="shared" si="21"/>
        <v/>
      </c>
      <c r="L66" s="4" t="str">
        <f t="shared" si="16"/>
        <v/>
      </c>
      <c r="M66" s="4" t="str">
        <f t="shared" si="22"/>
        <v/>
      </c>
      <c r="N66" s="4" t="str">
        <f t="shared" si="23"/>
        <v/>
      </c>
      <c r="O66" s="4" t="str">
        <f t="shared" si="24"/>
        <v/>
      </c>
      <c r="P66" s="205" t="str">
        <f t="shared" si="25"/>
        <v/>
      </c>
      <c r="Q66" s="205" t="str">
        <f t="shared" si="17"/>
        <v/>
      </c>
      <c r="R66" s="205" t="str">
        <f t="shared" si="26"/>
        <v/>
      </c>
      <c r="S66" s="205" t="str">
        <f t="shared" si="27"/>
        <v/>
      </c>
      <c r="T66" s="205" t="str">
        <f t="shared" si="28"/>
        <v/>
      </c>
    </row>
    <row r="67" spans="1:20">
      <c r="A67" s="255" t="str">
        <f t="shared" si="18"/>
        <v/>
      </c>
      <c r="B67" s="248" t="str">
        <f t="shared" si="19"/>
        <v/>
      </c>
      <c r="C67" s="255" t="str">
        <f t="shared" si="20"/>
        <v/>
      </c>
      <c r="D67" s="256" t="str">
        <f t="shared" si="13"/>
        <v/>
      </c>
      <c r="E67" s="2">
        <v>46</v>
      </c>
      <c r="F67" s="15"/>
      <c r="G67" s="15"/>
      <c r="H67" s="2" t="str">
        <f t="shared" si="14"/>
        <v/>
      </c>
      <c r="I67" s="2" t="str">
        <f t="shared" si="15"/>
        <v/>
      </c>
      <c r="J67" s="3" t="str">
        <f t="shared" si="21"/>
        <v/>
      </c>
      <c r="L67" s="4" t="str">
        <f t="shared" si="16"/>
        <v/>
      </c>
      <c r="M67" s="4" t="str">
        <f t="shared" si="22"/>
        <v/>
      </c>
      <c r="N67" s="4" t="str">
        <f t="shared" si="23"/>
        <v/>
      </c>
      <c r="O67" s="4" t="str">
        <f t="shared" si="24"/>
        <v/>
      </c>
      <c r="P67" s="205" t="str">
        <f t="shared" si="25"/>
        <v/>
      </c>
      <c r="Q67" s="205" t="str">
        <f t="shared" si="17"/>
        <v/>
      </c>
      <c r="R67" s="205" t="str">
        <f t="shared" si="26"/>
        <v/>
      </c>
      <c r="S67" s="205" t="str">
        <f t="shared" si="27"/>
        <v/>
      </c>
      <c r="T67" s="205" t="str">
        <f t="shared" si="28"/>
        <v/>
      </c>
    </row>
    <row r="68" spans="1:20">
      <c r="A68" s="255" t="str">
        <f t="shared" si="18"/>
        <v/>
      </c>
      <c r="B68" s="248" t="str">
        <f t="shared" si="19"/>
        <v/>
      </c>
      <c r="C68" s="255" t="str">
        <f t="shared" si="20"/>
        <v/>
      </c>
      <c r="D68" s="256" t="str">
        <f t="shared" si="13"/>
        <v/>
      </c>
      <c r="E68" s="2">
        <v>47</v>
      </c>
      <c r="F68" s="15"/>
      <c r="G68" s="15"/>
      <c r="H68" s="2" t="str">
        <f t="shared" si="14"/>
        <v/>
      </c>
      <c r="I68" s="2" t="str">
        <f t="shared" si="15"/>
        <v/>
      </c>
      <c r="J68" s="3" t="str">
        <f t="shared" si="21"/>
        <v/>
      </c>
      <c r="L68" s="4" t="str">
        <f t="shared" si="16"/>
        <v/>
      </c>
      <c r="M68" s="4" t="str">
        <f t="shared" si="22"/>
        <v/>
      </c>
      <c r="N68" s="4" t="str">
        <f t="shared" si="23"/>
        <v/>
      </c>
      <c r="O68" s="4" t="str">
        <f t="shared" si="24"/>
        <v/>
      </c>
      <c r="P68" s="205" t="str">
        <f t="shared" si="25"/>
        <v/>
      </c>
      <c r="Q68" s="205" t="str">
        <f t="shared" si="17"/>
        <v/>
      </c>
      <c r="R68" s="205" t="str">
        <f t="shared" si="26"/>
        <v/>
      </c>
      <c r="S68" s="205" t="str">
        <f t="shared" si="27"/>
        <v/>
      </c>
      <c r="T68" s="205" t="str">
        <f t="shared" si="28"/>
        <v/>
      </c>
    </row>
    <row r="69" spans="1:20">
      <c r="A69" s="255" t="str">
        <f t="shared" si="18"/>
        <v/>
      </c>
      <c r="B69" s="248" t="str">
        <f t="shared" si="19"/>
        <v/>
      </c>
      <c r="C69" s="255" t="str">
        <f t="shared" si="20"/>
        <v/>
      </c>
      <c r="D69" s="256" t="str">
        <f t="shared" si="13"/>
        <v/>
      </c>
      <c r="E69" s="2">
        <v>48</v>
      </c>
      <c r="F69" s="15"/>
      <c r="G69" s="15"/>
      <c r="H69" s="2" t="str">
        <f t="shared" si="14"/>
        <v/>
      </c>
      <c r="I69" s="2" t="str">
        <f t="shared" si="15"/>
        <v/>
      </c>
      <c r="J69" s="3" t="str">
        <f t="shared" si="21"/>
        <v/>
      </c>
      <c r="L69" s="4" t="str">
        <f t="shared" si="16"/>
        <v/>
      </c>
      <c r="M69" s="4" t="str">
        <f t="shared" si="22"/>
        <v/>
      </c>
      <c r="N69" s="4" t="str">
        <f t="shared" si="23"/>
        <v/>
      </c>
      <c r="O69" s="4" t="str">
        <f t="shared" si="24"/>
        <v/>
      </c>
      <c r="P69" s="205" t="str">
        <f t="shared" si="25"/>
        <v/>
      </c>
      <c r="Q69" s="205" t="str">
        <f t="shared" si="17"/>
        <v/>
      </c>
      <c r="R69" s="205" t="str">
        <f t="shared" si="26"/>
        <v/>
      </c>
      <c r="S69" s="205" t="str">
        <f t="shared" si="27"/>
        <v/>
      </c>
      <c r="T69" s="205" t="str">
        <f t="shared" si="28"/>
        <v/>
      </c>
    </row>
    <row r="70" spans="1:20">
      <c r="A70" s="255" t="str">
        <f t="shared" si="18"/>
        <v/>
      </c>
      <c r="B70" s="248" t="str">
        <f t="shared" si="19"/>
        <v/>
      </c>
      <c r="C70" s="255" t="str">
        <f t="shared" si="20"/>
        <v/>
      </c>
      <c r="D70" s="256" t="str">
        <f t="shared" si="13"/>
        <v/>
      </c>
      <c r="E70" s="2">
        <v>49</v>
      </c>
      <c r="F70" s="15"/>
      <c r="G70" s="15"/>
      <c r="H70" s="2" t="str">
        <f t="shared" si="14"/>
        <v/>
      </c>
      <c r="I70" s="2" t="str">
        <f t="shared" si="15"/>
        <v/>
      </c>
      <c r="J70" s="3" t="str">
        <f t="shared" si="21"/>
        <v/>
      </c>
      <c r="L70" s="4" t="str">
        <f t="shared" si="16"/>
        <v/>
      </c>
      <c r="M70" s="4" t="str">
        <f t="shared" si="22"/>
        <v/>
      </c>
      <c r="N70" s="4" t="str">
        <f t="shared" si="23"/>
        <v/>
      </c>
      <c r="O70" s="4" t="str">
        <f t="shared" si="24"/>
        <v/>
      </c>
      <c r="P70" s="205" t="str">
        <f t="shared" si="25"/>
        <v/>
      </c>
      <c r="Q70" s="205" t="str">
        <f t="shared" si="17"/>
        <v/>
      </c>
      <c r="R70" s="205" t="str">
        <f t="shared" si="26"/>
        <v/>
      </c>
      <c r="S70" s="205" t="str">
        <f t="shared" si="27"/>
        <v/>
      </c>
      <c r="T70" s="205" t="str">
        <f t="shared" si="28"/>
        <v/>
      </c>
    </row>
    <row r="71" spans="1:20">
      <c r="A71" s="255" t="str">
        <f t="shared" si="18"/>
        <v/>
      </c>
      <c r="B71" s="248" t="str">
        <f t="shared" si="19"/>
        <v/>
      </c>
      <c r="C71" s="255" t="str">
        <f t="shared" si="20"/>
        <v/>
      </c>
      <c r="D71" s="256" t="str">
        <f t="shared" si="13"/>
        <v/>
      </c>
      <c r="E71" s="2">
        <v>50</v>
      </c>
      <c r="F71" s="15"/>
      <c r="G71" s="15"/>
      <c r="H71" s="2" t="str">
        <f t="shared" si="14"/>
        <v/>
      </c>
      <c r="I71" s="2" t="str">
        <f t="shared" si="15"/>
        <v/>
      </c>
      <c r="J71" s="3" t="str">
        <f t="shared" si="21"/>
        <v/>
      </c>
      <c r="L71" s="4" t="str">
        <f t="shared" si="16"/>
        <v/>
      </c>
      <c r="M71" s="4" t="str">
        <f t="shared" si="22"/>
        <v/>
      </c>
      <c r="N71" s="4" t="str">
        <f t="shared" si="23"/>
        <v/>
      </c>
      <c r="O71" s="4" t="str">
        <f t="shared" si="24"/>
        <v/>
      </c>
      <c r="P71" s="205" t="str">
        <f t="shared" si="25"/>
        <v/>
      </c>
      <c r="Q71" s="205" t="str">
        <f t="shared" si="17"/>
        <v/>
      </c>
      <c r="R71" s="205" t="str">
        <f t="shared" si="26"/>
        <v/>
      </c>
      <c r="S71" s="205" t="str">
        <f t="shared" si="27"/>
        <v/>
      </c>
      <c r="T71" s="205" t="str">
        <f t="shared" si="28"/>
        <v/>
      </c>
    </row>
    <row r="72" spans="1:20">
      <c r="A72" s="255" t="str">
        <f t="shared" si="18"/>
        <v/>
      </c>
      <c r="B72" s="248" t="str">
        <f t="shared" si="19"/>
        <v/>
      </c>
      <c r="C72" s="255" t="str">
        <f t="shared" si="20"/>
        <v/>
      </c>
      <c r="D72" s="256" t="str">
        <f t="shared" si="13"/>
        <v/>
      </c>
      <c r="E72" s="2">
        <v>51</v>
      </c>
      <c r="F72" s="15"/>
      <c r="G72" s="15"/>
      <c r="H72" s="2" t="str">
        <f t="shared" si="14"/>
        <v/>
      </c>
      <c r="I72" s="2" t="str">
        <f t="shared" si="15"/>
        <v/>
      </c>
      <c r="J72" s="3" t="str">
        <f t="shared" si="21"/>
        <v/>
      </c>
      <c r="L72" s="4" t="str">
        <f t="shared" si="16"/>
        <v/>
      </c>
      <c r="M72" s="4" t="str">
        <f t="shared" si="22"/>
        <v/>
      </c>
      <c r="N72" s="4" t="str">
        <f t="shared" si="23"/>
        <v/>
      </c>
      <c r="O72" s="4" t="str">
        <f t="shared" si="24"/>
        <v/>
      </c>
      <c r="P72" s="205" t="str">
        <f t="shared" si="25"/>
        <v/>
      </c>
      <c r="Q72" s="205" t="str">
        <f t="shared" si="17"/>
        <v/>
      </c>
      <c r="R72" s="205" t="str">
        <f t="shared" si="26"/>
        <v/>
      </c>
      <c r="S72" s="205" t="str">
        <f t="shared" si="27"/>
        <v/>
      </c>
      <c r="T72" s="205" t="str">
        <f t="shared" si="28"/>
        <v/>
      </c>
    </row>
    <row r="73" spans="1:20">
      <c r="A73" s="255" t="str">
        <f t="shared" si="18"/>
        <v/>
      </c>
      <c r="B73" s="248" t="str">
        <f t="shared" si="19"/>
        <v/>
      </c>
      <c r="C73" s="255" t="str">
        <f t="shared" si="20"/>
        <v/>
      </c>
      <c r="D73" s="256" t="str">
        <f t="shared" si="13"/>
        <v/>
      </c>
      <c r="E73" s="2">
        <v>52</v>
      </c>
      <c r="F73" s="15"/>
      <c r="G73" s="15"/>
      <c r="H73" s="2" t="str">
        <f t="shared" si="14"/>
        <v/>
      </c>
      <c r="I73" s="2" t="str">
        <f t="shared" si="15"/>
        <v/>
      </c>
      <c r="J73" s="3" t="str">
        <f t="shared" si="21"/>
        <v/>
      </c>
      <c r="L73" s="4" t="str">
        <f t="shared" si="16"/>
        <v/>
      </c>
      <c r="M73" s="4" t="str">
        <f t="shared" si="22"/>
        <v/>
      </c>
      <c r="N73" s="4" t="str">
        <f t="shared" si="23"/>
        <v/>
      </c>
      <c r="O73" s="4" t="str">
        <f t="shared" si="24"/>
        <v/>
      </c>
      <c r="P73" s="205" t="str">
        <f t="shared" si="25"/>
        <v/>
      </c>
      <c r="Q73" s="205" t="str">
        <f t="shared" si="17"/>
        <v/>
      </c>
      <c r="R73" s="205" t="str">
        <f t="shared" si="26"/>
        <v/>
      </c>
      <c r="S73" s="205" t="str">
        <f t="shared" si="27"/>
        <v/>
      </c>
      <c r="T73" s="205" t="str">
        <f t="shared" si="28"/>
        <v/>
      </c>
    </row>
    <row r="74" spans="1:20">
      <c r="A74" s="255" t="str">
        <f t="shared" si="18"/>
        <v/>
      </c>
      <c r="B74" s="248" t="str">
        <f t="shared" si="19"/>
        <v/>
      </c>
      <c r="C74" s="255" t="str">
        <f t="shared" si="20"/>
        <v/>
      </c>
      <c r="D74" s="256" t="str">
        <f t="shared" si="13"/>
        <v/>
      </c>
      <c r="E74" s="2">
        <v>53</v>
      </c>
      <c r="F74" s="15"/>
      <c r="G74" s="15"/>
      <c r="H74" s="2" t="str">
        <f t="shared" si="14"/>
        <v/>
      </c>
      <c r="I74" s="2" t="str">
        <f t="shared" si="15"/>
        <v/>
      </c>
      <c r="J74" s="3" t="str">
        <f t="shared" si="21"/>
        <v/>
      </c>
      <c r="L74" s="4" t="str">
        <f t="shared" si="16"/>
        <v/>
      </c>
      <c r="M74" s="4" t="str">
        <f t="shared" si="22"/>
        <v/>
      </c>
      <c r="N74" s="4" t="str">
        <f t="shared" si="23"/>
        <v/>
      </c>
      <c r="O74" s="4" t="str">
        <f t="shared" si="24"/>
        <v/>
      </c>
      <c r="P74" s="205" t="str">
        <f t="shared" si="25"/>
        <v/>
      </c>
      <c r="Q74" s="205" t="str">
        <f t="shared" si="17"/>
        <v/>
      </c>
      <c r="R74" s="205" t="str">
        <f t="shared" si="26"/>
        <v/>
      </c>
      <c r="S74" s="205" t="str">
        <f t="shared" si="27"/>
        <v/>
      </c>
      <c r="T74" s="205" t="str">
        <f t="shared" si="28"/>
        <v/>
      </c>
    </row>
    <row r="75" spans="1:20">
      <c r="A75" s="255" t="str">
        <f t="shared" si="18"/>
        <v/>
      </c>
      <c r="B75" s="248" t="str">
        <f t="shared" si="19"/>
        <v/>
      </c>
      <c r="C75" s="255" t="str">
        <f t="shared" si="20"/>
        <v/>
      </c>
      <c r="D75" s="256" t="str">
        <f t="shared" si="13"/>
        <v/>
      </c>
      <c r="E75" s="2">
        <v>54</v>
      </c>
      <c r="F75" s="15"/>
      <c r="G75" s="15"/>
      <c r="H75" s="2" t="str">
        <f t="shared" si="14"/>
        <v/>
      </c>
      <c r="I75" s="2" t="str">
        <f t="shared" si="15"/>
        <v/>
      </c>
      <c r="J75" s="3" t="str">
        <f t="shared" si="21"/>
        <v/>
      </c>
      <c r="L75" s="4" t="str">
        <f t="shared" si="16"/>
        <v/>
      </c>
      <c r="M75" s="4" t="str">
        <f t="shared" si="22"/>
        <v/>
      </c>
      <c r="N75" s="4" t="str">
        <f t="shared" si="23"/>
        <v/>
      </c>
      <c r="O75" s="4" t="str">
        <f t="shared" si="24"/>
        <v/>
      </c>
      <c r="P75" s="205" t="str">
        <f t="shared" si="25"/>
        <v/>
      </c>
      <c r="Q75" s="205" t="str">
        <f t="shared" si="17"/>
        <v/>
      </c>
      <c r="R75" s="205" t="str">
        <f t="shared" si="26"/>
        <v/>
      </c>
      <c r="S75" s="205" t="str">
        <f t="shared" si="27"/>
        <v/>
      </c>
      <c r="T75" s="205" t="str">
        <f t="shared" si="28"/>
        <v/>
      </c>
    </row>
    <row r="76" spans="1:20">
      <c r="A76" s="255" t="str">
        <f t="shared" si="18"/>
        <v/>
      </c>
      <c r="B76" s="248" t="str">
        <f t="shared" si="19"/>
        <v/>
      </c>
      <c r="C76" s="255" t="str">
        <f t="shared" si="20"/>
        <v/>
      </c>
      <c r="D76" s="256" t="str">
        <f t="shared" si="13"/>
        <v/>
      </c>
      <c r="E76" s="2">
        <v>55</v>
      </c>
      <c r="F76" s="15"/>
      <c r="G76" s="15"/>
      <c r="H76" s="2" t="str">
        <f t="shared" si="14"/>
        <v/>
      </c>
      <c r="I76" s="2" t="str">
        <f t="shared" si="15"/>
        <v/>
      </c>
      <c r="J76" s="3" t="str">
        <f t="shared" si="21"/>
        <v/>
      </c>
      <c r="L76" s="4" t="str">
        <f t="shared" si="16"/>
        <v/>
      </c>
      <c r="M76" s="4" t="str">
        <f t="shared" si="22"/>
        <v/>
      </c>
      <c r="N76" s="4" t="str">
        <f t="shared" si="23"/>
        <v/>
      </c>
      <c r="O76" s="4" t="str">
        <f t="shared" si="24"/>
        <v/>
      </c>
      <c r="P76" s="205" t="str">
        <f t="shared" si="25"/>
        <v/>
      </c>
      <c r="Q76" s="205" t="str">
        <f t="shared" si="17"/>
        <v/>
      </c>
      <c r="R76" s="205" t="str">
        <f t="shared" si="26"/>
        <v/>
      </c>
      <c r="S76" s="205" t="str">
        <f t="shared" si="27"/>
        <v/>
      </c>
      <c r="T76" s="205" t="str">
        <f t="shared" si="28"/>
        <v/>
      </c>
    </row>
    <row r="77" spans="1:20">
      <c r="A77" s="255" t="str">
        <f t="shared" si="18"/>
        <v/>
      </c>
      <c r="B77" s="248" t="str">
        <f t="shared" si="19"/>
        <v/>
      </c>
      <c r="C77" s="255" t="str">
        <f t="shared" si="20"/>
        <v/>
      </c>
      <c r="D77" s="256" t="str">
        <f t="shared" si="13"/>
        <v/>
      </c>
      <c r="E77" s="2">
        <v>56</v>
      </c>
      <c r="F77" s="15"/>
      <c r="G77" s="15"/>
      <c r="H77" s="2" t="str">
        <f t="shared" si="14"/>
        <v/>
      </c>
      <c r="I77" s="2" t="str">
        <f t="shared" si="15"/>
        <v/>
      </c>
      <c r="J77" s="3" t="str">
        <f t="shared" si="21"/>
        <v/>
      </c>
      <c r="L77" s="4" t="str">
        <f t="shared" si="16"/>
        <v/>
      </c>
      <c r="M77" s="4" t="str">
        <f t="shared" si="22"/>
        <v/>
      </c>
      <c r="N77" s="4" t="str">
        <f t="shared" si="23"/>
        <v/>
      </c>
      <c r="O77" s="4" t="str">
        <f t="shared" si="24"/>
        <v/>
      </c>
      <c r="P77" s="205" t="str">
        <f t="shared" si="25"/>
        <v/>
      </c>
      <c r="Q77" s="205" t="str">
        <f t="shared" si="17"/>
        <v/>
      </c>
      <c r="R77" s="205" t="str">
        <f t="shared" si="26"/>
        <v/>
      </c>
      <c r="S77" s="205" t="str">
        <f t="shared" si="27"/>
        <v/>
      </c>
      <c r="T77" s="205" t="str">
        <f t="shared" si="28"/>
        <v/>
      </c>
    </row>
    <row r="78" spans="1:20">
      <c r="A78" s="255" t="str">
        <f t="shared" si="18"/>
        <v/>
      </c>
      <c r="B78" s="248" t="str">
        <f t="shared" si="19"/>
        <v/>
      </c>
      <c r="C78" s="255" t="str">
        <f t="shared" si="20"/>
        <v/>
      </c>
      <c r="D78" s="256" t="str">
        <f t="shared" si="13"/>
        <v/>
      </c>
      <c r="E78" s="2">
        <v>57</v>
      </c>
      <c r="F78" s="15"/>
      <c r="G78" s="15"/>
      <c r="H78" s="2" t="str">
        <f t="shared" si="14"/>
        <v/>
      </c>
      <c r="I78" s="2" t="str">
        <f t="shared" si="15"/>
        <v/>
      </c>
      <c r="J78" s="3" t="str">
        <f t="shared" si="21"/>
        <v/>
      </c>
      <c r="L78" s="4" t="str">
        <f t="shared" si="16"/>
        <v/>
      </c>
      <c r="M78" s="4" t="str">
        <f t="shared" si="22"/>
        <v/>
      </c>
      <c r="N78" s="4" t="str">
        <f t="shared" si="23"/>
        <v/>
      </c>
      <c r="O78" s="4" t="str">
        <f t="shared" si="24"/>
        <v/>
      </c>
      <c r="P78" s="205" t="str">
        <f t="shared" si="25"/>
        <v/>
      </c>
      <c r="Q78" s="205" t="str">
        <f t="shared" si="17"/>
        <v/>
      </c>
      <c r="R78" s="205" t="str">
        <f t="shared" si="26"/>
        <v/>
      </c>
      <c r="S78" s="205" t="str">
        <f t="shared" si="27"/>
        <v/>
      </c>
      <c r="T78" s="205" t="str">
        <f t="shared" si="28"/>
        <v/>
      </c>
    </row>
    <row r="79" spans="1:20">
      <c r="A79" s="255" t="str">
        <f t="shared" si="18"/>
        <v/>
      </c>
      <c r="B79" s="248" t="str">
        <f t="shared" si="19"/>
        <v/>
      </c>
      <c r="C79" s="255" t="str">
        <f t="shared" si="20"/>
        <v/>
      </c>
      <c r="D79" s="256" t="str">
        <f t="shared" si="13"/>
        <v/>
      </c>
      <c r="E79" s="2">
        <v>58</v>
      </c>
      <c r="F79" s="15"/>
      <c r="G79" s="15"/>
      <c r="H79" s="2" t="str">
        <f t="shared" si="14"/>
        <v/>
      </c>
      <c r="I79" s="2" t="str">
        <f t="shared" si="15"/>
        <v/>
      </c>
      <c r="J79" s="3" t="str">
        <f t="shared" si="21"/>
        <v/>
      </c>
      <c r="L79" s="4" t="str">
        <f t="shared" si="16"/>
        <v/>
      </c>
      <c r="M79" s="4" t="str">
        <f t="shared" si="22"/>
        <v/>
      </c>
      <c r="N79" s="4" t="str">
        <f t="shared" si="23"/>
        <v/>
      </c>
      <c r="O79" s="4" t="str">
        <f t="shared" si="24"/>
        <v/>
      </c>
      <c r="P79" s="205" t="str">
        <f t="shared" si="25"/>
        <v/>
      </c>
      <c r="Q79" s="205" t="str">
        <f t="shared" si="17"/>
        <v/>
      </c>
      <c r="R79" s="205" t="str">
        <f t="shared" si="26"/>
        <v/>
      </c>
      <c r="S79" s="205" t="str">
        <f t="shared" si="27"/>
        <v/>
      </c>
      <c r="T79" s="205" t="str">
        <f t="shared" si="28"/>
        <v/>
      </c>
    </row>
    <row r="80" spans="1:20">
      <c r="A80" s="255" t="str">
        <f t="shared" si="18"/>
        <v/>
      </c>
      <c r="B80" s="248" t="str">
        <f t="shared" si="19"/>
        <v/>
      </c>
      <c r="C80" s="255" t="str">
        <f t="shared" si="20"/>
        <v/>
      </c>
      <c r="D80" s="256" t="str">
        <f t="shared" si="13"/>
        <v/>
      </c>
      <c r="E80" s="2">
        <v>59</v>
      </c>
      <c r="F80" s="15"/>
      <c r="G80" s="15"/>
      <c r="H80" s="2" t="str">
        <f t="shared" si="14"/>
        <v/>
      </c>
      <c r="I80" s="2" t="str">
        <f t="shared" si="15"/>
        <v/>
      </c>
      <c r="J80" s="3" t="str">
        <f t="shared" si="21"/>
        <v/>
      </c>
      <c r="L80" s="4" t="str">
        <f t="shared" si="16"/>
        <v/>
      </c>
      <c r="M80" s="4" t="str">
        <f t="shared" si="22"/>
        <v/>
      </c>
      <c r="N80" s="4" t="str">
        <f t="shared" si="23"/>
        <v/>
      </c>
      <c r="O80" s="4" t="str">
        <f t="shared" si="24"/>
        <v/>
      </c>
      <c r="P80" s="205" t="str">
        <f t="shared" si="25"/>
        <v/>
      </c>
      <c r="Q80" s="205" t="str">
        <f t="shared" si="17"/>
        <v/>
      </c>
      <c r="R80" s="205" t="str">
        <f t="shared" si="26"/>
        <v/>
      </c>
      <c r="S80" s="205" t="str">
        <f t="shared" si="27"/>
        <v/>
      </c>
      <c r="T80" s="205" t="str">
        <f t="shared" si="28"/>
        <v/>
      </c>
    </row>
    <row r="81" spans="1:20">
      <c r="A81" s="255" t="str">
        <f t="shared" si="18"/>
        <v/>
      </c>
      <c r="B81" s="248" t="str">
        <f t="shared" si="19"/>
        <v/>
      </c>
      <c r="C81" s="255" t="str">
        <f t="shared" si="20"/>
        <v/>
      </c>
      <c r="D81" s="256" t="str">
        <f t="shared" si="13"/>
        <v/>
      </c>
      <c r="E81" s="2">
        <v>60</v>
      </c>
      <c r="F81" s="15"/>
      <c r="G81" s="15"/>
      <c r="H81" s="2" t="str">
        <f t="shared" si="14"/>
        <v/>
      </c>
      <c r="I81" s="2" t="str">
        <f t="shared" si="15"/>
        <v/>
      </c>
      <c r="J81" s="3" t="str">
        <f t="shared" si="21"/>
        <v/>
      </c>
      <c r="L81" s="4" t="str">
        <f t="shared" si="16"/>
        <v/>
      </c>
      <c r="M81" s="4" t="str">
        <f t="shared" si="22"/>
        <v/>
      </c>
      <c r="N81" s="4" t="str">
        <f t="shared" si="23"/>
        <v/>
      </c>
      <c r="O81" s="4" t="str">
        <f t="shared" si="24"/>
        <v/>
      </c>
      <c r="P81" s="205" t="str">
        <f t="shared" si="25"/>
        <v/>
      </c>
      <c r="Q81" s="205" t="str">
        <f t="shared" si="17"/>
        <v/>
      </c>
      <c r="R81" s="205" t="str">
        <f t="shared" si="26"/>
        <v/>
      </c>
      <c r="S81" s="205" t="str">
        <f t="shared" si="27"/>
        <v/>
      </c>
      <c r="T81" s="205" t="str">
        <f t="shared" si="28"/>
        <v/>
      </c>
    </row>
    <row r="82" spans="1:20">
      <c r="A82" s="255" t="str">
        <f t="shared" si="18"/>
        <v/>
      </c>
      <c r="B82" s="248" t="str">
        <f t="shared" si="19"/>
        <v/>
      </c>
      <c r="C82" s="255" t="str">
        <f t="shared" si="20"/>
        <v/>
      </c>
      <c r="D82" s="256" t="str">
        <f t="shared" si="13"/>
        <v/>
      </c>
      <c r="E82" s="2">
        <v>61</v>
      </c>
      <c r="F82" s="15"/>
      <c r="G82" s="15"/>
      <c r="H82" s="2" t="str">
        <f t="shared" si="14"/>
        <v/>
      </c>
      <c r="I82" s="2" t="str">
        <f t="shared" si="15"/>
        <v/>
      </c>
      <c r="J82" s="3" t="str">
        <f t="shared" si="21"/>
        <v/>
      </c>
      <c r="L82" s="4" t="str">
        <f t="shared" si="16"/>
        <v/>
      </c>
      <c r="M82" s="4" t="str">
        <f t="shared" si="22"/>
        <v/>
      </c>
      <c r="N82" s="4" t="str">
        <f t="shared" si="23"/>
        <v/>
      </c>
      <c r="O82" s="4" t="str">
        <f t="shared" si="24"/>
        <v/>
      </c>
      <c r="P82" s="205" t="str">
        <f t="shared" si="25"/>
        <v/>
      </c>
      <c r="Q82" s="205" t="str">
        <f t="shared" si="17"/>
        <v/>
      </c>
      <c r="R82" s="205" t="str">
        <f t="shared" si="26"/>
        <v/>
      </c>
      <c r="S82" s="205" t="str">
        <f t="shared" si="27"/>
        <v/>
      </c>
      <c r="T82" s="205" t="str">
        <f t="shared" si="28"/>
        <v/>
      </c>
    </row>
    <row r="83" spans="1:20">
      <c r="A83" s="255" t="str">
        <f t="shared" si="18"/>
        <v/>
      </c>
      <c r="B83" s="248" t="str">
        <f t="shared" si="19"/>
        <v/>
      </c>
      <c r="C83" s="255" t="str">
        <f t="shared" si="20"/>
        <v/>
      </c>
      <c r="D83" s="256" t="str">
        <f t="shared" si="13"/>
        <v/>
      </c>
      <c r="E83" s="2">
        <v>62</v>
      </c>
      <c r="F83" s="15"/>
      <c r="G83" s="15"/>
      <c r="H83" s="2" t="str">
        <f t="shared" si="14"/>
        <v/>
      </c>
      <c r="I83" s="2" t="str">
        <f t="shared" si="15"/>
        <v/>
      </c>
      <c r="J83" s="3" t="str">
        <f t="shared" si="21"/>
        <v/>
      </c>
      <c r="L83" s="4" t="str">
        <f t="shared" si="16"/>
        <v/>
      </c>
      <c r="M83" s="4" t="str">
        <f t="shared" si="22"/>
        <v/>
      </c>
      <c r="N83" s="4" t="str">
        <f t="shared" si="23"/>
        <v/>
      </c>
      <c r="O83" s="4" t="str">
        <f t="shared" si="24"/>
        <v/>
      </c>
      <c r="P83" s="205" t="str">
        <f t="shared" si="25"/>
        <v/>
      </c>
      <c r="Q83" s="205" t="str">
        <f t="shared" si="17"/>
        <v/>
      </c>
      <c r="R83" s="205" t="str">
        <f t="shared" si="26"/>
        <v/>
      </c>
      <c r="S83" s="205" t="str">
        <f t="shared" si="27"/>
        <v/>
      </c>
      <c r="T83" s="205" t="str">
        <f t="shared" si="28"/>
        <v/>
      </c>
    </row>
    <row r="84" spans="1:20">
      <c r="A84" s="255" t="str">
        <f t="shared" si="18"/>
        <v/>
      </c>
      <c r="B84" s="248" t="str">
        <f t="shared" si="19"/>
        <v/>
      </c>
      <c r="C84" s="255" t="str">
        <f t="shared" si="20"/>
        <v/>
      </c>
      <c r="D84" s="256" t="str">
        <f t="shared" si="13"/>
        <v/>
      </c>
      <c r="E84" s="2">
        <v>63</v>
      </c>
      <c r="F84" s="15"/>
      <c r="G84" s="15"/>
      <c r="H84" s="2" t="str">
        <f t="shared" si="14"/>
        <v/>
      </c>
      <c r="I84" s="2" t="str">
        <f t="shared" si="15"/>
        <v/>
      </c>
      <c r="J84" s="3" t="str">
        <f t="shared" si="21"/>
        <v/>
      </c>
      <c r="L84" s="4" t="str">
        <f t="shared" si="16"/>
        <v/>
      </c>
      <c r="M84" s="4" t="str">
        <f t="shared" si="22"/>
        <v/>
      </c>
      <c r="N84" s="4" t="str">
        <f t="shared" si="23"/>
        <v/>
      </c>
      <c r="O84" s="4" t="str">
        <f t="shared" si="24"/>
        <v/>
      </c>
      <c r="P84" s="205" t="str">
        <f t="shared" si="25"/>
        <v/>
      </c>
      <c r="Q84" s="205" t="str">
        <f t="shared" si="17"/>
        <v/>
      </c>
      <c r="R84" s="205" t="str">
        <f t="shared" si="26"/>
        <v/>
      </c>
      <c r="S84" s="205" t="str">
        <f t="shared" si="27"/>
        <v/>
      </c>
      <c r="T84" s="205" t="str">
        <f t="shared" si="28"/>
        <v/>
      </c>
    </row>
    <row r="85" spans="1:20">
      <c r="A85" s="255" t="str">
        <f t="shared" si="18"/>
        <v/>
      </c>
      <c r="B85" s="248" t="str">
        <f t="shared" si="19"/>
        <v/>
      </c>
      <c r="C85" s="255" t="str">
        <f t="shared" si="20"/>
        <v/>
      </c>
      <c r="D85" s="256" t="str">
        <f t="shared" si="13"/>
        <v/>
      </c>
      <c r="E85" s="2">
        <v>64</v>
      </c>
      <c r="F85" s="15"/>
      <c r="G85" s="15"/>
      <c r="H85" s="2" t="str">
        <f t="shared" si="14"/>
        <v/>
      </c>
      <c r="I85" s="2" t="str">
        <f t="shared" si="15"/>
        <v/>
      </c>
      <c r="J85" s="3" t="str">
        <f t="shared" si="21"/>
        <v/>
      </c>
      <c r="L85" s="4" t="str">
        <f t="shared" si="16"/>
        <v/>
      </c>
      <c r="M85" s="4" t="str">
        <f t="shared" si="22"/>
        <v/>
      </c>
      <c r="N85" s="4" t="str">
        <f t="shared" si="23"/>
        <v/>
      </c>
      <c r="O85" s="4" t="str">
        <f t="shared" si="24"/>
        <v/>
      </c>
      <c r="P85" s="205" t="str">
        <f t="shared" si="25"/>
        <v/>
      </c>
      <c r="Q85" s="205" t="str">
        <f t="shared" si="17"/>
        <v/>
      </c>
      <c r="R85" s="205" t="str">
        <f t="shared" si="26"/>
        <v/>
      </c>
      <c r="S85" s="205" t="str">
        <f t="shared" si="27"/>
        <v/>
      </c>
      <c r="T85" s="205" t="str">
        <f t="shared" si="28"/>
        <v/>
      </c>
    </row>
    <row r="86" spans="1:20">
      <c r="A86" s="255" t="str">
        <f t="shared" ref="A86:A106" si="29">IF(F86&lt;&gt;"",D86*$A$20,"")</f>
        <v/>
      </c>
      <c r="B86" s="248" t="str">
        <f t="shared" ref="B86:B106" si="30">IF(F86&lt;&gt;"",D86*$B$20,"")</f>
        <v/>
      </c>
      <c r="C86" s="255" t="str">
        <f t="shared" ref="C86:C106" si="31">IF(F86&lt;&gt;"",D86*$C$20,"")</f>
        <v/>
      </c>
      <c r="D86" s="256" t="str">
        <f t="shared" si="13"/>
        <v/>
      </c>
      <c r="E86" s="2">
        <v>65</v>
      </c>
      <c r="F86" s="15"/>
      <c r="G86" s="15"/>
      <c r="H86" s="2" t="str">
        <f t="shared" si="14"/>
        <v/>
      </c>
      <c r="I86" s="2" t="str">
        <f t="shared" si="15"/>
        <v/>
      </c>
      <c r="J86" s="3" t="str">
        <f t="shared" ref="J86:J106" si="32">IF(G86="","",F86*G86/144)</f>
        <v/>
      </c>
      <c r="L86" s="4" t="str">
        <f t="shared" si="16"/>
        <v/>
      </c>
      <c r="M86" s="4" t="str">
        <f t="shared" ref="M86:M106" si="33">IF(OR($F$16="DM", J86=""),"",(G86*2/12)*$M$119)</f>
        <v/>
      </c>
      <c r="N86" s="4" t="str">
        <f t="shared" ref="N86:N106" si="34">IF(OR($F$16="DM",J86=""),"",((ROUNDUP(G86/6, 0)*2)+2)*$N$119)</f>
        <v/>
      </c>
      <c r="O86" s="4" t="str">
        <f t="shared" ref="O86:O106" si="35">IF(J86="","",((ROUNDUP(G86/6, 0)*2)+2)*$O$119/206)</f>
        <v/>
      </c>
      <c r="P86" s="205" t="str">
        <f t="shared" ref="P86:P106" si="36">IF(OR($J$16="FPM",H86="", $F$16="AT"),"",(I86*$P$119))</f>
        <v/>
      </c>
      <c r="Q86" s="205" t="str">
        <f t="shared" si="17"/>
        <v/>
      </c>
      <c r="R86" s="205" t="str">
        <f t="shared" ref="R86:R106" si="37">IF(OR($J$16="MPM",J86="", $F$16="AT"),"",(I86*$R$119))</f>
        <v/>
      </c>
      <c r="S86" s="205" t="str">
        <f t="shared" ref="S86:S106" si="38">IF(OR($F$16="AT",J86="",$J$16="MPM"),"",(I86*$S$119))</f>
        <v/>
      </c>
      <c r="T86" s="205" t="str">
        <f t="shared" ref="T86:T106" si="39">IF(OR($F$16="AT",J86="",$J$16="MPM"),"",(I86*$T$119))</f>
        <v/>
      </c>
    </row>
    <row r="87" spans="1:20">
      <c r="A87" s="255" t="str">
        <f t="shared" si="29"/>
        <v/>
      </c>
      <c r="B87" s="248" t="str">
        <f t="shared" si="30"/>
        <v/>
      </c>
      <c r="C87" s="255" t="str">
        <f t="shared" si="31"/>
        <v/>
      </c>
      <c r="D87" s="256" t="str">
        <f t="shared" ref="D87:D106" si="40">IF(J87&lt;&gt;"",SUM(L87:T87),"")</f>
        <v/>
      </c>
      <c r="E87" s="2">
        <v>66</v>
      </c>
      <c r="F87" s="15"/>
      <c r="G87" s="15"/>
      <c r="H87" s="2" t="str">
        <f t="shared" ref="H87:H106" si="41">IF(G87="","",IF(AND($F$16="AT",F87&lt;36.1),24,IF(AND($F$16="AT",F87&gt;36,F87&lt;42.1),20,IF(AND($F$16="AT",F87&gt;42,F87&lt;54.1),16,IF(AND($F$16="AT",F87&gt;54,F87&lt;78.1),12,IF(AND($F$16="AT",F87&gt;78, F87&lt;114),8,IF(AND($F$16="AT",F87&gt;114,F87&lt;144.1),4,IF(AND($F$16="DM",F87&lt;36.1),24,IF(AND($F$16="DM",F87&gt;36,F87&lt;42.1),20,IF(AND($F$16="DM",F87&gt;42,F87&lt;54.1),16,IF(AND($F$16="DM",F87&gt;54,F87&lt;78.1),12,IF(AND($F$16="DM",F87&gt;78, F87&lt;114),8,IF(AND($F$16="DM",F87&gt;114,F87&lt;144.1),4,"?")))))))))))))</f>
        <v/>
      </c>
      <c r="I87" s="2" t="str">
        <f t="shared" ref="I87:I106" si="42">IF(G87 =  "","",ROUNDUP(G87/H87,0)*2+2)</f>
        <v/>
      </c>
      <c r="J87" s="3" t="str">
        <f t="shared" si="32"/>
        <v/>
      </c>
      <c r="L87" s="4" t="str">
        <f t="shared" si="16"/>
        <v/>
      </c>
      <c r="M87" s="4" t="str">
        <f t="shared" si="33"/>
        <v/>
      </c>
      <c r="N87" s="4" t="str">
        <f t="shared" si="34"/>
        <v/>
      </c>
      <c r="O87" s="4" t="str">
        <f t="shared" si="35"/>
        <v/>
      </c>
      <c r="P87" s="205" t="str">
        <f t="shared" si="36"/>
        <v/>
      </c>
      <c r="Q87" s="205" t="str">
        <f t="shared" ref="Q87:Q106" si="43">IF(OR($J$16="MPM",I87="", $F$16="AT"),"",(I87*$Q$119))</f>
        <v/>
      </c>
      <c r="R87" s="205" t="str">
        <f t="shared" si="37"/>
        <v/>
      </c>
      <c r="S87" s="205" t="str">
        <f t="shared" si="38"/>
        <v/>
      </c>
      <c r="T87" s="205" t="str">
        <f t="shared" si="39"/>
        <v/>
      </c>
    </row>
    <row r="88" spans="1:20">
      <c r="A88" s="255" t="str">
        <f t="shared" si="29"/>
        <v/>
      </c>
      <c r="B88" s="248" t="str">
        <f t="shared" si="30"/>
        <v/>
      </c>
      <c r="C88" s="255" t="str">
        <f t="shared" si="31"/>
        <v/>
      </c>
      <c r="D88" s="256" t="str">
        <f t="shared" si="40"/>
        <v/>
      </c>
      <c r="E88" s="2">
        <v>67</v>
      </c>
      <c r="F88" s="15"/>
      <c r="G88" s="15"/>
      <c r="H88" s="2" t="str">
        <f t="shared" si="41"/>
        <v/>
      </c>
      <c r="I88" s="2" t="str">
        <f t="shared" si="42"/>
        <v/>
      </c>
      <c r="J88" s="3" t="str">
        <f t="shared" si="32"/>
        <v/>
      </c>
      <c r="L88" s="4" t="str">
        <f t="shared" si="16"/>
        <v/>
      </c>
      <c r="M88" s="4" t="str">
        <f t="shared" si="33"/>
        <v/>
      </c>
      <c r="N88" s="4" t="str">
        <f t="shared" si="34"/>
        <v/>
      </c>
      <c r="O88" s="4" t="str">
        <f t="shared" si="35"/>
        <v/>
      </c>
      <c r="P88" s="205" t="str">
        <f t="shared" si="36"/>
        <v/>
      </c>
      <c r="Q88" s="205" t="str">
        <f t="shared" si="43"/>
        <v/>
      </c>
      <c r="R88" s="205" t="str">
        <f t="shared" si="37"/>
        <v/>
      </c>
      <c r="S88" s="205" t="str">
        <f t="shared" si="38"/>
        <v/>
      </c>
      <c r="T88" s="205" t="str">
        <f t="shared" si="39"/>
        <v/>
      </c>
    </row>
    <row r="89" spans="1:20">
      <c r="A89" s="255" t="str">
        <f t="shared" si="29"/>
        <v/>
      </c>
      <c r="B89" s="248" t="str">
        <f t="shared" si="30"/>
        <v/>
      </c>
      <c r="C89" s="255" t="str">
        <f t="shared" si="31"/>
        <v/>
      </c>
      <c r="D89" s="256" t="str">
        <f t="shared" si="40"/>
        <v/>
      </c>
      <c r="E89" s="2">
        <v>68</v>
      </c>
      <c r="F89" s="15"/>
      <c r="G89" s="15"/>
      <c r="H89" s="2" t="str">
        <f t="shared" si="41"/>
        <v/>
      </c>
      <c r="I89" s="2" t="str">
        <f t="shared" si="42"/>
        <v/>
      </c>
      <c r="J89" s="3" t="str">
        <f t="shared" si="32"/>
        <v/>
      </c>
      <c r="L89" s="4" t="str">
        <f t="shared" si="16"/>
        <v/>
      </c>
      <c r="M89" s="4" t="str">
        <f t="shared" si="33"/>
        <v/>
      </c>
      <c r="N89" s="4" t="str">
        <f t="shared" si="34"/>
        <v/>
      </c>
      <c r="O89" s="4" t="str">
        <f t="shared" si="35"/>
        <v/>
      </c>
      <c r="P89" s="205" t="str">
        <f t="shared" si="36"/>
        <v/>
      </c>
      <c r="Q89" s="205" t="str">
        <f t="shared" si="43"/>
        <v/>
      </c>
      <c r="R89" s="205" t="str">
        <f t="shared" si="37"/>
        <v/>
      </c>
      <c r="S89" s="205" t="str">
        <f t="shared" si="38"/>
        <v/>
      </c>
      <c r="T89" s="205" t="str">
        <f t="shared" si="39"/>
        <v/>
      </c>
    </row>
    <row r="90" spans="1:20">
      <c r="A90" s="255" t="str">
        <f t="shared" si="29"/>
        <v/>
      </c>
      <c r="B90" s="248" t="str">
        <f t="shared" si="30"/>
        <v/>
      </c>
      <c r="C90" s="255" t="str">
        <f t="shared" si="31"/>
        <v/>
      </c>
      <c r="D90" s="256" t="str">
        <f t="shared" si="40"/>
        <v/>
      </c>
      <c r="E90" s="2">
        <v>69</v>
      </c>
      <c r="F90" s="15"/>
      <c r="G90" s="15"/>
      <c r="H90" s="2" t="str">
        <f t="shared" si="41"/>
        <v/>
      </c>
      <c r="I90" s="2" t="str">
        <f t="shared" si="42"/>
        <v/>
      </c>
      <c r="J90" s="3" t="str">
        <f t="shared" si="32"/>
        <v/>
      </c>
      <c r="L90" s="4" t="str">
        <f t="shared" si="16"/>
        <v/>
      </c>
      <c r="M90" s="4" t="str">
        <f t="shared" si="33"/>
        <v/>
      </c>
      <c r="N90" s="4" t="str">
        <f t="shared" si="34"/>
        <v/>
      </c>
      <c r="O90" s="4" t="str">
        <f t="shared" si="35"/>
        <v/>
      </c>
      <c r="P90" s="205" t="str">
        <f t="shared" si="36"/>
        <v/>
      </c>
      <c r="Q90" s="205" t="str">
        <f t="shared" si="43"/>
        <v/>
      </c>
      <c r="R90" s="205" t="str">
        <f t="shared" si="37"/>
        <v/>
      </c>
      <c r="S90" s="205" t="str">
        <f t="shared" si="38"/>
        <v/>
      </c>
      <c r="T90" s="205" t="str">
        <f t="shared" si="39"/>
        <v/>
      </c>
    </row>
    <row r="91" spans="1:20">
      <c r="A91" s="255" t="str">
        <f t="shared" si="29"/>
        <v/>
      </c>
      <c r="B91" s="248" t="str">
        <f t="shared" si="30"/>
        <v/>
      </c>
      <c r="C91" s="255" t="str">
        <f t="shared" si="31"/>
        <v/>
      </c>
      <c r="D91" s="256" t="str">
        <f t="shared" si="40"/>
        <v/>
      </c>
      <c r="E91" s="2">
        <v>70</v>
      </c>
      <c r="F91" s="15"/>
      <c r="G91" s="15"/>
      <c r="H91" s="2" t="str">
        <f t="shared" si="41"/>
        <v/>
      </c>
      <c r="I91" s="2" t="str">
        <f t="shared" si="42"/>
        <v/>
      </c>
      <c r="J91" s="3" t="str">
        <f t="shared" si="32"/>
        <v/>
      </c>
      <c r="L91" s="4" t="str">
        <f t="shared" si="16"/>
        <v/>
      </c>
      <c r="M91" s="4" t="str">
        <f t="shared" si="33"/>
        <v/>
      </c>
      <c r="N91" s="4" t="str">
        <f t="shared" si="34"/>
        <v/>
      </c>
      <c r="O91" s="4" t="str">
        <f t="shared" si="35"/>
        <v/>
      </c>
      <c r="P91" s="205" t="str">
        <f t="shared" si="36"/>
        <v/>
      </c>
      <c r="Q91" s="205" t="str">
        <f t="shared" si="43"/>
        <v/>
      </c>
      <c r="R91" s="205" t="str">
        <f t="shared" si="37"/>
        <v/>
      </c>
      <c r="S91" s="205" t="str">
        <f t="shared" si="38"/>
        <v/>
      </c>
      <c r="T91" s="205" t="str">
        <f t="shared" si="39"/>
        <v/>
      </c>
    </row>
    <row r="92" spans="1:20">
      <c r="A92" s="255" t="str">
        <f t="shared" si="29"/>
        <v/>
      </c>
      <c r="B92" s="248" t="str">
        <f t="shared" si="30"/>
        <v/>
      </c>
      <c r="C92" s="255" t="str">
        <f t="shared" si="31"/>
        <v/>
      </c>
      <c r="D92" s="256" t="str">
        <f t="shared" si="40"/>
        <v/>
      </c>
      <c r="E92" s="2">
        <v>71</v>
      </c>
      <c r="F92" s="15"/>
      <c r="G92" s="15"/>
      <c r="H92" s="2" t="str">
        <f t="shared" si="41"/>
        <v/>
      </c>
      <c r="I92" s="2" t="str">
        <f t="shared" si="42"/>
        <v/>
      </c>
      <c r="J92" s="3" t="str">
        <f t="shared" si="32"/>
        <v/>
      </c>
      <c r="L92" s="4" t="str">
        <f t="shared" ref="L92:L106" si="44">IF(J92="","",J92*$L$119)</f>
        <v/>
      </c>
      <c r="M92" s="4" t="str">
        <f t="shared" si="33"/>
        <v/>
      </c>
      <c r="N92" s="4" t="str">
        <f t="shared" si="34"/>
        <v/>
      </c>
      <c r="O92" s="4" t="str">
        <f t="shared" si="35"/>
        <v/>
      </c>
      <c r="P92" s="205" t="str">
        <f t="shared" si="36"/>
        <v/>
      </c>
      <c r="Q92" s="205" t="str">
        <f t="shared" si="43"/>
        <v/>
      </c>
      <c r="R92" s="205" t="str">
        <f t="shared" si="37"/>
        <v/>
      </c>
      <c r="S92" s="205" t="str">
        <f t="shared" si="38"/>
        <v/>
      </c>
      <c r="T92" s="205" t="str">
        <f t="shared" si="39"/>
        <v/>
      </c>
    </row>
    <row r="93" spans="1:20">
      <c r="A93" s="255" t="str">
        <f t="shared" si="29"/>
        <v/>
      </c>
      <c r="B93" s="248" t="str">
        <f t="shared" si="30"/>
        <v/>
      </c>
      <c r="C93" s="255" t="str">
        <f t="shared" si="31"/>
        <v/>
      </c>
      <c r="D93" s="256" t="str">
        <f t="shared" si="40"/>
        <v/>
      </c>
      <c r="E93" s="2">
        <v>72</v>
      </c>
      <c r="F93" s="15"/>
      <c r="G93" s="15"/>
      <c r="H93" s="2" t="str">
        <f t="shared" si="41"/>
        <v/>
      </c>
      <c r="I93" s="2" t="str">
        <f t="shared" si="42"/>
        <v/>
      </c>
      <c r="J93" s="3" t="str">
        <f t="shared" si="32"/>
        <v/>
      </c>
      <c r="L93" s="4" t="str">
        <f t="shared" si="44"/>
        <v/>
      </c>
      <c r="M93" s="4" t="str">
        <f t="shared" si="33"/>
        <v/>
      </c>
      <c r="N93" s="4" t="str">
        <f t="shared" si="34"/>
        <v/>
      </c>
      <c r="O93" s="4" t="str">
        <f t="shared" si="35"/>
        <v/>
      </c>
      <c r="P93" s="205" t="str">
        <f t="shared" si="36"/>
        <v/>
      </c>
      <c r="Q93" s="205" t="str">
        <f t="shared" si="43"/>
        <v/>
      </c>
      <c r="R93" s="205" t="str">
        <f t="shared" si="37"/>
        <v/>
      </c>
      <c r="S93" s="205" t="str">
        <f t="shared" si="38"/>
        <v/>
      </c>
      <c r="T93" s="205" t="str">
        <f t="shared" si="39"/>
        <v/>
      </c>
    </row>
    <row r="94" spans="1:20">
      <c r="A94" s="255" t="str">
        <f t="shared" si="29"/>
        <v/>
      </c>
      <c r="B94" s="248" t="str">
        <f t="shared" si="30"/>
        <v/>
      </c>
      <c r="C94" s="255" t="str">
        <f t="shared" si="31"/>
        <v/>
      </c>
      <c r="D94" s="256" t="str">
        <f t="shared" si="40"/>
        <v/>
      </c>
      <c r="E94" s="2">
        <v>73</v>
      </c>
      <c r="F94" s="15"/>
      <c r="G94" s="15"/>
      <c r="H94" s="2" t="str">
        <f t="shared" si="41"/>
        <v/>
      </c>
      <c r="I94" s="2" t="str">
        <f t="shared" si="42"/>
        <v/>
      </c>
      <c r="J94" s="3" t="str">
        <f t="shared" si="32"/>
        <v/>
      </c>
      <c r="L94" s="4" t="str">
        <f t="shared" si="44"/>
        <v/>
      </c>
      <c r="M94" s="4" t="str">
        <f t="shared" si="33"/>
        <v/>
      </c>
      <c r="N94" s="4" t="str">
        <f t="shared" si="34"/>
        <v/>
      </c>
      <c r="O94" s="4" t="str">
        <f t="shared" si="35"/>
        <v/>
      </c>
      <c r="P94" s="205" t="str">
        <f t="shared" si="36"/>
        <v/>
      </c>
      <c r="Q94" s="205" t="str">
        <f t="shared" si="43"/>
        <v/>
      </c>
      <c r="R94" s="205" t="str">
        <f t="shared" si="37"/>
        <v/>
      </c>
      <c r="S94" s="205" t="str">
        <f t="shared" si="38"/>
        <v/>
      </c>
      <c r="T94" s="205" t="str">
        <f t="shared" si="39"/>
        <v/>
      </c>
    </row>
    <row r="95" spans="1:20">
      <c r="A95" s="255" t="str">
        <f t="shared" si="29"/>
        <v/>
      </c>
      <c r="B95" s="248" t="str">
        <f t="shared" si="30"/>
        <v/>
      </c>
      <c r="C95" s="255" t="str">
        <f t="shared" si="31"/>
        <v/>
      </c>
      <c r="D95" s="256" t="str">
        <f t="shared" si="40"/>
        <v/>
      </c>
      <c r="E95" s="2">
        <v>74</v>
      </c>
      <c r="F95" s="15"/>
      <c r="G95" s="15"/>
      <c r="H95" s="2" t="str">
        <f t="shared" si="41"/>
        <v/>
      </c>
      <c r="I95" s="2" t="str">
        <f t="shared" si="42"/>
        <v/>
      </c>
      <c r="J95" s="3" t="str">
        <f t="shared" si="32"/>
        <v/>
      </c>
      <c r="L95" s="4" t="str">
        <f t="shared" si="44"/>
        <v/>
      </c>
      <c r="M95" s="4" t="str">
        <f t="shared" si="33"/>
        <v/>
      </c>
      <c r="N95" s="4" t="str">
        <f t="shared" si="34"/>
        <v/>
      </c>
      <c r="O95" s="4" t="str">
        <f t="shared" si="35"/>
        <v/>
      </c>
      <c r="P95" s="205" t="str">
        <f t="shared" si="36"/>
        <v/>
      </c>
      <c r="Q95" s="205" t="str">
        <f t="shared" si="43"/>
        <v/>
      </c>
      <c r="R95" s="205" t="str">
        <f t="shared" si="37"/>
        <v/>
      </c>
      <c r="S95" s="205" t="str">
        <f t="shared" si="38"/>
        <v/>
      </c>
      <c r="T95" s="205" t="str">
        <f t="shared" si="39"/>
        <v/>
      </c>
    </row>
    <row r="96" spans="1:20">
      <c r="A96" s="255" t="str">
        <f t="shared" si="29"/>
        <v/>
      </c>
      <c r="B96" s="248" t="str">
        <f t="shared" si="30"/>
        <v/>
      </c>
      <c r="C96" s="255" t="str">
        <f t="shared" si="31"/>
        <v/>
      </c>
      <c r="D96" s="256" t="str">
        <f t="shared" si="40"/>
        <v/>
      </c>
      <c r="E96" s="2">
        <v>75</v>
      </c>
      <c r="F96" s="15"/>
      <c r="G96" s="15"/>
      <c r="H96" s="2" t="str">
        <f t="shared" si="41"/>
        <v/>
      </c>
      <c r="I96" s="2" t="str">
        <f t="shared" si="42"/>
        <v/>
      </c>
      <c r="J96" s="3" t="str">
        <f t="shared" si="32"/>
        <v/>
      </c>
      <c r="L96" s="4" t="str">
        <f t="shared" si="44"/>
        <v/>
      </c>
      <c r="M96" s="4" t="str">
        <f t="shared" si="33"/>
        <v/>
      </c>
      <c r="N96" s="4" t="str">
        <f t="shared" si="34"/>
        <v/>
      </c>
      <c r="O96" s="4" t="str">
        <f t="shared" si="35"/>
        <v/>
      </c>
      <c r="P96" s="205" t="str">
        <f t="shared" si="36"/>
        <v/>
      </c>
      <c r="Q96" s="205" t="str">
        <f t="shared" si="43"/>
        <v/>
      </c>
      <c r="R96" s="205" t="str">
        <f t="shared" si="37"/>
        <v/>
      </c>
      <c r="S96" s="205" t="str">
        <f t="shared" si="38"/>
        <v/>
      </c>
      <c r="T96" s="205" t="str">
        <f t="shared" si="39"/>
        <v/>
      </c>
    </row>
    <row r="97" spans="1:20">
      <c r="A97" s="255" t="str">
        <f t="shared" si="29"/>
        <v/>
      </c>
      <c r="B97" s="248" t="str">
        <f t="shared" si="30"/>
        <v/>
      </c>
      <c r="C97" s="255" t="str">
        <f t="shared" si="31"/>
        <v/>
      </c>
      <c r="D97" s="256" t="str">
        <f t="shared" si="40"/>
        <v/>
      </c>
      <c r="E97" s="2">
        <v>76</v>
      </c>
      <c r="F97" s="15"/>
      <c r="G97" s="15"/>
      <c r="H97" s="2" t="str">
        <f t="shared" si="41"/>
        <v/>
      </c>
      <c r="I97" s="2" t="str">
        <f t="shared" si="42"/>
        <v/>
      </c>
      <c r="J97" s="3" t="str">
        <f t="shared" si="32"/>
        <v/>
      </c>
      <c r="L97" s="4" t="str">
        <f t="shared" si="44"/>
        <v/>
      </c>
      <c r="M97" s="4" t="str">
        <f t="shared" si="33"/>
        <v/>
      </c>
      <c r="N97" s="4" t="str">
        <f t="shared" si="34"/>
        <v/>
      </c>
      <c r="O97" s="4" t="str">
        <f t="shared" si="35"/>
        <v/>
      </c>
      <c r="P97" s="205" t="str">
        <f t="shared" si="36"/>
        <v/>
      </c>
      <c r="Q97" s="205" t="str">
        <f t="shared" si="43"/>
        <v/>
      </c>
      <c r="R97" s="205" t="str">
        <f t="shared" si="37"/>
        <v/>
      </c>
      <c r="S97" s="205" t="str">
        <f t="shared" si="38"/>
        <v/>
      </c>
      <c r="T97" s="205" t="str">
        <f t="shared" si="39"/>
        <v/>
      </c>
    </row>
    <row r="98" spans="1:20">
      <c r="A98" s="255" t="str">
        <f t="shared" si="29"/>
        <v/>
      </c>
      <c r="B98" s="248" t="str">
        <f t="shared" si="30"/>
        <v/>
      </c>
      <c r="C98" s="255" t="str">
        <f t="shared" si="31"/>
        <v/>
      </c>
      <c r="D98" s="256" t="str">
        <f t="shared" si="40"/>
        <v/>
      </c>
      <c r="E98" s="2">
        <v>77</v>
      </c>
      <c r="F98" s="15"/>
      <c r="G98" s="15"/>
      <c r="H98" s="2" t="str">
        <f t="shared" si="41"/>
        <v/>
      </c>
      <c r="I98" s="2" t="str">
        <f t="shared" si="42"/>
        <v/>
      </c>
      <c r="J98" s="3" t="str">
        <f t="shared" si="32"/>
        <v/>
      </c>
      <c r="L98" s="4" t="str">
        <f t="shared" si="44"/>
        <v/>
      </c>
      <c r="M98" s="4" t="str">
        <f t="shared" si="33"/>
        <v/>
      </c>
      <c r="N98" s="4" t="str">
        <f t="shared" si="34"/>
        <v/>
      </c>
      <c r="O98" s="4" t="str">
        <f t="shared" si="35"/>
        <v/>
      </c>
      <c r="P98" s="205" t="str">
        <f t="shared" si="36"/>
        <v/>
      </c>
      <c r="Q98" s="205" t="str">
        <f t="shared" si="43"/>
        <v/>
      </c>
      <c r="R98" s="205" t="str">
        <f t="shared" si="37"/>
        <v/>
      </c>
      <c r="S98" s="205" t="str">
        <f t="shared" si="38"/>
        <v/>
      </c>
      <c r="T98" s="205" t="str">
        <f t="shared" si="39"/>
        <v/>
      </c>
    </row>
    <row r="99" spans="1:20">
      <c r="A99" s="255" t="str">
        <f t="shared" si="29"/>
        <v/>
      </c>
      <c r="B99" s="248" t="str">
        <f t="shared" si="30"/>
        <v/>
      </c>
      <c r="C99" s="255" t="str">
        <f t="shared" si="31"/>
        <v/>
      </c>
      <c r="D99" s="256" t="str">
        <f t="shared" si="40"/>
        <v/>
      </c>
      <c r="E99" s="2">
        <v>78</v>
      </c>
      <c r="F99" s="15"/>
      <c r="G99" s="15"/>
      <c r="H99" s="2" t="str">
        <f t="shared" si="41"/>
        <v/>
      </c>
      <c r="I99" s="2" t="str">
        <f t="shared" si="42"/>
        <v/>
      </c>
      <c r="J99" s="3" t="str">
        <f t="shared" si="32"/>
        <v/>
      </c>
      <c r="L99" s="4" t="str">
        <f t="shared" si="44"/>
        <v/>
      </c>
      <c r="M99" s="4" t="str">
        <f t="shared" si="33"/>
        <v/>
      </c>
      <c r="N99" s="4" t="str">
        <f t="shared" si="34"/>
        <v/>
      </c>
      <c r="O99" s="4" t="str">
        <f t="shared" si="35"/>
        <v/>
      </c>
      <c r="P99" s="205" t="str">
        <f t="shared" si="36"/>
        <v/>
      </c>
      <c r="Q99" s="205" t="str">
        <f t="shared" si="43"/>
        <v/>
      </c>
      <c r="R99" s="205" t="str">
        <f t="shared" si="37"/>
        <v/>
      </c>
      <c r="S99" s="205" t="str">
        <f t="shared" si="38"/>
        <v/>
      </c>
      <c r="T99" s="205" t="str">
        <f t="shared" si="39"/>
        <v/>
      </c>
    </row>
    <row r="100" spans="1:20">
      <c r="A100" s="255" t="str">
        <f t="shared" si="29"/>
        <v/>
      </c>
      <c r="B100" s="248" t="str">
        <f t="shared" si="30"/>
        <v/>
      </c>
      <c r="C100" s="255" t="str">
        <f t="shared" si="31"/>
        <v/>
      </c>
      <c r="D100" s="256" t="str">
        <f t="shared" si="40"/>
        <v/>
      </c>
      <c r="E100" s="2">
        <v>79</v>
      </c>
      <c r="F100" s="15"/>
      <c r="G100" s="15"/>
      <c r="H100" s="2" t="str">
        <f t="shared" si="41"/>
        <v/>
      </c>
      <c r="I100" s="2" t="str">
        <f t="shared" si="42"/>
        <v/>
      </c>
      <c r="J100" s="3" t="str">
        <f t="shared" si="32"/>
        <v/>
      </c>
      <c r="L100" s="4" t="str">
        <f t="shared" si="44"/>
        <v/>
      </c>
      <c r="M100" s="4" t="str">
        <f t="shared" si="33"/>
        <v/>
      </c>
      <c r="N100" s="4" t="str">
        <f t="shared" si="34"/>
        <v/>
      </c>
      <c r="O100" s="4" t="str">
        <f t="shared" si="35"/>
        <v/>
      </c>
      <c r="P100" s="205" t="str">
        <f t="shared" si="36"/>
        <v/>
      </c>
      <c r="Q100" s="205" t="str">
        <f t="shared" si="43"/>
        <v/>
      </c>
      <c r="R100" s="205" t="str">
        <f t="shared" si="37"/>
        <v/>
      </c>
      <c r="S100" s="205" t="str">
        <f t="shared" si="38"/>
        <v/>
      </c>
      <c r="T100" s="205" t="str">
        <f t="shared" si="39"/>
        <v/>
      </c>
    </row>
    <row r="101" spans="1:20">
      <c r="A101" s="255" t="str">
        <f t="shared" si="29"/>
        <v/>
      </c>
      <c r="B101" s="248" t="str">
        <f t="shared" si="30"/>
        <v/>
      </c>
      <c r="C101" s="255" t="str">
        <f t="shared" si="31"/>
        <v/>
      </c>
      <c r="D101" s="256" t="str">
        <f t="shared" si="40"/>
        <v/>
      </c>
      <c r="E101" s="2">
        <v>80</v>
      </c>
      <c r="F101" s="15"/>
      <c r="G101" s="15"/>
      <c r="H101" s="2" t="str">
        <f t="shared" si="41"/>
        <v/>
      </c>
      <c r="I101" s="2" t="str">
        <f t="shared" si="42"/>
        <v/>
      </c>
      <c r="J101" s="3" t="str">
        <f t="shared" si="32"/>
        <v/>
      </c>
      <c r="L101" s="4" t="str">
        <f t="shared" si="44"/>
        <v/>
      </c>
      <c r="M101" s="4" t="str">
        <f t="shared" si="33"/>
        <v/>
      </c>
      <c r="N101" s="4" t="str">
        <f t="shared" si="34"/>
        <v/>
      </c>
      <c r="O101" s="4" t="str">
        <f t="shared" si="35"/>
        <v/>
      </c>
      <c r="P101" s="205" t="str">
        <f t="shared" si="36"/>
        <v/>
      </c>
      <c r="Q101" s="205" t="str">
        <f t="shared" si="43"/>
        <v/>
      </c>
      <c r="R101" s="205" t="str">
        <f t="shared" si="37"/>
        <v/>
      </c>
      <c r="S101" s="205" t="str">
        <f t="shared" si="38"/>
        <v/>
      </c>
      <c r="T101" s="205" t="str">
        <f t="shared" si="39"/>
        <v/>
      </c>
    </row>
    <row r="102" spans="1:20">
      <c r="A102" s="255" t="str">
        <f t="shared" si="29"/>
        <v/>
      </c>
      <c r="B102" s="248" t="str">
        <f t="shared" si="30"/>
        <v/>
      </c>
      <c r="C102" s="255" t="str">
        <f t="shared" si="31"/>
        <v/>
      </c>
      <c r="D102" s="256" t="str">
        <f t="shared" si="40"/>
        <v/>
      </c>
      <c r="E102" s="2">
        <v>81</v>
      </c>
      <c r="F102" s="15"/>
      <c r="G102" s="15"/>
      <c r="H102" s="2" t="str">
        <f t="shared" si="41"/>
        <v/>
      </c>
      <c r="I102" s="2" t="str">
        <f t="shared" si="42"/>
        <v/>
      </c>
      <c r="J102" s="3" t="str">
        <f t="shared" si="32"/>
        <v/>
      </c>
      <c r="L102" s="4" t="str">
        <f t="shared" si="44"/>
        <v/>
      </c>
      <c r="M102" s="4" t="str">
        <f t="shared" si="33"/>
        <v/>
      </c>
      <c r="N102" s="4" t="str">
        <f t="shared" si="34"/>
        <v/>
      </c>
      <c r="O102" s="4" t="str">
        <f t="shared" si="35"/>
        <v/>
      </c>
      <c r="P102" s="205" t="str">
        <f t="shared" si="36"/>
        <v/>
      </c>
      <c r="Q102" s="205" t="str">
        <f t="shared" si="43"/>
        <v/>
      </c>
      <c r="R102" s="205" t="str">
        <f t="shared" si="37"/>
        <v/>
      </c>
      <c r="S102" s="205" t="str">
        <f t="shared" si="38"/>
        <v/>
      </c>
      <c r="T102" s="205" t="str">
        <f t="shared" si="39"/>
        <v/>
      </c>
    </row>
    <row r="103" spans="1:20">
      <c r="A103" s="255" t="str">
        <f t="shared" si="29"/>
        <v/>
      </c>
      <c r="B103" s="248" t="str">
        <f t="shared" si="30"/>
        <v/>
      </c>
      <c r="C103" s="255" t="str">
        <f t="shared" si="31"/>
        <v/>
      </c>
      <c r="D103" s="256" t="str">
        <f t="shared" si="40"/>
        <v/>
      </c>
      <c r="E103" s="2">
        <v>82</v>
      </c>
      <c r="F103" s="15"/>
      <c r="G103" s="15"/>
      <c r="H103" s="2" t="str">
        <f t="shared" si="41"/>
        <v/>
      </c>
      <c r="I103" s="2" t="str">
        <f t="shared" si="42"/>
        <v/>
      </c>
      <c r="J103" s="3" t="str">
        <f t="shared" si="32"/>
        <v/>
      </c>
      <c r="L103" s="4" t="str">
        <f t="shared" si="44"/>
        <v/>
      </c>
      <c r="M103" s="4" t="str">
        <f t="shared" si="33"/>
        <v/>
      </c>
      <c r="N103" s="4" t="str">
        <f t="shared" si="34"/>
        <v/>
      </c>
      <c r="O103" s="4" t="str">
        <f t="shared" si="35"/>
        <v/>
      </c>
      <c r="P103" s="205" t="str">
        <f t="shared" si="36"/>
        <v/>
      </c>
      <c r="Q103" s="205" t="str">
        <f t="shared" si="43"/>
        <v/>
      </c>
      <c r="R103" s="205" t="str">
        <f t="shared" si="37"/>
        <v/>
      </c>
      <c r="S103" s="205" t="str">
        <f t="shared" si="38"/>
        <v/>
      </c>
      <c r="T103" s="205" t="str">
        <f t="shared" si="39"/>
        <v/>
      </c>
    </row>
    <row r="104" spans="1:20">
      <c r="A104" s="255" t="str">
        <f t="shared" si="29"/>
        <v/>
      </c>
      <c r="B104" s="248" t="str">
        <f t="shared" si="30"/>
        <v/>
      </c>
      <c r="C104" s="255" t="str">
        <f t="shared" si="31"/>
        <v/>
      </c>
      <c r="D104" s="256" t="str">
        <f t="shared" si="40"/>
        <v/>
      </c>
      <c r="E104" s="2">
        <v>83</v>
      </c>
      <c r="F104" s="15"/>
      <c r="G104" s="15"/>
      <c r="H104" s="2" t="str">
        <f t="shared" si="41"/>
        <v/>
      </c>
      <c r="I104" s="2" t="str">
        <f t="shared" si="42"/>
        <v/>
      </c>
      <c r="J104" s="3" t="str">
        <f t="shared" si="32"/>
        <v/>
      </c>
      <c r="L104" s="4" t="str">
        <f t="shared" si="44"/>
        <v/>
      </c>
      <c r="M104" s="4" t="str">
        <f t="shared" si="33"/>
        <v/>
      </c>
      <c r="N104" s="4" t="str">
        <f t="shared" si="34"/>
        <v/>
      </c>
      <c r="O104" s="4" t="str">
        <f t="shared" si="35"/>
        <v/>
      </c>
      <c r="P104" s="205" t="str">
        <f t="shared" si="36"/>
        <v/>
      </c>
      <c r="Q104" s="205" t="str">
        <f t="shared" si="43"/>
        <v/>
      </c>
      <c r="R104" s="205" t="str">
        <f t="shared" si="37"/>
        <v/>
      </c>
      <c r="S104" s="205" t="str">
        <f t="shared" si="38"/>
        <v/>
      </c>
      <c r="T104" s="205" t="str">
        <f t="shared" si="39"/>
        <v/>
      </c>
    </row>
    <row r="105" spans="1:20">
      <c r="A105" s="255" t="str">
        <f t="shared" si="29"/>
        <v/>
      </c>
      <c r="B105" s="248" t="str">
        <f t="shared" si="30"/>
        <v/>
      </c>
      <c r="C105" s="255" t="str">
        <f t="shared" si="31"/>
        <v/>
      </c>
      <c r="D105" s="256" t="str">
        <f t="shared" si="40"/>
        <v/>
      </c>
      <c r="E105" s="2">
        <v>84</v>
      </c>
      <c r="F105" s="15"/>
      <c r="G105" s="15"/>
      <c r="H105" s="2" t="str">
        <f t="shared" si="41"/>
        <v/>
      </c>
      <c r="I105" s="2" t="str">
        <f t="shared" si="42"/>
        <v/>
      </c>
      <c r="J105" s="3" t="str">
        <f t="shared" si="32"/>
        <v/>
      </c>
      <c r="L105" s="4" t="str">
        <f t="shared" si="44"/>
        <v/>
      </c>
      <c r="M105" s="4" t="str">
        <f t="shared" si="33"/>
        <v/>
      </c>
      <c r="N105" s="4" t="str">
        <f t="shared" si="34"/>
        <v/>
      </c>
      <c r="O105" s="4" t="str">
        <f t="shared" si="35"/>
        <v/>
      </c>
      <c r="P105" s="205" t="str">
        <f t="shared" si="36"/>
        <v/>
      </c>
      <c r="Q105" s="205" t="str">
        <f t="shared" si="43"/>
        <v/>
      </c>
      <c r="R105" s="205" t="str">
        <f t="shared" si="37"/>
        <v/>
      </c>
      <c r="S105" s="205" t="str">
        <f t="shared" si="38"/>
        <v/>
      </c>
      <c r="T105" s="205" t="str">
        <f t="shared" si="39"/>
        <v/>
      </c>
    </row>
    <row r="106" spans="1:20">
      <c r="A106" s="255" t="str">
        <f t="shared" si="29"/>
        <v/>
      </c>
      <c r="B106" s="248" t="str">
        <f t="shared" si="30"/>
        <v/>
      </c>
      <c r="C106" s="255" t="str">
        <f t="shared" si="31"/>
        <v/>
      </c>
      <c r="D106" s="256" t="str">
        <f t="shared" si="40"/>
        <v/>
      </c>
      <c r="E106" s="2">
        <v>85</v>
      </c>
      <c r="F106" s="15"/>
      <c r="G106" s="15"/>
      <c r="H106" s="2" t="str">
        <f t="shared" si="41"/>
        <v/>
      </c>
      <c r="I106" s="2" t="str">
        <f t="shared" si="42"/>
        <v/>
      </c>
      <c r="J106" s="3" t="str">
        <f t="shared" si="32"/>
        <v/>
      </c>
      <c r="L106" s="4" t="str">
        <f t="shared" si="44"/>
        <v/>
      </c>
      <c r="M106" s="4" t="str">
        <f t="shared" si="33"/>
        <v/>
      </c>
      <c r="N106" s="4" t="str">
        <f t="shared" si="34"/>
        <v/>
      </c>
      <c r="O106" s="4" t="str">
        <f t="shared" si="35"/>
        <v/>
      </c>
      <c r="P106" s="205" t="str">
        <f t="shared" si="36"/>
        <v/>
      </c>
      <c r="Q106" s="205" t="str">
        <f t="shared" si="43"/>
        <v/>
      </c>
      <c r="R106" s="205" t="str">
        <f t="shared" si="37"/>
        <v/>
      </c>
      <c r="S106" s="205" t="str">
        <f t="shared" si="38"/>
        <v/>
      </c>
      <c r="T106" s="205" t="str">
        <f t="shared" si="39"/>
        <v/>
      </c>
    </row>
    <row r="118" spans="1:20">
      <c r="A118" s="30">
        <v>1.8</v>
      </c>
      <c r="F118" s="2" t="s">
        <v>190</v>
      </c>
      <c r="J118" s="2" t="s">
        <v>193</v>
      </c>
      <c r="L118" s="2" t="s">
        <v>251</v>
      </c>
      <c r="M118" s="2" t="s">
        <v>223</v>
      </c>
      <c r="N118" s="2" t="s">
        <v>252</v>
      </c>
      <c r="O118" s="2"/>
      <c r="P118" t="s">
        <v>213</v>
      </c>
      <c r="Q118" t="s">
        <v>250</v>
      </c>
      <c r="R118" s="2" t="s">
        <v>148</v>
      </c>
      <c r="S118" s="2" t="s">
        <v>219</v>
      </c>
      <c r="T118" s="2" t="s">
        <v>148</v>
      </c>
    </row>
    <row r="119" spans="1:20">
      <c r="A119" s="30">
        <v>1.81</v>
      </c>
      <c r="F119" s="2" t="s">
        <v>223</v>
      </c>
      <c r="J119" s="2" t="s">
        <v>213</v>
      </c>
      <c r="L119" s="205">
        <f>Parts!M20</f>
        <v>1.6350000000000002</v>
      </c>
      <c r="M119" s="205">
        <f>Parts!M21+Parts!M22</f>
        <v>2.3980000000000001</v>
      </c>
      <c r="N119" s="4">
        <f>Parts!M23</f>
        <v>0.40330000000000005</v>
      </c>
      <c r="O119" s="205">
        <f>Parts!M81</f>
        <v>9.7446000000000002</v>
      </c>
      <c r="P119">
        <f>Parts!M37</f>
        <v>0.31391999999999998</v>
      </c>
      <c r="Q119">
        <f>Parts!M5</f>
        <v>0.19620000000000001</v>
      </c>
      <c r="R119" s="205">
        <f>Parts!M41</f>
        <v>1.043239</v>
      </c>
      <c r="S119" s="205">
        <f>Parts!M6</f>
        <v>0.30520000000000003</v>
      </c>
      <c r="T119" s="205">
        <f>Parts!M10</f>
        <v>0.76300000000000001</v>
      </c>
    </row>
    <row r="120" spans="1:20">
      <c r="A120" s="30">
        <v>1.82</v>
      </c>
    </row>
    <row r="121" spans="1:20">
      <c r="A121" s="30">
        <v>1.83</v>
      </c>
    </row>
    <row r="122" spans="1:20">
      <c r="A122" s="30">
        <v>1.84</v>
      </c>
    </row>
    <row r="123" spans="1:20">
      <c r="A123" s="30">
        <v>1.85</v>
      </c>
    </row>
    <row r="124" spans="1:20">
      <c r="A124" s="30">
        <v>1.86</v>
      </c>
    </row>
    <row r="125" spans="1:20">
      <c r="A125" s="30">
        <v>1.87</v>
      </c>
    </row>
    <row r="126" spans="1:20">
      <c r="A126" s="30">
        <v>1.88</v>
      </c>
    </row>
    <row r="127" spans="1:20">
      <c r="A127" s="30">
        <v>1.89</v>
      </c>
    </row>
    <row r="128" spans="1:20">
      <c r="A128" s="30">
        <v>1.9</v>
      </c>
    </row>
    <row r="129" spans="1:1">
      <c r="A129" s="30">
        <v>1.91</v>
      </c>
    </row>
    <row r="130" spans="1:1">
      <c r="A130" s="30">
        <v>1.92</v>
      </c>
    </row>
    <row r="131" spans="1:1">
      <c r="A131" s="30">
        <v>1.93</v>
      </c>
    </row>
    <row r="132" spans="1:1">
      <c r="A132" s="30">
        <v>1.94</v>
      </c>
    </row>
    <row r="133" spans="1:1">
      <c r="A133" s="30">
        <v>1.95</v>
      </c>
    </row>
    <row r="134" spans="1:1">
      <c r="A134" s="30">
        <v>1.96</v>
      </c>
    </row>
    <row r="135" spans="1:1">
      <c r="A135" s="30">
        <v>1.97</v>
      </c>
    </row>
    <row r="136" spans="1:1">
      <c r="A136" s="30">
        <v>1.98</v>
      </c>
    </row>
    <row r="137" spans="1:1">
      <c r="A137" s="30">
        <v>1.99</v>
      </c>
    </row>
    <row r="138" spans="1:1">
      <c r="A138" s="30">
        <v>2</v>
      </c>
    </row>
    <row r="139" spans="1:1">
      <c r="A139" s="30">
        <v>2.0099999999999998</v>
      </c>
    </row>
    <row r="140" spans="1:1">
      <c r="A140" s="30">
        <v>2.02</v>
      </c>
    </row>
    <row r="141" spans="1:1">
      <c r="A141" s="30">
        <v>2.0299999999999998</v>
      </c>
    </row>
    <row r="142" spans="1:1">
      <c r="A142" s="30">
        <v>2.04</v>
      </c>
    </row>
    <row r="143" spans="1:1">
      <c r="A143" s="30">
        <v>2.0499999999999998</v>
      </c>
    </row>
    <row r="144" spans="1:1">
      <c r="A144" s="30">
        <v>2.06</v>
      </c>
    </row>
    <row r="145" spans="1:1">
      <c r="A145" s="30">
        <v>2.0699999999999998</v>
      </c>
    </row>
    <row r="146" spans="1:1">
      <c r="A146" s="30">
        <v>2.08</v>
      </c>
    </row>
    <row r="147" spans="1:1">
      <c r="A147" s="30">
        <v>2.09</v>
      </c>
    </row>
    <row r="148" spans="1:1">
      <c r="A148" s="30">
        <v>2.1</v>
      </c>
    </row>
    <row r="149" spans="1:1">
      <c r="A149" s="30">
        <v>2.11</v>
      </c>
    </row>
    <row r="150" spans="1:1">
      <c r="A150" s="30">
        <v>2.12</v>
      </c>
    </row>
    <row r="151" spans="1:1">
      <c r="A151" s="30">
        <v>2.13</v>
      </c>
    </row>
    <row r="152" spans="1:1">
      <c r="A152" s="30">
        <v>2.14</v>
      </c>
    </row>
    <row r="153" spans="1:1">
      <c r="A153" s="30">
        <v>2.15</v>
      </c>
    </row>
    <row r="154" spans="1:1">
      <c r="A154" s="30">
        <v>2.16</v>
      </c>
    </row>
    <row r="155" spans="1:1">
      <c r="A155" s="30">
        <v>2.17</v>
      </c>
    </row>
    <row r="156" spans="1:1">
      <c r="A156" s="30">
        <v>2.1800000000000002</v>
      </c>
    </row>
    <row r="157" spans="1:1">
      <c r="A157" s="30">
        <v>2.19</v>
      </c>
    </row>
    <row r="158" spans="1:1">
      <c r="A158" s="30">
        <v>2.2000000000000002</v>
      </c>
    </row>
    <row r="159" spans="1:1">
      <c r="A159" s="30">
        <v>2.21</v>
      </c>
    </row>
    <row r="160" spans="1:1">
      <c r="A160" s="30">
        <v>2.2200000000000002</v>
      </c>
    </row>
    <row r="161" spans="1:1">
      <c r="A161" s="30">
        <v>2.23</v>
      </c>
    </row>
    <row r="162" spans="1:1">
      <c r="A162" s="30">
        <v>2.2400000000000002</v>
      </c>
    </row>
    <row r="163" spans="1:1">
      <c r="A163" s="30">
        <v>2.25</v>
      </c>
    </row>
    <row r="164" spans="1:1">
      <c r="A164" s="30">
        <v>2.2599999999999998</v>
      </c>
    </row>
    <row r="165" spans="1:1">
      <c r="A165" s="30">
        <v>2.27</v>
      </c>
    </row>
    <row r="166" spans="1:1">
      <c r="A166" s="30">
        <v>2.2799999999999998</v>
      </c>
    </row>
    <row r="167" spans="1:1">
      <c r="A167" s="30">
        <v>2.29</v>
      </c>
    </row>
    <row r="168" spans="1:1">
      <c r="A168" s="30">
        <v>2.2999999999999998</v>
      </c>
    </row>
    <row r="169" spans="1:1">
      <c r="A169" s="30">
        <v>2.31</v>
      </c>
    </row>
    <row r="170" spans="1:1">
      <c r="A170" s="30">
        <v>2.3199999999999998</v>
      </c>
    </row>
    <row r="171" spans="1:1">
      <c r="A171" s="30">
        <v>2.33</v>
      </c>
    </row>
    <row r="172" spans="1:1">
      <c r="A172" s="30">
        <v>2.34</v>
      </c>
    </row>
    <row r="173" spans="1:1">
      <c r="A173" s="30">
        <v>2.35</v>
      </c>
    </row>
    <row r="174" spans="1:1">
      <c r="A174" s="30">
        <v>2.36</v>
      </c>
    </row>
    <row r="175" spans="1:1">
      <c r="A175" s="30">
        <v>2.37</v>
      </c>
    </row>
    <row r="176" spans="1:1">
      <c r="A176" s="30">
        <v>2.38</v>
      </c>
    </row>
    <row r="177" spans="1:1">
      <c r="A177" s="30">
        <v>2.39</v>
      </c>
    </row>
    <row r="178" spans="1:1">
      <c r="A178" s="30">
        <v>2.4</v>
      </c>
    </row>
    <row r="179" spans="1:1">
      <c r="A179" s="30">
        <v>2.41</v>
      </c>
    </row>
    <row r="180" spans="1:1">
      <c r="A180" s="30">
        <v>2.42</v>
      </c>
    </row>
    <row r="181" spans="1:1">
      <c r="A181" s="30">
        <v>2.4300000000000002</v>
      </c>
    </row>
    <row r="182" spans="1:1">
      <c r="A182" s="30">
        <v>2.44</v>
      </c>
    </row>
    <row r="183" spans="1:1">
      <c r="A183" s="30">
        <v>2.4500000000000002</v>
      </c>
    </row>
    <row r="184" spans="1:1">
      <c r="A184" s="30">
        <v>2.46</v>
      </c>
    </row>
    <row r="185" spans="1:1">
      <c r="A185" s="30">
        <v>2.4700000000000002</v>
      </c>
    </row>
    <row r="186" spans="1:1">
      <c r="A186" s="30">
        <v>2.48</v>
      </c>
    </row>
    <row r="187" spans="1:1">
      <c r="A187" s="30">
        <v>2.4900000000000002</v>
      </c>
    </row>
    <row r="188" spans="1:1">
      <c r="A188" s="30">
        <v>2.5</v>
      </c>
    </row>
    <row r="189" spans="1:1">
      <c r="A189" s="30">
        <v>2.5099999999999998</v>
      </c>
    </row>
    <row r="190" spans="1:1">
      <c r="A190" s="30">
        <v>2.52</v>
      </c>
    </row>
    <row r="191" spans="1:1">
      <c r="A191" s="30">
        <v>2.5299999999999998</v>
      </c>
    </row>
    <row r="192" spans="1:1">
      <c r="A192" s="30">
        <v>2.54</v>
      </c>
    </row>
    <row r="193" spans="1:1">
      <c r="A193" s="30">
        <v>2.5499999999999998</v>
      </c>
    </row>
    <row r="194" spans="1:1">
      <c r="A194" s="30">
        <v>2.56</v>
      </c>
    </row>
    <row r="195" spans="1:1">
      <c r="A195" s="30">
        <v>2.57</v>
      </c>
    </row>
    <row r="196" spans="1:1">
      <c r="A196" s="30">
        <v>2.58</v>
      </c>
    </row>
    <row r="197" spans="1:1">
      <c r="A197" s="30">
        <v>2.59</v>
      </c>
    </row>
    <row r="198" spans="1:1">
      <c r="A198" s="30">
        <v>2.6</v>
      </c>
    </row>
    <row r="199" spans="1:1">
      <c r="A199" s="30">
        <v>2.61</v>
      </c>
    </row>
    <row r="200" spans="1:1">
      <c r="A200" s="30">
        <v>2.62</v>
      </c>
    </row>
    <row r="201" spans="1:1">
      <c r="A201" s="30">
        <v>2.63</v>
      </c>
    </row>
    <row r="202" spans="1:1">
      <c r="A202" s="30">
        <v>2.64</v>
      </c>
    </row>
    <row r="203" spans="1:1">
      <c r="A203" s="30">
        <v>2.65</v>
      </c>
    </row>
    <row r="204" spans="1:1">
      <c r="A204" s="30">
        <v>2.66</v>
      </c>
    </row>
    <row r="205" spans="1:1">
      <c r="A205" s="30">
        <v>2.67</v>
      </c>
    </row>
    <row r="206" spans="1:1">
      <c r="A206" s="30">
        <v>2.68</v>
      </c>
    </row>
    <row r="207" spans="1:1">
      <c r="A207" s="30">
        <v>2.69</v>
      </c>
    </row>
    <row r="208" spans="1:1">
      <c r="A208" s="30">
        <v>2.7</v>
      </c>
    </row>
    <row r="209" spans="1:1">
      <c r="A209" s="30">
        <v>2.71</v>
      </c>
    </row>
    <row r="210" spans="1:1">
      <c r="A210" s="30">
        <v>2.72</v>
      </c>
    </row>
    <row r="211" spans="1:1">
      <c r="A211" s="30">
        <v>2.73</v>
      </c>
    </row>
    <row r="212" spans="1:1">
      <c r="A212" s="30">
        <v>2.74</v>
      </c>
    </row>
    <row r="213" spans="1:1">
      <c r="A213" s="30">
        <v>2.75</v>
      </c>
    </row>
    <row r="214" spans="1:1">
      <c r="A214" s="30">
        <v>2.76</v>
      </c>
    </row>
    <row r="215" spans="1:1">
      <c r="A215" s="30">
        <v>2.77</v>
      </c>
    </row>
    <row r="216" spans="1:1">
      <c r="A216" s="30">
        <v>2.78</v>
      </c>
    </row>
    <row r="217" spans="1:1">
      <c r="A217" s="30">
        <v>2.79</v>
      </c>
    </row>
  </sheetData>
  <sheetProtection algorithmName="SHA-512" hashValue="IaO54jK2Rccpi9ZPTVZdTR2ui3hrePwJcxsSlafOaCwKIOuRqS5LhjdOHSjD7F0xyShcS6yOXtxVepNAhz/OuA==" saltValue="piteL2mb6N0PfhN+vRU7yw==" spinCount="100000" sheet="1" objects="1" scenarios="1"/>
  <mergeCells count="15">
    <mergeCell ref="A1:C1"/>
    <mergeCell ref="Q9:R9"/>
    <mergeCell ref="E1:H1"/>
    <mergeCell ref="F20:G20"/>
    <mergeCell ref="H16:I16"/>
    <mergeCell ref="G14:I14"/>
    <mergeCell ref="G13:I13"/>
    <mergeCell ref="A3:C3"/>
    <mergeCell ref="A4:C5"/>
    <mergeCell ref="A6:C6"/>
    <mergeCell ref="G10:I10"/>
    <mergeCell ref="G11:I11"/>
    <mergeCell ref="G12:I12"/>
    <mergeCell ref="F19:G19"/>
    <mergeCell ref="A11:C13"/>
  </mergeCells>
  <conditionalFormatting sqref="A11">
    <cfRule type="expression" dxfId="58" priority="2">
      <formula>O11&gt;0.149</formula>
    </cfRule>
  </conditionalFormatting>
  <conditionalFormatting sqref="A18">
    <cfRule type="expression" dxfId="57" priority="3">
      <formula>O11&gt;0.14999</formula>
    </cfRule>
    <cfRule type="expression" dxfId="56" priority="5">
      <formula>O11&lt;15</formula>
    </cfRule>
  </conditionalFormatting>
  <conditionalFormatting sqref="A11:C13">
    <cfRule type="expression" dxfId="55" priority="1">
      <formula>O11&lt;0.15</formula>
    </cfRule>
  </conditionalFormatting>
  <conditionalFormatting sqref="O11">
    <cfRule type="cellIs" dxfId="54" priority="6" operator="lessThan">
      <formula>0.15</formula>
    </cfRule>
    <cfRule type="cellIs" dxfId="53" priority="7" operator="greaterThan">
      <formula>0.149</formula>
    </cfRule>
  </conditionalFormatting>
  <conditionalFormatting sqref="R14">
    <cfRule type="cellIs" dxfId="52" priority="4" operator="greaterThan">
      <formula>0.149</formula>
    </cfRule>
  </conditionalFormatting>
  <dataValidations count="3">
    <dataValidation type="list" allowBlank="1" showInputMessage="1" showErrorMessage="1" sqref="F16" xr:uid="{8E535ABB-B139-4EC0-8AE1-8B96EFEF4C41}">
      <formula1>$F$118:$F$119</formula1>
    </dataValidation>
    <dataValidation type="list" allowBlank="1" showInputMessage="1" showErrorMessage="1" sqref="J16" xr:uid="{0C0ADF79-2550-4D01-978E-312052CE1DE1}">
      <formula1>$J$117:$J$119</formula1>
    </dataValidation>
    <dataValidation type="list" allowBlank="1" showInputMessage="1" showErrorMessage="1" sqref="A20" xr:uid="{F8DA15FE-47A6-47E1-A0E6-3C0020765098}">
      <formula1>$A$118:$A$217</formula1>
    </dataValidation>
  </dataValidations>
  <pageMargins left="0.7" right="0.7" top="0.75" bottom="0.75" header="0.3" footer="0.3"/>
  <pageSetup scale="61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D63D9-A6D3-4415-89F4-C60136390CD2}">
  <sheetPr codeName="Sheet11">
    <tabColor rgb="FF92D050"/>
    <pageSetUpPr fitToPage="1"/>
  </sheetPr>
  <dimension ref="A1:V183"/>
  <sheetViews>
    <sheetView view="pageBreakPreview" topLeftCell="A10" zoomScale="110" zoomScaleNormal="100" zoomScaleSheetLayoutView="110" workbookViewId="0">
      <selection activeCell="I31" sqref="I31"/>
    </sheetView>
  </sheetViews>
  <sheetFormatPr defaultRowHeight="15"/>
  <cols>
    <col min="1" max="1" width="13.42578125" customWidth="1"/>
    <col min="2" max="2" width="12.7109375" customWidth="1"/>
    <col min="3" max="3" width="12.5703125" customWidth="1"/>
    <col min="4" max="4" width="14.5703125" customWidth="1"/>
    <col min="5" max="5" width="18" customWidth="1"/>
    <col min="6" max="6" width="10.28515625" style="2" customWidth="1"/>
    <col min="7" max="7" width="9.140625" style="2"/>
    <col min="8" max="8" width="11.7109375" style="2" customWidth="1"/>
    <col min="9" max="9" width="11.140625" customWidth="1"/>
    <col min="10" max="10" width="9.7109375" style="2" customWidth="1"/>
    <col min="11" max="11" width="12.42578125" style="2" customWidth="1"/>
    <col min="12" max="12" width="16.7109375" style="2" customWidth="1"/>
    <col min="13" max="13" width="16.42578125" customWidth="1"/>
    <col min="14" max="14" width="15.140625" customWidth="1"/>
    <col min="15" max="15" width="13" customWidth="1"/>
    <col min="16" max="16" width="13.85546875" customWidth="1"/>
    <col min="17" max="17" width="13.42578125" customWidth="1"/>
    <col min="18" max="18" width="13.5703125" customWidth="1"/>
    <col min="19" max="19" width="16" customWidth="1"/>
    <col min="20" max="20" width="14.5703125" customWidth="1"/>
    <col min="21" max="21" width="17" customWidth="1"/>
    <col min="22" max="22" width="13.28515625" customWidth="1"/>
  </cols>
  <sheetData>
    <row r="1" spans="1:22">
      <c r="A1" s="337" t="s">
        <v>163</v>
      </c>
      <c r="B1" s="337"/>
      <c r="C1" s="337"/>
      <c r="D1" s="254"/>
      <c r="M1" s="5"/>
      <c r="N1" s="5"/>
      <c r="O1" s="22" t="s">
        <v>164</v>
      </c>
      <c r="P1" s="5"/>
      <c r="Q1" s="5"/>
      <c r="R1" s="5"/>
      <c r="S1" s="5"/>
    </row>
    <row r="2" spans="1:22">
      <c r="A2" t="s">
        <v>253</v>
      </c>
      <c r="E2" s="1" t="s">
        <v>254</v>
      </c>
      <c r="M2" s="2"/>
      <c r="N2" s="2"/>
      <c r="O2" s="27">
        <f>COUNT(A22:A101)</f>
        <v>1</v>
      </c>
      <c r="P2" s="2"/>
      <c r="Q2" s="2"/>
      <c r="R2" s="2"/>
      <c r="S2" s="2"/>
    </row>
    <row r="3" spans="1:22">
      <c r="A3" s="303" t="s">
        <v>225</v>
      </c>
      <c r="B3" s="303"/>
      <c r="C3" s="303"/>
      <c r="D3" s="2"/>
      <c r="E3" s="1" t="s">
        <v>255</v>
      </c>
      <c r="K3" s="2" t="s">
        <v>171</v>
      </c>
      <c r="M3" s="257">
        <f>SUM(M4:M6)</f>
        <v>124.50259299234435</v>
      </c>
      <c r="N3" s="258"/>
      <c r="O3" s="22" t="s">
        <v>168</v>
      </c>
      <c r="P3" s="258"/>
      <c r="Q3" s="258"/>
      <c r="R3" s="258"/>
      <c r="S3" s="258"/>
      <c r="T3" s="2"/>
      <c r="U3" s="19"/>
    </row>
    <row r="4" spans="1:22">
      <c r="A4" s="370" t="s">
        <v>256</v>
      </c>
      <c r="B4" s="371"/>
      <c r="C4" s="371"/>
      <c r="D4" s="29"/>
      <c r="E4" t="s">
        <v>257</v>
      </c>
      <c r="K4" s="2" t="s">
        <v>172</v>
      </c>
      <c r="L4" s="22">
        <f>A17</f>
        <v>468.85185358990293</v>
      </c>
      <c r="M4" s="5">
        <f>O2*O4/60*O6</f>
        <v>16.666666666666664</v>
      </c>
      <c r="N4" s="5" t="s">
        <v>258</v>
      </c>
      <c r="O4" s="90">
        <v>20</v>
      </c>
      <c r="P4" s="156"/>
      <c r="Q4" s="216"/>
      <c r="R4" s="156"/>
      <c r="S4" s="156"/>
      <c r="T4" s="2"/>
      <c r="U4" s="197"/>
      <c r="V4" s="2"/>
    </row>
    <row r="5" spans="1:22">
      <c r="A5" s="371"/>
      <c r="B5" s="371"/>
      <c r="C5" s="371"/>
      <c r="D5" s="29"/>
      <c r="E5" s="1" t="s">
        <v>176</v>
      </c>
      <c r="K5" s="2" t="s">
        <v>177</v>
      </c>
      <c r="L5" s="181">
        <f>F19</f>
        <v>272.58828697087381</v>
      </c>
      <c r="M5" s="5">
        <f>A17*0.03</f>
        <v>14.065555607697087</v>
      </c>
      <c r="N5" s="5" t="s">
        <v>178</v>
      </c>
      <c r="O5" s="2" t="s">
        <v>174</v>
      </c>
      <c r="P5" s="5"/>
      <c r="Q5" s="151"/>
      <c r="R5" s="5"/>
      <c r="S5" s="5"/>
      <c r="T5" s="5"/>
      <c r="U5" s="202"/>
      <c r="V5" s="2"/>
    </row>
    <row r="6" spans="1:22">
      <c r="A6" s="370" t="s">
        <v>175</v>
      </c>
      <c r="B6" s="370"/>
      <c r="C6" s="370"/>
      <c r="D6" s="288"/>
      <c r="E6" t="s">
        <v>179</v>
      </c>
      <c r="L6" s="257">
        <f>L4-L5</f>
        <v>196.26356661902912</v>
      </c>
      <c r="M6" s="5">
        <f>A17*0.2</f>
        <v>93.770370717980597</v>
      </c>
      <c r="N6" s="5" t="s">
        <v>180</v>
      </c>
      <c r="O6" s="2">
        <v>50</v>
      </c>
      <c r="P6" s="5"/>
      <c r="Q6" s="151"/>
      <c r="R6" s="5"/>
      <c r="S6" s="5"/>
      <c r="T6" s="22"/>
      <c r="U6" s="5"/>
      <c r="V6" s="203"/>
    </row>
    <row r="7" spans="1:22">
      <c r="A7" s="5"/>
      <c r="M7" s="5"/>
      <c r="N7" s="5"/>
      <c r="O7" s="5"/>
      <c r="P7" s="5"/>
      <c r="Q7" s="151"/>
      <c r="R7" s="5"/>
      <c r="S7" s="5"/>
      <c r="T7" s="5"/>
      <c r="U7" s="5"/>
      <c r="V7" s="2"/>
    </row>
    <row r="8" spans="1:22">
      <c r="M8" s="5"/>
      <c r="N8" s="5"/>
      <c r="O8" s="22" t="s">
        <v>182</v>
      </c>
      <c r="P8" s="5"/>
      <c r="Q8" s="151"/>
      <c r="R8" s="5"/>
      <c r="S8" s="5"/>
      <c r="T8" s="5"/>
      <c r="U8" s="5"/>
    </row>
    <row r="9" spans="1:22">
      <c r="E9" s="1" t="s">
        <v>183</v>
      </c>
      <c r="G9" s="389" t="s">
        <v>43</v>
      </c>
      <c r="H9" s="390"/>
      <c r="I9" s="390"/>
      <c r="J9" s="391"/>
      <c r="M9" s="156"/>
      <c r="N9" s="156"/>
      <c r="O9" s="235">
        <f>L6-M3</f>
        <v>71.760973626684773</v>
      </c>
      <c r="P9" s="156"/>
      <c r="Q9" s="216"/>
      <c r="R9" s="156"/>
      <c r="S9" s="156"/>
      <c r="T9" s="5"/>
      <c r="U9" s="5"/>
    </row>
    <row r="10" spans="1:22">
      <c r="E10" s="1" t="s">
        <v>186</v>
      </c>
      <c r="G10" s="392">
        <v>45307</v>
      </c>
      <c r="H10" s="390"/>
      <c r="I10" s="390"/>
      <c r="J10" s="391"/>
      <c r="M10" s="5"/>
      <c r="N10" s="5"/>
      <c r="O10" s="22" t="s">
        <v>184</v>
      </c>
      <c r="P10" s="5"/>
      <c r="Q10" s="151"/>
      <c r="R10" s="5"/>
      <c r="S10" s="5"/>
      <c r="T10" s="5"/>
      <c r="U10" s="5"/>
    </row>
    <row r="11" spans="1:22">
      <c r="A11" s="376" t="s">
        <v>185</v>
      </c>
      <c r="B11" s="376"/>
      <c r="C11" s="376"/>
      <c r="D11" s="259"/>
      <c r="E11" s="1" t="s">
        <v>187</v>
      </c>
      <c r="G11" s="392" t="s">
        <v>44</v>
      </c>
      <c r="H11" s="390"/>
      <c r="I11" s="390"/>
      <c r="J11" s="391"/>
      <c r="M11" s="5"/>
      <c r="N11" s="5"/>
      <c r="O11" s="216">
        <f>O9/A17</f>
        <v>0.15305681971229429</v>
      </c>
      <c r="P11" s="5"/>
      <c r="Q11" s="151"/>
      <c r="R11" s="5"/>
      <c r="S11" s="5"/>
      <c r="T11" s="5"/>
      <c r="U11" s="5"/>
    </row>
    <row r="12" spans="1:22">
      <c r="A12" s="376"/>
      <c r="B12" s="376"/>
      <c r="C12" s="376"/>
      <c r="D12" s="259"/>
      <c r="G12" s="392" t="s">
        <v>259</v>
      </c>
      <c r="H12" s="390"/>
      <c r="I12" s="390"/>
      <c r="J12" s="391"/>
      <c r="M12" s="5"/>
      <c r="N12" s="5"/>
      <c r="O12" s="5"/>
      <c r="P12" s="5"/>
      <c r="Q12" s="151"/>
      <c r="R12" s="5"/>
      <c r="S12" s="5"/>
      <c r="T12" s="5"/>
      <c r="U12" s="5"/>
    </row>
    <row r="13" spans="1:22">
      <c r="A13" s="376"/>
      <c r="B13" s="376"/>
      <c r="C13" s="376"/>
      <c r="D13" s="259"/>
      <c r="E13" s="254" t="s">
        <v>189</v>
      </c>
      <c r="F13" s="159" t="s">
        <v>190</v>
      </c>
      <c r="G13" s="392" t="s">
        <v>260</v>
      </c>
      <c r="H13" s="390"/>
      <c r="I13" s="390"/>
      <c r="J13" s="391"/>
      <c r="M13" s="5"/>
      <c r="N13" s="5"/>
      <c r="O13" s="5"/>
      <c r="P13" s="5"/>
      <c r="Q13" s="151"/>
      <c r="R13" s="5"/>
      <c r="S13" s="5"/>
      <c r="T13" s="5"/>
      <c r="U13" s="5"/>
    </row>
    <row r="14" spans="1:22">
      <c r="A14" s="259"/>
      <c r="B14" s="259"/>
      <c r="C14" s="259"/>
      <c r="D14" s="259"/>
      <c r="E14" s="254"/>
      <c r="F14" s="254"/>
      <c r="G14" s="260"/>
      <c r="H14" s="254"/>
      <c r="I14" s="254"/>
      <c r="J14" s="254"/>
      <c r="M14" s="5"/>
      <c r="N14" s="5"/>
      <c r="O14" s="5"/>
      <c r="P14" s="5"/>
      <c r="Q14" s="151"/>
      <c r="R14" s="5"/>
      <c r="S14" s="5"/>
      <c r="T14" s="5"/>
      <c r="U14" s="5"/>
    </row>
    <row r="15" spans="1:22">
      <c r="E15" s="2"/>
      <c r="M15" s="156"/>
      <c r="N15" s="156"/>
      <c r="O15" s="156"/>
      <c r="P15" s="156"/>
      <c r="Q15" s="216"/>
      <c r="R15" s="156"/>
      <c r="S15" s="156"/>
      <c r="T15" s="5"/>
      <c r="U15" s="5"/>
    </row>
    <row r="16" spans="1:22" ht="15.75" thickBot="1">
      <c r="E16" s="2"/>
      <c r="M16" s="156"/>
      <c r="N16" s="156"/>
      <c r="O16" s="156"/>
      <c r="P16" s="156"/>
      <c r="Q16" s="216"/>
      <c r="R16" s="156"/>
      <c r="S16" s="156"/>
      <c r="T16" s="5"/>
      <c r="U16" s="5"/>
    </row>
    <row r="17" spans="1:22" ht="15.75" thickBot="1">
      <c r="A17" s="241">
        <f>SUM(A22:A101)</f>
        <v>468.85185358990293</v>
      </c>
      <c r="B17" s="261">
        <f>SUM(B22:B101)</f>
        <v>605.14599707533978</v>
      </c>
      <c r="C17" s="241">
        <f>SUM(C22:C101)</f>
        <v>741.44014056077674</v>
      </c>
      <c r="D17" s="5"/>
      <c r="E17" s="2"/>
      <c r="M17" s="156"/>
      <c r="N17" s="156"/>
      <c r="O17" s="156"/>
      <c r="P17" s="156"/>
      <c r="Q17" s="216"/>
      <c r="R17" s="156"/>
      <c r="S17" s="156"/>
      <c r="T17" s="5"/>
      <c r="U17" s="5"/>
    </row>
    <row r="18" spans="1:22" ht="15.75" thickBot="1">
      <c r="A18" s="2" t="s">
        <v>171</v>
      </c>
      <c r="B18" s="2" t="s">
        <v>195</v>
      </c>
      <c r="C18" s="2" t="s">
        <v>246</v>
      </c>
      <c r="D18" s="2"/>
      <c r="E18" s="2"/>
    </row>
    <row r="19" spans="1:22" ht="16.5" thickTop="1" thickBot="1">
      <c r="A19" s="207">
        <v>1.72</v>
      </c>
      <c r="B19" s="2">
        <f>A19+0.5</f>
        <v>2.2199999999999998</v>
      </c>
      <c r="C19" s="2">
        <f>B19+0.5</f>
        <v>2.7199999999999998</v>
      </c>
      <c r="D19" s="262"/>
      <c r="E19" s="263" t="s">
        <v>197</v>
      </c>
      <c r="F19" s="357">
        <f>SUM(M19:V19)</f>
        <v>272.58828697087381</v>
      </c>
      <c r="G19" s="358"/>
      <c r="H19" s="264"/>
      <c r="I19" s="8" t="s">
        <v>198</v>
      </c>
      <c r="J19" s="2">
        <f>SUM(J22:J101)</f>
        <v>14</v>
      </c>
      <c r="K19" s="3">
        <f>SUM(K22:K101)</f>
        <v>67</v>
      </c>
      <c r="M19" s="204">
        <f>SUM(M22:M101)</f>
        <v>229.59023999999999</v>
      </c>
      <c r="N19" s="204">
        <f>SUM(N22:N101)</f>
        <v>0</v>
      </c>
      <c r="O19" s="204">
        <f t="shared" ref="O19:Q19" si="0">SUM(O22:O101)</f>
        <v>0</v>
      </c>
      <c r="P19" s="204">
        <f t="shared" si="0"/>
        <v>0</v>
      </c>
      <c r="Q19" s="204">
        <f t="shared" si="0"/>
        <v>0</v>
      </c>
      <c r="R19" s="204">
        <f>SUM(R22:R101)</f>
        <v>2.7468000000000004</v>
      </c>
      <c r="S19" s="204">
        <f t="shared" ref="S19:V19" si="1">SUM(S22:S101)</f>
        <v>1.2299009708737865</v>
      </c>
      <c r="T19" s="204">
        <f t="shared" si="1"/>
        <v>14.605346000000001</v>
      </c>
      <c r="U19" s="204">
        <f t="shared" si="1"/>
        <v>13.734000000000002</v>
      </c>
      <c r="V19" s="204">
        <f t="shared" si="1"/>
        <v>10.682</v>
      </c>
    </row>
    <row r="20" spans="1:22" ht="15.75" thickTop="1">
      <c r="D20" s="265"/>
      <c r="E20" s="238"/>
      <c r="F20" s="239"/>
      <c r="G20" s="239"/>
      <c r="H20" s="264"/>
      <c r="K20" s="2" t="s">
        <v>199</v>
      </c>
      <c r="L20" s="25" t="s">
        <v>200</v>
      </c>
      <c r="M20" s="2">
        <f>COUNT(K22:K101)</f>
        <v>1</v>
      </c>
      <c r="N20" s="2">
        <f>SUM(G22:G101)/240*1.2</f>
        <v>0.36</v>
      </c>
      <c r="O20" s="2">
        <f>O19/O114</f>
        <v>0</v>
      </c>
      <c r="P20" s="2">
        <f>P19/P114</f>
        <v>0</v>
      </c>
      <c r="Q20" s="2">
        <f>Q19/Q114</f>
        <v>0</v>
      </c>
      <c r="R20" s="2">
        <f>R19/R114</f>
        <v>14</v>
      </c>
      <c r="S20" s="2">
        <f>ROUNDUP(S19/S114,1)</f>
        <v>0.2</v>
      </c>
      <c r="T20" s="2">
        <f>T19/T114</f>
        <v>14</v>
      </c>
      <c r="U20" s="2">
        <f>U19/U114</f>
        <v>14</v>
      </c>
      <c r="V20" s="2">
        <f>V19/V114</f>
        <v>14</v>
      </c>
    </row>
    <row r="21" spans="1:22">
      <c r="A21" s="266">
        <v>0.03</v>
      </c>
      <c r="B21" s="267">
        <v>0.05</v>
      </c>
      <c r="C21" s="266">
        <v>0.08</v>
      </c>
      <c r="D21" s="267" t="s">
        <v>261</v>
      </c>
      <c r="E21" s="2" t="s">
        <v>202</v>
      </c>
      <c r="F21" s="254" t="s">
        <v>203</v>
      </c>
      <c r="G21" s="254" t="s">
        <v>204</v>
      </c>
      <c r="H21" s="254" t="s">
        <v>262</v>
      </c>
      <c r="I21" s="2" t="s">
        <v>176</v>
      </c>
      <c r="J21" s="2" t="s">
        <v>263</v>
      </c>
      <c r="K21" s="2" t="s">
        <v>205</v>
      </c>
      <c r="M21" s="181" t="s">
        <v>264</v>
      </c>
      <c r="N21" s="2" t="s">
        <v>265</v>
      </c>
      <c r="O21" s="2" t="s">
        <v>266</v>
      </c>
      <c r="P21" s="2" t="s">
        <v>267</v>
      </c>
      <c r="Q21" s="2" t="s">
        <v>268</v>
      </c>
      <c r="R21" s="2" t="s">
        <v>269</v>
      </c>
      <c r="S21" s="2" t="s">
        <v>212</v>
      </c>
      <c r="T21" s="2" t="s">
        <v>193</v>
      </c>
      <c r="U21" s="2" t="s">
        <v>215</v>
      </c>
      <c r="V21" s="2" t="s">
        <v>216</v>
      </c>
    </row>
    <row r="22" spans="1:22">
      <c r="A22" s="247">
        <f>IF(F22="","",D22*$A$19)</f>
        <v>468.85185358990293</v>
      </c>
      <c r="B22" s="248">
        <f>IF(F22="","",D22*$B$19)</f>
        <v>605.14599707533978</v>
      </c>
      <c r="C22" s="247">
        <f>IF(F22="","",D22*$C$19)</f>
        <v>741.44014056077674</v>
      </c>
      <c r="D22" s="248">
        <f>IF(K22="","",SUM(M22:V22))</f>
        <v>272.58828697087381</v>
      </c>
      <c r="E22" s="2">
        <v>1</v>
      </c>
      <c r="F22" s="160">
        <v>128</v>
      </c>
      <c r="G22" s="160">
        <v>72</v>
      </c>
      <c r="H22" s="160" t="s">
        <v>270</v>
      </c>
      <c r="I22" s="2">
        <f>IF(G22="","",IF($F$13="FT",12,IF(AND($F$13="DM",F22&lt;72.1),12,12)))</f>
        <v>12</v>
      </c>
      <c r="J22" s="2">
        <f>IF(G22 =  "","",ROUNDUP(G22/I22,0)*2+2)</f>
        <v>14</v>
      </c>
      <c r="K22" s="3">
        <f t="shared" ref="K22:K30" si="2">IF(G22="","",(F22+6)*G22/144)</f>
        <v>67</v>
      </c>
      <c r="M22" s="4">
        <f>IF(H22="","",IF(H22="G", K22*$M$114*1.2, IF(H22="A",K22*$M$116*1.2)))</f>
        <v>229.59023999999999</v>
      </c>
      <c r="N22" s="4" t="str">
        <f t="shared" ref="N22:N53" si="3">IF(OR($F$13="DM", K22=""),"",(G22*2)/12*$N$114)</f>
        <v/>
      </c>
      <c r="O22" s="4" t="str">
        <f t="shared" ref="O22:O53" si="4">IF(OR($F$13="DM",K22=""),"",((ROUNDUP(G22/6, 0)*2)+2)*$O$114)</f>
        <v/>
      </c>
      <c r="P22" s="4" t="str">
        <f t="shared" ref="P22:P53" si="5">IF(OR($F$13="DM",K22=""),"",((ROUNDUP(G22/6,0)*2)+2)*$P$114)</f>
        <v/>
      </c>
      <c r="Q22" s="4" t="str">
        <f t="shared" ref="Q22:Q53" si="6">IF(OR($F$13="DM", K22=""),"",J22*$Q$114)</f>
        <v/>
      </c>
      <c r="R22" s="4">
        <f t="shared" ref="R22:R53" si="7">IF(K22="","",J22*$R$114)</f>
        <v>2.7468000000000004</v>
      </c>
      <c r="S22" s="4">
        <f t="shared" ref="S22:S53" si="8">IF(K22="","",((ROUNDUP(G22/6, 0)*2)+2)*$S$114/206)</f>
        <v>1.2299009708737865</v>
      </c>
      <c r="T22" s="205">
        <f t="shared" ref="T22:T53" si="9">IF(OR($F$13="FT",K22=""),"",(J22*$T$114))</f>
        <v>14.605346000000001</v>
      </c>
      <c r="U22" s="205">
        <f t="shared" ref="U22:U53" si="10">IF(OR($F$13="FT",K22=""),"",(J22*$U$114))</f>
        <v>13.734000000000002</v>
      </c>
      <c r="V22" s="205">
        <f t="shared" ref="V22:V53" si="11">IF(OR($F$13="FT",K22=""),"",(J22*$V$114))</f>
        <v>10.682</v>
      </c>
    </row>
    <row r="23" spans="1:22">
      <c r="A23" s="247" t="str">
        <f t="shared" ref="A23:A86" si="12">IF(F23="","",D23*$A$19)</f>
        <v/>
      </c>
      <c r="B23" s="248" t="str">
        <f t="shared" ref="B23:B86" si="13">IF(F23="","",D23*$B$19)</f>
        <v/>
      </c>
      <c r="C23" s="247" t="str">
        <f t="shared" ref="C23:C86" si="14">IF(F23="","",D23*$C$19)</f>
        <v/>
      </c>
      <c r="D23" s="248" t="str">
        <f t="shared" ref="D23:D86" si="15">IF(K23="","",SUM(M23:V23))</f>
        <v/>
      </c>
      <c r="E23" s="2">
        <v>2</v>
      </c>
      <c r="F23" s="160"/>
      <c r="G23" s="160"/>
      <c r="H23" s="160"/>
      <c r="I23" s="2" t="str">
        <f t="shared" ref="I23:I86" si="16">IF(G23="","",IF($F$13="FT",12,IF(AND($F$13="DM",F23&lt;72.1),12,12)))</f>
        <v/>
      </c>
      <c r="J23" s="2" t="str">
        <f>IF(G23 =  "","",ROUNDUP(G23/I23,0)*2+2)</f>
        <v/>
      </c>
      <c r="K23" s="3" t="str">
        <f t="shared" si="2"/>
        <v/>
      </c>
      <c r="M23" s="4" t="str">
        <f t="shared" ref="M23:M54" si="17">IF(K23="","",IF(H23="G", K23*$M$114*1.2, IF(H23="A",K23*$M$116*1.2)))</f>
        <v/>
      </c>
      <c r="N23" s="4" t="str">
        <f t="shared" si="3"/>
        <v/>
      </c>
      <c r="O23" s="4" t="str">
        <f t="shared" si="4"/>
        <v/>
      </c>
      <c r="P23" s="4" t="str">
        <f t="shared" si="5"/>
        <v/>
      </c>
      <c r="Q23" s="4" t="str">
        <f t="shared" si="6"/>
        <v/>
      </c>
      <c r="R23" s="4" t="str">
        <f t="shared" si="7"/>
        <v/>
      </c>
      <c r="S23" s="4" t="str">
        <f t="shared" si="8"/>
        <v/>
      </c>
      <c r="T23" s="205" t="str">
        <f t="shared" si="9"/>
        <v/>
      </c>
      <c r="U23" s="205" t="str">
        <f t="shared" si="10"/>
        <v/>
      </c>
      <c r="V23" s="205" t="str">
        <f t="shared" si="11"/>
        <v/>
      </c>
    </row>
    <row r="24" spans="1:22">
      <c r="A24" s="247" t="str">
        <f t="shared" si="12"/>
        <v/>
      </c>
      <c r="B24" s="248" t="str">
        <f t="shared" si="13"/>
        <v/>
      </c>
      <c r="C24" s="247" t="str">
        <f t="shared" si="14"/>
        <v/>
      </c>
      <c r="D24" s="248" t="str">
        <f t="shared" si="15"/>
        <v/>
      </c>
      <c r="E24" s="2">
        <v>3</v>
      </c>
      <c r="F24" s="160"/>
      <c r="G24" s="160"/>
      <c r="H24" s="160"/>
      <c r="I24" s="2" t="str">
        <f t="shared" si="16"/>
        <v/>
      </c>
      <c r="J24" s="2" t="str">
        <f t="shared" ref="J24:J30" si="18">IF(G24 =  "","",ROUNDUP(G24/I24,0)*2+2)</f>
        <v/>
      </c>
      <c r="K24" s="3" t="str">
        <f t="shared" si="2"/>
        <v/>
      </c>
      <c r="M24" s="4" t="str">
        <f t="shared" si="17"/>
        <v/>
      </c>
      <c r="N24" s="4" t="str">
        <f t="shared" si="3"/>
        <v/>
      </c>
      <c r="O24" s="4" t="str">
        <f t="shared" si="4"/>
        <v/>
      </c>
      <c r="P24" s="4" t="str">
        <f t="shared" si="5"/>
        <v/>
      </c>
      <c r="Q24" s="4" t="str">
        <f t="shared" si="6"/>
        <v/>
      </c>
      <c r="R24" s="4" t="str">
        <f t="shared" si="7"/>
        <v/>
      </c>
      <c r="S24" s="4" t="str">
        <f t="shared" si="8"/>
        <v/>
      </c>
      <c r="T24" s="205" t="str">
        <f t="shared" si="9"/>
        <v/>
      </c>
      <c r="U24" s="205" t="str">
        <f t="shared" si="10"/>
        <v/>
      </c>
      <c r="V24" s="205" t="str">
        <f t="shared" si="11"/>
        <v/>
      </c>
    </row>
    <row r="25" spans="1:22">
      <c r="A25" s="247" t="str">
        <f t="shared" si="12"/>
        <v/>
      </c>
      <c r="B25" s="248" t="str">
        <f t="shared" si="13"/>
        <v/>
      </c>
      <c r="C25" s="247" t="str">
        <f t="shared" si="14"/>
        <v/>
      </c>
      <c r="D25" s="248" t="str">
        <f t="shared" si="15"/>
        <v/>
      </c>
      <c r="E25" s="2">
        <v>4</v>
      </c>
      <c r="F25" s="160"/>
      <c r="G25" s="160"/>
      <c r="H25" s="160"/>
      <c r="I25" s="2" t="str">
        <f t="shared" si="16"/>
        <v/>
      </c>
      <c r="J25" s="2" t="str">
        <f t="shared" si="18"/>
        <v/>
      </c>
      <c r="K25" s="3" t="str">
        <f t="shared" si="2"/>
        <v/>
      </c>
      <c r="M25" s="4" t="str">
        <f t="shared" si="17"/>
        <v/>
      </c>
      <c r="N25" s="4" t="str">
        <f t="shared" si="3"/>
        <v/>
      </c>
      <c r="O25" s="4" t="str">
        <f t="shared" si="4"/>
        <v/>
      </c>
      <c r="P25" s="4" t="str">
        <f t="shared" si="5"/>
        <v/>
      </c>
      <c r="Q25" s="4" t="str">
        <f t="shared" si="6"/>
        <v/>
      </c>
      <c r="R25" s="4" t="str">
        <f t="shared" si="7"/>
        <v/>
      </c>
      <c r="S25" s="4" t="str">
        <f t="shared" si="8"/>
        <v/>
      </c>
      <c r="T25" s="205" t="str">
        <f t="shared" si="9"/>
        <v/>
      </c>
      <c r="U25" s="205" t="str">
        <f t="shared" si="10"/>
        <v/>
      </c>
      <c r="V25" s="205" t="str">
        <f t="shared" si="11"/>
        <v/>
      </c>
    </row>
    <row r="26" spans="1:22">
      <c r="A26" s="247" t="str">
        <f t="shared" si="12"/>
        <v/>
      </c>
      <c r="B26" s="248" t="str">
        <f t="shared" si="13"/>
        <v/>
      </c>
      <c r="C26" s="247" t="str">
        <f t="shared" si="14"/>
        <v/>
      </c>
      <c r="D26" s="248" t="str">
        <f t="shared" si="15"/>
        <v/>
      </c>
      <c r="E26" s="2">
        <v>5</v>
      </c>
      <c r="F26" s="160"/>
      <c r="G26" s="160"/>
      <c r="H26" s="160"/>
      <c r="I26" s="2" t="str">
        <f t="shared" si="16"/>
        <v/>
      </c>
      <c r="J26" s="2" t="str">
        <f t="shared" si="18"/>
        <v/>
      </c>
      <c r="K26" s="3" t="str">
        <f t="shared" si="2"/>
        <v/>
      </c>
      <c r="M26" s="4" t="str">
        <f t="shared" si="17"/>
        <v/>
      </c>
      <c r="N26" s="4" t="str">
        <f t="shared" si="3"/>
        <v/>
      </c>
      <c r="O26" s="4" t="str">
        <f t="shared" si="4"/>
        <v/>
      </c>
      <c r="P26" s="4" t="str">
        <f t="shared" si="5"/>
        <v/>
      </c>
      <c r="Q26" s="4" t="str">
        <f t="shared" si="6"/>
        <v/>
      </c>
      <c r="R26" s="4" t="str">
        <f t="shared" si="7"/>
        <v/>
      </c>
      <c r="S26" s="4" t="str">
        <f t="shared" si="8"/>
        <v/>
      </c>
      <c r="T26" s="205" t="str">
        <f t="shared" si="9"/>
        <v/>
      </c>
      <c r="U26" s="205" t="str">
        <f t="shared" si="10"/>
        <v/>
      </c>
      <c r="V26" s="205" t="str">
        <f t="shared" si="11"/>
        <v/>
      </c>
    </row>
    <row r="27" spans="1:22">
      <c r="A27" s="247" t="str">
        <f t="shared" si="12"/>
        <v/>
      </c>
      <c r="B27" s="248" t="str">
        <f t="shared" si="13"/>
        <v/>
      </c>
      <c r="C27" s="247" t="str">
        <f t="shared" si="14"/>
        <v/>
      </c>
      <c r="D27" s="248" t="str">
        <f t="shared" si="15"/>
        <v/>
      </c>
      <c r="E27" s="2">
        <v>6</v>
      </c>
      <c r="F27" s="160"/>
      <c r="G27" s="160"/>
      <c r="H27" s="160"/>
      <c r="I27" s="2" t="str">
        <f t="shared" si="16"/>
        <v/>
      </c>
      <c r="J27" s="2" t="str">
        <f t="shared" si="18"/>
        <v/>
      </c>
      <c r="K27" s="3" t="str">
        <f t="shared" si="2"/>
        <v/>
      </c>
      <c r="M27" s="4" t="str">
        <f t="shared" si="17"/>
        <v/>
      </c>
      <c r="N27" s="4" t="str">
        <f t="shared" si="3"/>
        <v/>
      </c>
      <c r="O27" s="4" t="str">
        <f t="shared" si="4"/>
        <v/>
      </c>
      <c r="P27" s="4" t="str">
        <f t="shared" si="5"/>
        <v/>
      </c>
      <c r="Q27" s="4" t="str">
        <f t="shared" si="6"/>
        <v/>
      </c>
      <c r="R27" s="4" t="str">
        <f t="shared" si="7"/>
        <v/>
      </c>
      <c r="S27" s="4" t="str">
        <f t="shared" si="8"/>
        <v/>
      </c>
      <c r="T27" s="205" t="str">
        <f t="shared" si="9"/>
        <v/>
      </c>
      <c r="U27" s="205" t="str">
        <f t="shared" si="10"/>
        <v/>
      </c>
      <c r="V27" s="205" t="str">
        <f t="shared" si="11"/>
        <v/>
      </c>
    </row>
    <row r="28" spans="1:22">
      <c r="A28" s="247" t="str">
        <f t="shared" si="12"/>
        <v/>
      </c>
      <c r="B28" s="248" t="str">
        <f t="shared" si="13"/>
        <v/>
      </c>
      <c r="C28" s="247" t="str">
        <f t="shared" si="14"/>
        <v/>
      </c>
      <c r="D28" s="248" t="str">
        <f t="shared" si="15"/>
        <v/>
      </c>
      <c r="E28" s="2">
        <v>7</v>
      </c>
      <c r="F28" s="160"/>
      <c r="G28" s="160"/>
      <c r="H28" s="160"/>
      <c r="I28" s="2" t="str">
        <f t="shared" si="16"/>
        <v/>
      </c>
      <c r="J28" s="2" t="str">
        <f t="shared" si="18"/>
        <v/>
      </c>
      <c r="K28" s="3" t="str">
        <f t="shared" si="2"/>
        <v/>
      </c>
      <c r="M28" s="4" t="str">
        <f t="shared" si="17"/>
        <v/>
      </c>
      <c r="N28" s="4" t="str">
        <f t="shared" si="3"/>
        <v/>
      </c>
      <c r="O28" s="4" t="str">
        <f t="shared" si="4"/>
        <v/>
      </c>
      <c r="P28" s="4" t="str">
        <f t="shared" si="5"/>
        <v/>
      </c>
      <c r="Q28" s="4" t="str">
        <f t="shared" si="6"/>
        <v/>
      </c>
      <c r="R28" s="4" t="str">
        <f t="shared" si="7"/>
        <v/>
      </c>
      <c r="S28" s="4" t="str">
        <f t="shared" si="8"/>
        <v/>
      </c>
      <c r="T28" s="205" t="str">
        <f t="shared" si="9"/>
        <v/>
      </c>
      <c r="U28" s="205" t="str">
        <f t="shared" si="10"/>
        <v/>
      </c>
      <c r="V28" s="205" t="str">
        <f t="shared" si="11"/>
        <v/>
      </c>
    </row>
    <row r="29" spans="1:22">
      <c r="A29" s="247" t="str">
        <f t="shared" si="12"/>
        <v/>
      </c>
      <c r="B29" s="248" t="str">
        <f t="shared" si="13"/>
        <v/>
      </c>
      <c r="C29" s="247" t="str">
        <f t="shared" si="14"/>
        <v/>
      </c>
      <c r="D29" s="248" t="str">
        <f t="shared" si="15"/>
        <v/>
      </c>
      <c r="E29" s="2">
        <v>8</v>
      </c>
      <c r="F29" s="160"/>
      <c r="G29" s="160"/>
      <c r="H29" s="160"/>
      <c r="I29" s="2" t="str">
        <f t="shared" si="16"/>
        <v/>
      </c>
      <c r="J29" s="2" t="str">
        <f t="shared" si="18"/>
        <v/>
      </c>
      <c r="K29" s="3" t="str">
        <f t="shared" si="2"/>
        <v/>
      </c>
      <c r="M29" s="4" t="str">
        <f t="shared" si="17"/>
        <v/>
      </c>
      <c r="N29" s="4" t="str">
        <f t="shared" si="3"/>
        <v/>
      </c>
      <c r="O29" s="4" t="str">
        <f t="shared" si="4"/>
        <v/>
      </c>
      <c r="P29" s="4" t="str">
        <f t="shared" si="5"/>
        <v/>
      </c>
      <c r="Q29" s="4" t="str">
        <f t="shared" si="6"/>
        <v/>
      </c>
      <c r="R29" s="4" t="str">
        <f t="shared" si="7"/>
        <v/>
      </c>
      <c r="S29" s="4" t="str">
        <f t="shared" si="8"/>
        <v/>
      </c>
      <c r="T29" s="205" t="str">
        <f t="shared" si="9"/>
        <v/>
      </c>
      <c r="U29" s="205" t="str">
        <f t="shared" si="10"/>
        <v/>
      </c>
      <c r="V29" s="205" t="str">
        <f t="shared" si="11"/>
        <v/>
      </c>
    </row>
    <row r="30" spans="1:22">
      <c r="A30" s="247" t="str">
        <f t="shared" si="12"/>
        <v/>
      </c>
      <c r="B30" s="248" t="str">
        <f t="shared" si="13"/>
        <v/>
      </c>
      <c r="C30" s="247" t="str">
        <f t="shared" si="14"/>
        <v/>
      </c>
      <c r="D30" s="248" t="str">
        <f t="shared" si="15"/>
        <v/>
      </c>
      <c r="E30" s="2">
        <v>9</v>
      </c>
      <c r="F30" s="160"/>
      <c r="G30" s="160"/>
      <c r="H30" s="160"/>
      <c r="I30" s="2" t="str">
        <f t="shared" si="16"/>
        <v/>
      </c>
      <c r="J30" s="2" t="str">
        <f t="shared" si="18"/>
        <v/>
      </c>
      <c r="K30" s="3" t="str">
        <f t="shared" si="2"/>
        <v/>
      </c>
      <c r="M30" s="4" t="str">
        <f t="shared" si="17"/>
        <v/>
      </c>
      <c r="N30" s="4" t="str">
        <f t="shared" si="3"/>
        <v/>
      </c>
      <c r="O30" s="4" t="str">
        <f t="shared" si="4"/>
        <v/>
      </c>
      <c r="P30" s="4" t="str">
        <f t="shared" si="5"/>
        <v/>
      </c>
      <c r="Q30" s="4" t="str">
        <f t="shared" si="6"/>
        <v/>
      </c>
      <c r="R30" s="4" t="str">
        <f t="shared" si="7"/>
        <v/>
      </c>
      <c r="S30" s="4" t="str">
        <f t="shared" si="8"/>
        <v/>
      </c>
      <c r="T30" s="205" t="str">
        <f t="shared" si="9"/>
        <v/>
      </c>
      <c r="U30" s="205" t="str">
        <f t="shared" si="10"/>
        <v/>
      </c>
      <c r="V30" s="205" t="str">
        <f t="shared" si="11"/>
        <v/>
      </c>
    </row>
    <row r="31" spans="1:22">
      <c r="A31" s="247" t="str">
        <f t="shared" si="12"/>
        <v/>
      </c>
      <c r="B31" s="248" t="str">
        <f t="shared" si="13"/>
        <v/>
      </c>
      <c r="C31" s="247" t="str">
        <f t="shared" si="14"/>
        <v/>
      </c>
      <c r="D31" s="248" t="str">
        <f t="shared" si="15"/>
        <v/>
      </c>
      <c r="E31" s="2">
        <v>10</v>
      </c>
      <c r="F31" s="160"/>
      <c r="G31" s="160"/>
      <c r="H31" s="160"/>
      <c r="I31" s="2" t="str">
        <f t="shared" si="16"/>
        <v/>
      </c>
      <c r="J31" s="2" t="str">
        <f t="shared" ref="J31:J94" si="19">IF(G31 =  "","",ROUNDUP(G31/I31,0)*2+2)</f>
        <v/>
      </c>
      <c r="K31" s="3" t="str">
        <f t="shared" ref="K31:K94" si="20">IF(G31="","",(F31+6)*G31/144)</f>
        <v/>
      </c>
      <c r="M31" s="4" t="str">
        <f t="shared" si="17"/>
        <v/>
      </c>
      <c r="N31" s="4" t="str">
        <f t="shared" si="3"/>
        <v/>
      </c>
      <c r="O31" s="4" t="str">
        <f t="shared" si="4"/>
        <v/>
      </c>
      <c r="P31" s="4" t="str">
        <f t="shared" si="5"/>
        <v/>
      </c>
      <c r="Q31" s="4" t="str">
        <f t="shared" si="6"/>
        <v/>
      </c>
      <c r="R31" s="4" t="str">
        <f t="shared" si="7"/>
        <v/>
      </c>
      <c r="S31" s="4" t="str">
        <f t="shared" si="8"/>
        <v/>
      </c>
      <c r="T31" s="205" t="str">
        <f t="shared" si="9"/>
        <v/>
      </c>
      <c r="U31" s="205" t="str">
        <f t="shared" si="10"/>
        <v/>
      </c>
      <c r="V31" s="205" t="str">
        <f t="shared" si="11"/>
        <v/>
      </c>
    </row>
    <row r="32" spans="1:22">
      <c r="A32" s="247" t="str">
        <f t="shared" si="12"/>
        <v/>
      </c>
      <c r="B32" s="248" t="str">
        <f t="shared" si="13"/>
        <v/>
      </c>
      <c r="C32" s="247" t="str">
        <f t="shared" si="14"/>
        <v/>
      </c>
      <c r="D32" s="248" t="str">
        <f t="shared" si="15"/>
        <v/>
      </c>
      <c r="E32" s="2">
        <v>11</v>
      </c>
      <c r="F32" s="160"/>
      <c r="G32" s="160"/>
      <c r="H32" s="160"/>
      <c r="I32" s="2" t="str">
        <f t="shared" si="16"/>
        <v/>
      </c>
      <c r="J32" s="2" t="str">
        <f t="shared" si="19"/>
        <v/>
      </c>
      <c r="K32" s="3" t="str">
        <f t="shared" si="20"/>
        <v/>
      </c>
      <c r="M32" s="4" t="str">
        <f t="shared" si="17"/>
        <v/>
      </c>
      <c r="N32" s="4" t="str">
        <f t="shared" si="3"/>
        <v/>
      </c>
      <c r="O32" s="4" t="str">
        <f t="shared" si="4"/>
        <v/>
      </c>
      <c r="P32" s="4" t="str">
        <f t="shared" si="5"/>
        <v/>
      </c>
      <c r="Q32" s="4" t="str">
        <f t="shared" si="6"/>
        <v/>
      </c>
      <c r="R32" s="4" t="str">
        <f t="shared" si="7"/>
        <v/>
      </c>
      <c r="S32" s="4" t="str">
        <f t="shared" si="8"/>
        <v/>
      </c>
      <c r="T32" s="205" t="str">
        <f t="shared" si="9"/>
        <v/>
      </c>
      <c r="U32" s="205" t="str">
        <f t="shared" si="10"/>
        <v/>
      </c>
      <c r="V32" s="205" t="str">
        <f t="shared" si="11"/>
        <v/>
      </c>
    </row>
    <row r="33" spans="1:22">
      <c r="A33" s="247" t="str">
        <f t="shared" si="12"/>
        <v/>
      </c>
      <c r="B33" s="248" t="str">
        <f t="shared" si="13"/>
        <v/>
      </c>
      <c r="C33" s="247" t="str">
        <f t="shared" si="14"/>
        <v/>
      </c>
      <c r="D33" s="248" t="str">
        <f t="shared" si="15"/>
        <v/>
      </c>
      <c r="E33" s="2">
        <v>12</v>
      </c>
      <c r="F33" s="160"/>
      <c r="G33" s="160"/>
      <c r="H33" s="160"/>
      <c r="I33" s="2" t="str">
        <f t="shared" si="16"/>
        <v/>
      </c>
      <c r="J33" s="2" t="str">
        <f t="shared" si="19"/>
        <v/>
      </c>
      <c r="K33" s="3" t="str">
        <f t="shared" si="20"/>
        <v/>
      </c>
      <c r="M33" s="4" t="str">
        <f t="shared" si="17"/>
        <v/>
      </c>
      <c r="N33" s="4" t="str">
        <f t="shared" si="3"/>
        <v/>
      </c>
      <c r="O33" s="4" t="str">
        <f t="shared" si="4"/>
        <v/>
      </c>
      <c r="P33" s="4" t="str">
        <f t="shared" si="5"/>
        <v/>
      </c>
      <c r="Q33" s="4" t="str">
        <f t="shared" si="6"/>
        <v/>
      </c>
      <c r="R33" s="4" t="str">
        <f t="shared" si="7"/>
        <v/>
      </c>
      <c r="S33" s="4" t="str">
        <f t="shared" si="8"/>
        <v/>
      </c>
      <c r="T33" s="205" t="str">
        <f t="shared" si="9"/>
        <v/>
      </c>
      <c r="U33" s="205" t="str">
        <f t="shared" si="10"/>
        <v/>
      </c>
      <c r="V33" s="205" t="str">
        <f t="shared" si="11"/>
        <v/>
      </c>
    </row>
    <row r="34" spans="1:22">
      <c r="A34" s="247" t="str">
        <f t="shared" si="12"/>
        <v/>
      </c>
      <c r="B34" s="248" t="str">
        <f t="shared" si="13"/>
        <v/>
      </c>
      <c r="C34" s="247" t="str">
        <f t="shared" si="14"/>
        <v/>
      </c>
      <c r="D34" s="248" t="str">
        <f t="shared" si="15"/>
        <v/>
      </c>
      <c r="E34" s="2">
        <v>13</v>
      </c>
      <c r="F34" s="160"/>
      <c r="G34" s="160"/>
      <c r="H34" s="160"/>
      <c r="I34" s="2" t="str">
        <f t="shared" si="16"/>
        <v/>
      </c>
      <c r="J34" s="2" t="str">
        <f t="shared" si="19"/>
        <v/>
      </c>
      <c r="K34" s="3" t="str">
        <f t="shared" si="20"/>
        <v/>
      </c>
      <c r="M34" s="4" t="str">
        <f t="shared" si="17"/>
        <v/>
      </c>
      <c r="N34" s="4" t="str">
        <f t="shared" si="3"/>
        <v/>
      </c>
      <c r="O34" s="4" t="str">
        <f t="shared" si="4"/>
        <v/>
      </c>
      <c r="P34" s="4" t="str">
        <f t="shared" si="5"/>
        <v/>
      </c>
      <c r="Q34" s="4" t="str">
        <f t="shared" si="6"/>
        <v/>
      </c>
      <c r="R34" s="4" t="str">
        <f t="shared" si="7"/>
        <v/>
      </c>
      <c r="S34" s="4" t="str">
        <f t="shared" si="8"/>
        <v/>
      </c>
      <c r="T34" s="205" t="str">
        <f t="shared" si="9"/>
        <v/>
      </c>
      <c r="U34" s="205" t="str">
        <f t="shared" si="10"/>
        <v/>
      </c>
      <c r="V34" s="205" t="str">
        <f t="shared" si="11"/>
        <v/>
      </c>
    </row>
    <row r="35" spans="1:22">
      <c r="A35" s="247" t="str">
        <f t="shared" si="12"/>
        <v/>
      </c>
      <c r="B35" s="248" t="str">
        <f t="shared" si="13"/>
        <v/>
      </c>
      <c r="C35" s="247" t="str">
        <f t="shared" si="14"/>
        <v/>
      </c>
      <c r="D35" s="248" t="str">
        <f t="shared" si="15"/>
        <v/>
      </c>
      <c r="E35" s="2">
        <v>14</v>
      </c>
      <c r="F35" s="160"/>
      <c r="G35" s="160"/>
      <c r="H35" s="160"/>
      <c r="I35" s="2" t="str">
        <f t="shared" si="16"/>
        <v/>
      </c>
      <c r="J35" s="2" t="str">
        <f t="shared" si="19"/>
        <v/>
      </c>
      <c r="K35" s="3" t="str">
        <f t="shared" si="20"/>
        <v/>
      </c>
      <c r="M35" s="4" t="str">
        <f t="shared" si="17"/>
        <v/>
      </c>
      <c r="N35" s="4" t="str">
        <f t="shared" si="3"/>
        <v/>
      </c>
      <c r="O35" s="4" t="str">
        <f t="shared" si="4"/>
        <v/>
      </c>
      <c r="P35" s="4" t="str">
        <f t="shared" si="5"/>
        <v/>
      </c>
      <c r="Q35" s="4" t="str">
        <f t="shared" si="6"/>
        <v/>
      </c>
      <c r="R35" s="4" t="str">
        <f t="shared" si="7"/>
        <v/>
      </c>
      <c r="S35" s="4" t="str">
        <f t="shared" si="8"/>
        <v/>
      </c>
      <c r="T35" s="205" t="str">
        <f t="shared" si="9"/>
        <v/>
      </c>
      <c r="U35" s="205" t="str">
        <f t="shared" si="10"/>
        <v/>
      </c>
      <c r="V35" s="205" t="str">
        <f t="shared" si="11"/>
        <v/>
      </c>
    </row>
    <row r="36" spans="1:22">
      <c r="A36" s="247" t="str">
        <f t="shared" si="12"/>
        <v/>
      </c>
      <c r="B36" s="248" t="str">
        <f t="shared" si="13"/>
        <v/>
      </c>
      <c r="C36" s="247" t="str">
        <f t="shared" si="14"/>
        <v/>
      </c>
      <c r="D36" s="248" t="str">
        <f t="shared" si="15"/>
        <v/>
      </c>
      <c r="E36" s="2">
        <v>15</v>
      </c>
      <c r="F36" s="160"/>
      <c r="G36" s="160"/>
      <c r="H36" s="160"/>
      <c r="I36" s="2" t="str">
        <f t="shared" si="16"/>
        <v/>
      </c>
      <c r="J36" s="2" t="str">
        <f t="shared" si="19"/>
        <v/>
      </c>
      <c r="K36" s="3" t="str">
        <f t="shared" si="20"/>
        <v/>
      </c>
      <c r="M36" s="4" t="str">
        <f t="shared" si="17"/>
        <v/>
      </c>
      <c r="N36" s="4" t="str">
        <f t="shared" si="3"/>
        <v/>
      </c>
      <c r="O36" s="4" t="str">
        <f t="shared" si="4"/>
        <v/>
      </c>
      <c r="P36" s="4" t="str">
        <f t="shared" si="5"/>
        <v/>
      </c>
      <c r="Q36" s="4" t="str">
        <f t="shared" si="6"/>
        <v/>
      </c>
      <c r="R36" s="4" t="str">
        <f t="shared" si="7"/>
        <v/>
      </c>
      <c r="S36" s="4" t="str">
        <f t="shared" si="8"/>
        <v/>
      </c>
      <c r="T36" s="205" t="str">
        <f t="shared" si="9"/>
        <v/>
      </c>
      <c r="U36" s="205" t="str">
        <f t="shared" si="10"/>
        <v/>
      </c>
      <c r="V36" s="205" t="str">
        <f t="shared" si="11"/>
        <v/>
      </c>
    </row>
    <row r="37" spans="1:22">
      <c r="A37" s="247" t="str">
        <f t="shared" si="12"/>
        <v/>
      </c>
      <c r="B37" s="248" t="str">
        <f t="shared" si="13"/>
        <v/>
      </c>
      <c r="C37" s="247" t="str">
        <f t="shared" si="14"/>
        <v/>
      </c>
      <c r="D37" s="248" t="str">
        <f t="shared" si="15"/>
        <v/>
      </c>
      <c r="E37" s="2">
        <v>16</v>
      </c>
      <c r="F37" s="160"/>
      <c r="G37" s="160"/>
      <c r="H37" s="160"/>
      <c r="I37" s="2" t="str">
        <f t="shared" si="16"/>
        <v/>
      </c>
      <c r="J37" s="2" t="str">
        <f t="shared" si="19"/>
        <v/>
      </c>
      <c r="K37" s="3" t="str">
        <f t="shared" si="20"/>
        <v/>
      </c>
      <c r="M37" s="4" t="str">
        <f t="shared" si="17"/>
        <v/>
      </c>
      <c r="N37" s="4" t="str">
        <f t="shared" si="3"/>
        <v/>
      </c>
      <c r="O37" s="4" t="str">
        <f t="shared" si="4"/>
        <v/>
      </c>
      <c r="P37" s="4" t="str">
        <f t="shared" si="5"/>
        <v/>
      </c>
      <c r="Q37" s="4" t="str">
        <f t="shared" si="6"/>
        <v/>
      </c>
      <c r="R37" s="4" t="str">
        <f t="shared" si="7"/>
        <v/>
      </c>
      <c r="S37" s="4" t="str">
        <f t="shared" si="8"/>
        <v/>
      </c>
      <c r="T37" s="205" t="str">
        <f t="shared" si="9"/>
        <v/>
      </c>
      <c r="U37" s="205" t="str">
        <f t="shared" si="10"/>
        <v/>
      </c>
      <c r="V37" s="205" t="str">
        <f t="shared" si="11"/>
        <v/>
      </c>
    </row>
    <row r="38" spans="1:22">
      <c r="A38" s="247" t="str">
        <f t="shared" si="12"/>
        <v/>
      </c>
      <c r="B38" s="248" t="str">
        <f t="shared" si="13"/>
        <v/>
      </c>
      <c r="C38" s="247" t="str">
        <f t="shared" si="14"/>
        <v/>
      </c>
      <c r="D38" s="248" t="str">
        <f t="shared" si="15"/>
        <v/>
      </c>
      <c r="E38" s="2">
        <v>17</v>
      </c>
      <c r="F38" s="160"/>
      <c r="G38" s="160"/>
      <c r="H38" s="160"/>
      <c r="I38" s="2" t="str">
        <f t="shared" si="16"/>
        <v/>
      </c>
      <c r="J38" s="2" t="str">
        <f t="shared" si="19"/>
        <v/>
      </c>
      <c r="K38" s="3" t="str">
        <f t="shared" si="20"/>
        <v/>
      </c>
      <c r="M38" s="4" t="str">
        <f t="shared" si="17"/>
        <v/>
      </c>
      <c r="N38" s="4" t="str">
        <f t="shared" si="3"/>
        <v/>
      </c>
      <c r="O38" s="4" t="str">
        <f t="shared" si="4"/>
        <v/>
      </c>
      <c r="P38" s="4" t="str">
        <f t="shared" si="5"/>
        <v/>
      </c>
      <c r="Q38" s="4" t="str">
        <f t="shared" si="6"/>
        <v/>
      </c>
      <c r="R38" s="4" t="str">
        <f t="shared" si="7"/>
        <v/>
      </c>
      <c r="S38" s="4" t="str">
        <f t="shared" si="8"/>
        <v/>
      </c>
      <c r="T38" s="205" t="str">
        <f t="shared" si="9"/>
        <v/>
      </c>
      <c r="U38" s="205" t="str">
        <f t="shared" si="10"/>
        <v/>
      </c>
      <c r="V38" s="205" t="str">
        <f t="shared" si="11"/>
        <v/>
      </c>
    </row>
    <row r="39" spans="1:22">
      <c r="A39" s="247" t="str">
        <f t="shared" si="12"/>
        <v/>
      </c>
      <c r="B39" s="248" t="str">
        <f t="shared" si="13"/>
        <v/>
      </c>
      <c r="C39" s="247" t="str">
        <f t="shared" si="14"/>
        <v/>
      </c>
      <c r="D39" s="248" t="str">
        <f t="shared" si="15"/>
        <v/>
      </c>
      <c r="E39" s="2">
        <v>18</v>
      </c>
      <c r="F39" s="160"/>
      <c r="G39" s="160"/>
      <c r="H39" s="160"/>
      <c r="I39" s="2" t="str">
        <f t="shared" si="16"/>
        <v/>
      </c>
      <c r="J39" s="2" t="str">
        <f t="shared" si="19"/>
        <v/>
      </c>
      <c r="K39" s="3" t="str">
        <f t="shared" si="20"/>
        <v/>
      </c>
      <c r="M39" s="4" t="str">
        <f t="shared" si="17"/>
        <v/>
      </c>
      <c r="N39" s="4" t="str">
        <f t="shared" si="3"/>
        <v/>
      </c>
      <c r="O39" s="4" t="str">
        <f t="shared" si="4"/>
        <v/>
      </c>
      <c r="P39" s="4" t="str">
        <f t="shared" si="5"/>
        <v/>
      </c>
      <c r="Q39" s="4" t="str">
        <f t="shared" si="6"/>
        <v/>
      </c>
      <c r="R39" s="4" t="str">
        <f t="shared" si="7"/>
        <v/>
      </c>
      <c r="S39" s="4" t="str">
        <f t="shared" si="8"/>
        <v/>
      </c>
      <c r="T39" s="205" t="str">
        <f t="shared" si="9"/>
        <v/>
      </c>
      <c r="U39" s="205" t="str">
        <f t="shared" si="10"/>
        <v/>
      </c>
      <c r="V39" s="205" t="str">
        <f t="shared" si="11"/>
        <v/>
      </c>
    </row>
    <row r="40" spans="1:22">
      <c r="A40" s="247" t="str">
        <f t="shared" si="12"/>
        <v/>
      </c>
      <c r="B40" s="248" t="str">
        <f t="shared" si="13"/>
        <v/>
      </c>
      <c r="C40" s="247" t="str">
        <f t="shared" si="14"/>
        <v/>
      </c>
      <c r="D40" s="248" t="str">
        <f t="shared" si="15"/>
        <v/>
      </c>
      <c r="E40" s="2">
        <v>19</v>
      </c>
      <c r="F40" s="160"/>
      <c r="G40" s="160"/>
      <c r="H40" s="160"/>
      <c r="I40" s="2" t="str">
        <f t="shared" si="16"/>
        <v/>
      </c>
      <c r="J40" s="2" t="str">
        <f t="shared" si="19"/>
        <v/>
      </c>
      <c r="K40" s="3" t="str">
        <f t="shared" si="20"/>
        <v/>
      </c>
      <c r="M40" s="4" t="str">
        <f t="shared" si="17"/>
        <v/>
      </c>
      <c r="N40" s="4" t="str">
        <f t="shared" si="3"/>
        <v/>
      </c>
      <c r="O40" s="4" t="str">
        <f t="shared" si="4"/>
        <v/>
      </c>
      <c r="P40" s="4" t="str">
        <f t="shared" si="5"/>
        <v/>
      </c>
      <c r="Q40" s="4" t="str">
        <f t="shared" si="6"/>
        <v/>
      </c>
      <c r="R40" s="4" t="str">
        <f t="shared" si="7"/>
        <v/>
      </c>
      <c r="S40" s="4" t="str">
        <f t="shared" si="8"/>
        <v/>
      </c>
      <c r="T40" s="205" t="str">
        <f t="shared" si="9"/>
        <v/>
      </c>
      <c r="U40" s="205" t="str">
        <f t="shared" si="10"/>
        <v/>
      </c>
      <c r="V40" s="205" t="str">
        <f t="shared" si="11"/>
        <v/>
      </c>
    </row>
    <row r="41" spans="1:22">
      <c r="A41" s="247" t="str">
        <f t="shared" si="12"/>
        <v/>
      </c>
      <c r="B41" s="248" t="str">
        <f t="shared" si="13"/>
        <v/>
      </c>
      <c r="C41" s="247" t="str">
        <f t="shared" si="14"/>
        <v/>
      </c>
      <c r="D41" s="248" t="str">
        <f t="shared" si="15"/>
        <v/>
      </c>
      <c r="E41" s="2">
        <v>20</v>
      </c>
      <c r="F41" s="160"/>
      <c r="G41" s="160"/>
      <c r="H41" s="160"/>
      <c r="I41" s="2" t="str">
        <f t="shared" si="16"/>
        <v/>
      </c>
      <c r="J41" s="2" t="str">
        <f t="shared" si="19"/>
        <v/>
      </c>
      <c r="K41" s="3" t="str">
        <f t="shared" si="20"/>
        <v/>
      </c>
      <c r="M41" s="4" t="str">
        <f t="shared" si="17"/>
        <v/>
      </c>
      <c r="N41" s="4" t="str">
        <f t="shared" si="3"/>
        <v/>
      </c>
      <c r="O41" s="4" t="str">
        <f t="shared" si="4"/>
        <v/>
      </c>
      <c r="P41" s="4" t="str">
        <f t="shared" si="5"/>
        <v/>
      </c>
      <c r="Q41" s="4" t="str">
        <f t="shared" si="6"/>
        <v/>
      </c>
      <c r="R41" s="4" t="str">
        <f t="shared" si="7"/>
        <v/>
      </c>
      <c r="S41" s="4" t="str">
        <f t="shared" si="8"/>
        <v/>
      </c>
      <c r="T41" s="205" t="str">
        <f t="shared" si="9"/>
        <v/>
      </c>
      <c r="U41" s="205" t="str">
        <f t="shared" si="10"/>
        <v/>
      </c>
      <c r="V41" s="205" t="str">
        <f t="shared" si="11"/>
        <v/>
      </c>
    </row>
    <row r="42" spans="1:22">
      <c r="A42" s="247" t="str">
        <f t="shared" si="12"/>
        <v/>
      </c>
      <c r="B42" s="248" t="str">
        <f t="shared" si="13"/>
        <v/>
      </c>
      <c r="C42" s="247" t="str">
        <f t="shared" si="14"/>
        <v/>
      </c>
      <c r="D42" s="248" t="str">
        <f t="shared" si="15"/>
        <v/>
      </c>
      <c r="E42" s="2">
        <v>21</v>
      </c>
      <c r="F42" s="160"/>
      <c r="G42" s="160"/>
      <c r="H42" s="160"/>
      <c r="I42" s="2" t="str">
        <f t="shared" si="16"/>
        <v/>
      </c>
      <c r="J42" s="2" t="str">
        <f t="shared" si="19"/>
        <v/>
      </c>
      <c r="K42" s="3" t="str">
        <f t="shared" si="20"/>
        <v/>
      </c>
      <c r="M42" s="4" t="str">
        <f t="shared" si="17"/>
        <v/>
      </c>
      <c r="N42" s="4" t="str">
        <f t="shared" si="3"/>
        <v/>
      </c>
      <c r="O42" s="4" t="str">
        <f t="shared" si="4"/>
        <v/>
      </c>
      <c r="P42" s="4" t="str">
        <f t="shared" si="5"/>
        <v/>
      </c>
      <c r="Q42" s="4" t="str">
        <f t="shared" si="6"/>
        <v/>
      </c>
      <c r="R42" s="4" t="str">
        <f t="shared" si="7"/>
        <v/>
      </c>
      <c r="S42" s="4" t="str">
        <f t="shared" si="8"/>
        <v/>
      </c>
      <c r="T42" s="205" t="str">
        <f t="shared" si="9"/>
        <v/>
      </c>
      <c r="U42" s="205" t="str">
        <f t="shared" si="10"/>
        <v/>
      </c>
      <c r="V42" s="205" t="str">
        <f t="shared" si="11"/>
        <v/>
      </c>
    </row>
    <row r="43" spans="1:22">
      <c r="A43" s="247" t="str">
        <f t="shared" si="12"/>
        <v/>
      </c>
      <c r="B43" s="248" t="str">
        <f t="shared" si="13"/>
        <v/>
      </c>
      <c r="C43" s="247" t="str">
        <f t="shared" si="14"/>
        <v/>
      </c>
      <c r="D43" s="248" t="str">
        <f t="shared" si="15"/>
        <v/>
      </c>
      <c r="E43" s="2">
        <v>22</v>
      </c>
      <c r="F43" s="160"/>
      <c r="G43" s="160"/>
      <c r="H43" s="160"/>
      <c r="I43" s="2" t="str">
        <f t="shared" si="16"/>
        <v/>
      </c>
      <c r="J43" s="2" t="str">
        <f t="shared" si="19"/>
        <v/>
      </c>
      <c r="K43" s="3" t="str">
        <f t="shared" si="20"/>
        <v/>
      </c>
      <c r="M43" s="4" t="str">
        <f t="shared" si="17"/>
        <v/>
      </c>
      <c r="N43" s="4" t="str">
        <f t="shared" si="3"/>
        <v/>
      </c>
      <c r="O43" s="4" t="str">
        <f t="shared" si="4"/>
        <v/>
      </c>
      <c r="P43" s="4" t="str">
        <f t="shared" si="5"/>
        <v/>
      </c>
      <c r="Q43" s="4" t="str">
        <f t="shared" si="6"/>
        <v/>
      </c>
      <c r="R43" s="4" t="str">
        <f t="shared" si="7"/>
        <v/>
      </c>
      <c r="S43" s="4" t="str">
        <f t="shared" si="8"/>
        <v/>
      </c>
      <c r="T43" s="205" t="str">
        <f t="shared" si="9"/>
        <v/>
      </c>
      <c r="U43" s="205" t="str">
        <f t="shared" si="10"/>
        <v/>
      </c>
      <c r="V43" s="205" t="str">
        <f t="shared" si="11"/>
        <v/>
      </c>
    </row>
    <row r="44" spans="1:22">
      <c r="A44" s="247" t="str">
        <f t="shared" si="12"/>
        <v/>
      </c>
      <c r="B44" s="248" t="str">
        <f t="shared" si="13"/>
        <v/>
      </c>
      <c r="C44" s="247" t="str">
        <f t="shared" si="14"/>
        <v/>
      </c>
      <c r="D44" s="248" t="str">
        <f t="shared" si="15"/>
        <v/>
      </c>
      <c r="E44" s="2">
        <v>23</v>
      </c>
      <c r="F44" s="160"/>
      <c r="G44" s="160"/>
      <c r="H44" s="160"/>
      <c r="I44" s="2" t="str">
        <f t="shared" si="16"/>
        <v/>
      </c>
      <c r="J44" s="2" t="str">
        <f t="shared" si="19"/>
        <v/>
      </c>
      <c r="K44" s="3" t="str">
        <f t="shared" si="20"/>
        <v/>
      </c>
      <c r="M44" s="4" t="str">
        <f t="shared" si="17"/>
        <v/>
      </c>
      <c r="N44" s="4" t="str">
        <f t="shared" si="3"/>
        <v/>
      </c>
      <c r="O44" s="4" t="str">
        <f t="shared" si="4"/>
        <v/>
      </c>
      <c r="P44" s="4" t="str">
        <f t="shared" si="5"/>
        <v/>
      </c>
      <c r="Q44" s="4" t="str">
        <f t="shared" si="6"/>
        <v/>
      </c>
      <c r="R44" s="4" t="str">
        <f t="shared" si="7"/>
        <v/>
      </c>
      <c r="S44" s="4" t="str">
        <f t="shared" si="8"/>
        <v/>
      </c>
      <c r="T44" s="205" t="str">
        <f t="shared" si="9"/>
        <v/>
      </c>
      <c r="U44" s="205" t="str">
        <f t="shared" si="10"/>
        <v/>
      </c>
      <c r="V44" s="205" t="str">
        <f t="shared" si="11"/>
        <v/>
      </c>
    </row>
    <row r="45" spans="1:22">
      <c r="A45" s="247" t="str">
        <f t="shared" si="12"/>
        <v/>
      </c>
      <c r="B45" s="248" t="str">
        <f t="shared" si="13"/>
        <v/>
      </c>
      <c r="C45" s="247" t="str">
        <f t="shared" si="14"/>
        <v/>
      </c>
      <c r="D45" s="248" t="str">
        <f t="shared" si="15"/>
        <v/>
      </c>
      <c r="E45" s="2">
        <v>24</v>
      </c>
      <c r="F45" s="160"/>
      <c r="G45" s="160"/>
      <c r="H45" s="160"/>
      <c r="I45" s="2" t="str">
        <f t="shared" si="16"/>
        <v/>
      </c>
      <c r="J45" s="2" t="str">
        <f t="shared" si="19"/>
        <v/>
      </c>
      <c r="K45" s="3" t="str">
        <f t="shared" si="20"/>
        <v/>
      </c>
      <c r="M45" s="4" t="str">
        <f t="shared" si="17"/>
        <v/>
      </c>
      <c r="N45" s="4" t="str">
        <f t="shared" si="3"/>
        <v/>
      </c>
      <c r="O45" s="4" t="str">
        <f t="shared" si="4"/>
        <v/>
      </c>
      <c r="P45" s="4" t="str">
        <f t="shared" si="5"/>
        <v/>
      </c>
      <c r="Q45" s="4" t="str">
        <f t="shared" si="6"/>
        <v/>
      </c>
      <c r="R45" s="4" t="str">
        <f t="shared" si="7"/>
        <v/>
      </c>
      <c r="S45" s="4" t="str">
        <f t="shared" si="8"/>
        <v/>
      </c>
      <c r="T45" s="205" t="str">
        <f t="shared" si="9"/>
        <v/>
      </c>
      <c r="U45" s="205" t="str">
        <f t="shared" si="10"/>
        <v/>
      </c>
      <c r="V45" s="205" t="str">
        <f t="shared" si="11"/>
        <v/>
      </c>
    </row>
    <row r="46" spans="1:22">
      <c r="A46" s="247" t="str">
        <f t="shared" si="12"/>
        <v/>
      </c>
      <c r="B46" s="248" t="str">
        <f t="shared" si="13"/>
        <v/>
      </c>
      <c r="C46" s="247" t="str">
        <f t="shared" si="14"/>
        <v/>
      </c>
      <c r="D46" s="248" t="str">
        <f t="shared" si="15"/>
        <v/>
      </c>
      <c r="E46" s="2">
        <v>25</v>
      </c>
      <c r="F46" s="160"/>
      <c r="G46" s="160"/>
      <c r="H46" s="160"/>
      <c r="I46" s="2" t="str">
        <f t="shared" si="16"/>
        <v/>
      </c>
      <c r="J46" s="2" t="str">
        <f t="shared" si="19"/>
        <v/>
      </c>
      <c r="K46" s="3" t="str">
        <f t="shared" si="20"/>
        <v/>
      </c>
      <c r="M46" s="4" t="str">
        <f t="shared" si="17"/>
        <v/>
      </c>
      <c r="N46" s="4" t="str">
        <f t="shared" si="3"/>
        <v/>
      </c>
      <c r="O46" s="4" t="str">
        <f t="shared" si="4"/>
        <v/>
      </c>
      <c r="P46" s="4" t="str">
        <f t="shared" si="5"/>
        <v/>
      </c>
      <c r="Q46" s="4" t="str">
        <f t="shared" si="6"/>
        <v/>
      </c>
      <c r="R46" s="4" t="str">
        <f t="shared" si="7"/>
        <v/>
      </c>
      <c r="S46" s="4" t="str">
        <f t="shared" si="8"/>
        <v/>
      </c>
      <c r="T46" s="205" t="str">
        <f t="shared" si="9"/>
        <v/>
      </c>
      <c r="U46" s="205" t="str">
        <f t="shared" si="10"/>
        <v/>
      </c>
      <c r="V46" s="205" t="str">
        <f t="shared" si="11"/>
        <v/>
      </c>
    </row>
    <row r="47" spans="1:22">
      <c r="A47" s="247" t="str">
        <f t="shared" si="12"/>
        <v/>
      </c>
      <c r="B47" s="248" t="str">
        <f t="shared" si="13"/>
        <v/>
      </c>
      <c r="C47" s="247" t="str">
        <f t="shared" si="14"/>
        <v/>
      </c>
      <c r="D47" s="248" t="str">
        <f t="shared" si="15"/>
        <v/>
      </c>
      <c r="E47" s="2">
        <v>26</v>
      </c>
      <c r="F47" s="160"/>
      <c r="G47" s="160"/>
      <c r="H47" s="160"/>
      <c r="I47" s="2" t="str">
        <f t="shared" si="16"/>
        <v/>
      </c>
      <c r="J47" s="2" t="str">
        <f t="shared" si="19"/>
        <v/>
      </c>
      <c r="K47" s="3" t="str">
        <f t="shared" si="20"/>
        <v/>
      </c>
      <c r="M47" s="4" t="str">
        <f t="shared" si="17"/>
        <v/>
      </c>
      <c r="N47" s="4" t="str">
        <f t="shared" si="3"/>
        <v/>
      </c>
      <c r="O47" s="4" t="str">
        <f t="shared" si="4"/>
        <v/>
      </c>
      <c r="P47" s="4" t="str">
        <f t="shared" si="5"/>
        <v/>
      </c>
      <c r="Q47" s="4" t="str">
        <f t="shared" si="6"/>
        <v/>
      </c>
      <c r="R47" s="4" t="str">
        <f t="shared" si="7"/>
        <v/>
      </c>
      <c r="S47" s="4" t="str">
        <f t="shared" si="8"/>
        <v/>
      </c>
      <c r="T47" s="205" t="str">
        <f t="shared" si="9"/>
        <v/>
      </c>
      <c r="U47" s="205" t="str">
        <f t="shared" si="10"/>
        <v/>
      </c>
      <c r="V47" s="205" t="str">
        <f t="shared" si="11"/>
        <v/>
      </c>
    </row>
    <row r="48" spans="1:22">
      <c r="A48" s="247" t="str">
        <f t="shared" si="12"/>
        <v/>
      </c>
      <c r="B48" s="248" t="str">
        <f t="shared" si="13"/>
        <v/>
      </c>
      <c r="C48" s="247" t="str">
        <f t="shared" si="14"/>
        <v/>
      </c>
      <c r="D48" s="248" t="str">
        <f t="shared" si="15"/>
        <v/>
      </c>
      <c r="E48" s="2">
        <v>27</v>
      </c>
      <c r="F48" s="160"/>
      <c r="G48" s="160"/>
      <c r="H48" s="160"/>
      <c r="I48" s="2" t="str">
        <f t="shared" si="16"/>
        <v/>
      </c>
      <c r="J48" s="2" t="str">
        <f t="shared" si="19"/>
        <v/>
      </c>
      <c r="K48" s="3" t="str">
        <f t="shared" si="20"/>
        <v/>
      </c>
      <c r="M48" s="4" t="str">
        <f t="shared" si="17"/>
        <v/>
      </c>
      <c r="N48" s="4" t="str">
        <f t="shared" si="3"/>
        <v/>
      </c>
      <c r="O48" s="4" t="str">
        <f t="shared" si="4"/>
        <v/>
      </c>
      <c r="P48" s="4" t="str">
        <f t="shared" si="5"/>
        <v/>
      </c>
      <c r="Q48" s="4" t="str">
        <f t="shared" si="6"/>
        <v/>
      </c>
      <c r="R48" s="4" t="str">
        <f t="shared" si="7"/>
        <v/>
      </c>
      <c r="S48" s="4" t="str">
        <f t="shared" si="8"/>
        <v/>
      </c>
      <c r="T48" s="205" t="str">
        <f t="shared" si="9"/>
        <v/>
      </c>
      <c r="U48" s="205" t="str">
        <f t="shared" si="10"/>
        <v/>
      </c>
      <c r="V48" s="205" t="str">
        <f t="shared" si="11"/>
        <v/>
      </c>
    </row>
    <row r="49" spans="1:22">
      <c r="A49" s="247" t="str">
        <f t="shared" si="12"/>
        <v/>
      </c>
      <c r="B49" s="248" t="str">
        <f t="shared" si="13"/>
        <v/>
      </c>
      <c r="C49" s="247" t="str">
        <f t="shared" si="14"/>
        <v/>
      </c>
      <c r="D49" s="248" t="str">
        <f t="shared" si="15"/>
        <v/>
      </c>
      <c r="E49" s="2">
        <v>28</v>
      </c>
      <c r="F49" s="160"/>
      <c r="G49" s="160"/>
      <c r="H49" s="160"/>
      <c r="I49" s="2" t="str">
        <f t="shared" si="16"/>
        <v/>
      </c>
      <c r="J49" s="2" t="str">
        <f t="shared" si="19"/>
        <v/>
      </c>
      <c r="K49" s="3" t="str">
        <f t="shared" si="20"/>
        <v/>
      </c>
      <c r="M49" s="4" t="str">
        <f t="shared" si="17"/>
        <v/>
      </c>
      <c r="N49" s="4" t="str">
        <f t="shared" si="3"/>
        <v/>
      </c>
      <c r="O49" s="4" t="str">
        <f t="shared" si="4"/>
        <v/>
      </c>
      <c r="P49" s="4" t="str">
        <f t="shared" si="5"/>
        <v/>
      </c>
      <c r="Q49" s="4" t="str">
        <f t="shared" si="6"/>
        <v/>
      </c>
      <c r="R49" s="4" t="str">
        <f t="shared" si="7"/>
        <v/>
      </c>
      <c r="S49" s="4" t="str">
        <f t="shared" si="8"/>
        <v/>
      </c>
      <c r="T49" s="205" t="str">
        <f t="shared" si="9"/>
        <v/>
      </c>
      <c r="U49" s="205" t="str">
        <f t="shared" si="10"/>
        <v/>
      </c>
      <c r="V49" s="205" t="str">
        <f t="shared" si="11"/>
        <v/>
      </c>
    </row>
    <row r="50" spans="1:22">
      <c r="A50" s="247" t="str">
        <f t="shared" si="12"/>
        <v/>
      </c>
      <c r="B50" s="248" t="str">
        <f t="shared" si="13"/>
        <v/>
      </c>
      <c r="C50" s="247" t="str">
        <f t="shared" si="14"/>
        <v/>
      </c>
      <c r="D50" s="248" t="str">
        <f t="shared" si="15"/>
        <v/>
      </c>
      <c r="E50" s="2">
        <v>29</v>
      </c>
      <c r="F50" s="160"/>
      <c r="G50" s="160"/>
      <c r="H50" s="160"/>
      <c r="I50" s="2" t="str">
        <f t="shared" si="16"/>
        <v/>
      </c>
      <c r="J50" s="2" t="str">
        <f t="shared" si="19"/>
        <v/>
      </c>
      <c r="K50" s="3" t="str">
        <f t="shared" si="20"/>
        <v/>
      </c>
      <c r="M50" s="4" t="str">
        <f t="shared" si="17"/>
        <v/>
      </c>
      <c r="N50" s="4" t="str">
        <f t="shared" si="3"/>
        <v/>
      </c>
      <c r="O50" s="4" t="str">
        <f t="shared" si="4"/>
        <v/>
      </c>
      <c r="P50" s="4" t="str">
        <f t="shared" si="5"/>
        <v/>
      </c>
      <c r="Q50" s="4" t="str">
        <f t="shared" si="6"/>
        <v/>
      </c>
      <c r="R50" s="4" t="str">
        <f t="shared" si="7"/>
        <v/>
      </c>
      <c r="S50" s="4" t="str">
        <f t="shared" si="8"/>
        <v/>
      </c>
      <c r="T50" s="205" t="str">
        <f t="shared" si="9"/>
        <v/>
      </c>
      <c r="U50" s="205" t="str">
        <f t="shared" si="10"/>
        <v/>
      </c>
      <c r="V50" s="205" t="str">
        <f t="shared" si="11"/>
        <v/>
      </c>
    </row>
    <row r="51" spans="1:22">
      <c r="A51" s="247" t="str">
        <f t="shared" si="12"/>
        <v/>
      </c>
      <c r="B51" s="248" t="str">
        <f t="shared" si="13"/>
        <v/>
      </c>
      <c r="C51" s="247" t="str">
        <f t="shared" si="14"/>
        <v/>
      </c>
      <c r="D51" s="248" t="str">
        <f t="shared" si="15"/>
        <v/>
      </c>
      <c r="E51" s="2">
        <v>30</v>
      </c>
      <c r="F51" s="160"/>
      <c r="G51" s="160"/>
      <c r="H51" s="160"/>
      <c r="I51" s="2" t="str">
        <f t="shared" si="16"/>
        <v/>
      </c>
      <c r="J51" s="2" t="str">
        <f t="shared" si="19"/>
        <v/>
      </c>
      <c r="K51" s="3" t="str">
        <f t="shared" si="20"/>
        <v/>
      </c>
      <c r="M51" s="4" t="str">
        <f t="shared" si="17"/>
        <v/>
      </c>
      <c r="N51" s="4" t="str">
        <f t="shared" si="3"/>
        <v/>
      </c>
      <c r="O51" s="4" t="str">
        <f t="shared" si="4"/>
        <v/>
      </c>
      <c r="P51" s="4" t="str">
        <f t="shared" si="5"/>
        <v/>
      </c>
      <c r="Q51" s="4" t="str">
        <f t="shared" si="6"/>
        <v/>
      </c>
      <c r="R51" s="4" t="str">
        <f t="shared" si="7"/>
        <v/>
      </c>
      <c r="S51" s="4" t="str">
        <f t="shared" si="8"/>
        <v/>
      </c>
      <c r="T51" s="205" t="str">
        <f t="shared" si="9"/>
        <v/>
      </c>
      <c r="U51" s="205" t="str">
        <f t="shared" si="10"/>
        <v/>
      </c>
      <c r="V51" s="205" t="str">
        <f t="shared" si="11"/>
        <v/>
      </c>
    </row>
    <row r="52" spans="1:22">
      <c r="A52" s="247" t="str">
        <f t="shared" si="12"/>
        <v/>
      </c>
      <c r="B52" s="248" t="str">
        <f t="shared" si="13"/>
        <v/>
      </c>
      <c r="C52" s="247" t="str">
        <f t="shared" si="14"/>
        <v/>
      </c>
      <c r="D52" s="248" t="str">
        <f t="shared" si="15"/>
        <v/>
      </c>
      <c r="E52" s="2">
        <v>31</v>
      </c>
      <c r="F52" s="160"/>
      <c r="G52" s="160"/>
      <c r="H52" s="160"/>
      <c r="I52" s="2" t="str">
        <f t="shared" si="16"/>
        <v/>
      </c>
      <c r="J52" s="2" t="str">
        <f t="shared" si="19"/>
        <v/>
      </c>
      <c r="K52" s="3" t="str">
        <f t="shared" si="20"/>
        <v/>
      </c>
      <c r="M52" s="4" t="str">
        <f t="shared" si="17"/>
        <v/>
      </c>
      <c r="N52" s="4" t="str">
        <f t="shared" si="3"/>
        <v/>
      </c>
      <c r="O52" s="4" t="str">
        <f t="shared" si="4"/>
        <v/>
      </c>
      <c r="P52" s="4" t="str">
        <f t="shared" si="5"/>
        <v/>
      </c>
      <c r="Q52" s="4" t="str">
        <f t="shared" si="6"/>
        <v/>
      </c>
      <c r="R52" s="4" t="str">
        <f t="shared" si="7"/>
        <v/>
      </c>
      <c r="S52" s="4" t="str">
        <f t="shared" si="8"/>
        <v/>
      </c>
      <c r="T52" s="205" t="str">
        <f t="shared" si="9"/>
        <v/>
      </c>
      <c r="U52" s="205" t="str">
        <f t="shared" si="10"/>
        <v/>
      </c>
      <c r="V52" s="205" t="str">
        <f t="shared" si="11"/>
        <v/>
      </c>
    </row>
    <row r="53" spans="1:22">
      <c r="A53" s="247" t="str">
        <f t="shared" si="12"/>
        <v/>
      </c>
      <c r="B53" s="248" t="str">
        <f t="shared" si="13"/>
        <v/>
      </c>
      <c r="C53" s="247" t="str">
        <f t="shared" si="14"/>
        <v/>
      </c>
      <c r="D53" s="248" t="str">
        <f t="shared" si="15"/>
        <v/>
      </c>
      <c r="E53" s="2">
        <v>32</v>
      </c>
      <c r="F53" s="160"/>
      <c r="G53" s="160"/>
      <c r="H53" s="160"/>
      <c r="I53" s="2" t="str">
        <f t="shared" si="16"/>
        <v/>
      </c>
      <c r="J53" s="2" t="str">
        <f t="shared" si="19"/>
        <v/>
      </c>
      <c r="K53" s="3" t="str">
        <f t="shared" si="20"/>
        <v/>
      </c>
      <c r="M53" s="4" t="str">
        <f t="shared" si="17"/>
        <v/>
      </c>
      <c r="N53" s="4" t="str">
        <f t="shared" si="3"/>
        <v/>
      </c>
      <c r="O53" s="4" t="str">
        <f t="shared" si="4"/>
        <v/>
      </c>
      <c r="P53" s="4" t="str">
        <f t="shared" si="5"/>
        <v/>
      </c>
      <c r="Q53" s="4" t="str">
        <f t="shared" si="6"/>
        <v/>
      </c>
      <c r="R53" s="4" t="str">
        <f t="shared" si="7"/>
        <v/>
      </c>
      <c r="S53" s="4" t="str">
        <f t="shared" si="8"/>
        <v/>
      </c>
      <c r="T53" s="205" t="str">
        <f t="shared" si="9"/>
        <v/>
      </c>
      <c r="U53" s="205" t="str">
        <f t="shared" si="10"/>
        <v/>
      </c>
      <c r="V53" s="205" t="str">
        <f t="shared" si="11"/>
        <v/>
      </c>
    </row>
    <row r="54" spans="1:22">
      <c r="A54" s="247" t="str">
        <f t="shared" si="12"/>
        <v/>
      </c>
      <c r="B54" s="248" t="str">
        <f t="shared" si="13"/>
        <v/>
      </c>
      <c r="C54" s="247" t="str">
        <f t="shared" si="14"/>
        <v/>
      </c>
      <c r="D54" s="248" t="str">
        <f t="shared" si="15"/>
        <v/>
      </c>
      <c r="E54" s="2">
        <v>33</v>
      </c>
      <c r="F54" s="160"/>
      <c r="G54" s="160"/>
      <c r="H54" s="160"/>
      <c r="I54" s="2" t="str">
        <f t="shared" si="16"/>
        <v/>
      </c>
      <c r="J54" s="2" t="str">
        <f t="shared" si="19"/>
        <v/>
      </c>
      <c r="K54" s="3" t="str">
        <f t="shared" si="20"/>
        <v/>
      </c>
      <c r="M54" s="4" t="str">
        <f t="shared" si="17"/>
        <v/>
      </c>
      <c r="N54" s="4" t="str">
        <f t="shared" ref="N54:N85" si="21">IF(OR($F$13="DM", K54=""),"",(G54*2)/12*$N$114)</f>
        <v/>
      </c>
      <c r="O54" s="4" t="str">
        <f t="shared" ref="O54:O85" si="22">IF(OR($F$13="DM",K54=""),"",((ROUNDUP(G54/6, 0)*2)+2)*$O$114)</f>
        <v/>
      </c>
      <c r="P54" s="4" t="str">
        <f t="shared" ref="P54:P85" si="23">IF(OR($F$13="DM",K54=""),"",((ROUNDUP(G54/6,0)*2)+2)*$P$114)</f>
        <v/>
      </c>
      <c r="Q54" s="4" t="str">
        <f t="shared" ref="Q54:Q85" si="24">IF(OR($F$13="DM", K54=""),"",J54*$Q$114)</f>
        <v/>
      </c>
      <c r="R54" s="4" t="str">
        <f t="shared" ref="R54:R85" si="25">IF(K54="","",J54*$R$114)</f>
        <v/>
      </c>
      <c r="S54" s="4" t="str">
        <f t="shared" ref="S54:S85" si="26">IF(K54="","",((ROUNDUP(G54/6, 0)*2)+2)*$S$114/206)</f>
        <v/>
      </c>
      <c r="T54" s="205" t="str">
        <f t="shared" ref="T54:T85" si="27">IF(OR($F$13="FT",K54=""),"",(J54*$T$114))</f>
        <v/>
      </c>
      <c r="U54" s="205" t="str">
        <f t="shared" ref="U54:U85" si="28">IF(OR($F$13="FT",K54=""),"",(J54*$U$114))</f>
        <v/>
      </c>
      <c r="V54" s="205" t="str">
        <f t="shared" ref="V54:V85" si="29">IF(OR($F$13="FT",K54=""),"",(J54*$V$114))</f>
        <v/>
      </c>
    </row>
    <row r="55" spans="1:22">
      <c r="A55" s="247" t="str">
        <f t="shared" si="12"/>
        <v/>
      </c>
      <c r="B55" s="248" t="str">
        <f t="shared" si="13"/>
        <v/>
      </c>
      <c r="C55" s="247" t="str">
        <f t="shared" si="14"/>
        <v/>
      </c>
      <c r="D55" s="248" t="str">
        <f t="shared" si="15"/>
        <v/>
      </c>
      <c r="E55" s="2">
        <v>34</v>
      </c>
      <c r="F55" s="160"/>
      <c r="G55" s="160"/>
      <c r="H55" s="160"/>
      <c r="I55" s="2" t="str">
        <f t="shared" si="16"/>
        <v/>
      </c>
      <c r="J55" s="2" t="str">
        <f t="shared" si="19"/>
        <v/>
      </c>
      <c r="K55" s="3" t="str">
        <f t="shared" si="20"/>
        <v/>
      </c>
      <c r="M55" s="4" t="str">
        <f t="shared" ref="M55:M86" si="30">IF(K55="","",IF(H55="G", K55*$M$114*1.2, IF(H55="A",K55*$M$116*1.2)))</f>
        <v/>
      </c>
      <c r="N55" s="4" t="str">
        <f t="shared" si="21"/>
        <v/>
      </c>
      <c r="O55" s="4" t="str">
        <f t="shared" si="22"/>
        <v/>
      </c>
      <c r="P55" s="4" t="str">
        <f t="shared" si="23"/>
        <v/>
      </c>
      <c r="Q55" s="4" t="str">
        <f t="shared" si="24"/>
        <v/>
      </c>
      <c r="R55" s="4" t="str">
        <f t="shared" si="25"/>
        <v/>
      </c>
      <c r="S55" s="4" t="str">
        <f t="shared" si="26"/>
        <v/>
      </c>
      <c r="T55" s="205" t="str">
        <f t="shared" si="27"/>
        <v/>
      </c>
      <c r="U55" s="205" t="str">
        <f t="shared" si="28"/>
        <v/>
      </c>
      <c r="V55" s="205" t="str">
        <f t="shared" si="29"/>
        <v/>
      </c>
    </row>
    <row r="56" spans="1:22">
      <c r="A56" s="247" t="str">
        <f t="shared" si="12"/>
        <v/>
      </c>
      <c r="B56" s="248" t="str">
        <f t="shared" si="13"/>
        <v/>
      </c>
      <c r="C56" s="247" t="str">
        <f t="shared" si="14"/>
        <v/>
      </c>
      <c r="D56" s="248" t="str">
        <f t="shared" si="15"/>
        <v/>
      </c>
      <c r="E56" s="2">
        <v>35</v>
      </c>
      <c r="F56" s="160"/>
      <c r="G56" s="160"/>
      <c r="H56" s="160"/>
      <c r="I56" s="2" t="str">
        <f t="shared" si="16"/>
        <v/>
      </c>
      <c r="J56" s="2" t="str">
        <f t="shared" si="19"/>
        <v/>
      </c>
      <c r="K56" s="3" t="str">
        <f t="shared" si="20"/>
        <v/>
      </c>
      <c r="M56" s="4" t="str">
        <f t="shared" si="30"/>
        <v/>
      </c>
      <c r="N56" s="4" t="str">
        <f t="shared" si="21"/>
        <v/>
      </c>
      <c r="O56" s="4" t="str">
        <f t="shared" si="22"/>
        <v/>
      </c>
      <c r="P56" s="4" t="str">
        <f t="shared" si="23"/>
        <v/>
      </c>
      <c r="Q56" s="4" t="str">
        <f t="shared" si="24"/>
        <v/>
      </c>
      <c r="R56" s="4" t="str">
        <f t="shared" si="25"/>
        <v/>
      </c>
      <c r="S56" s="4" t="str">
        <f t="shared" si="26"/>
        <v/>
      </c>
      <c r="T56" s="205" t="str">
        <f t="shared" si="27"/>
        <v/>
      </c>
      <c r="U56" s="205" t="str">
        <f t="shared" si="28"/>
        <v/>
      </c>
      <c r="V56" s="205" t="str">
        <f t="shared" si="29"/>
        <v/>
      </c>
    </row>
    <row r="57" spans="1:22">
      <c r="A57" s="247" t="str">
        <f t="shared" si="12"/>
        <v/>
      </c>
      <c r="B57" s="248" t="str">
        <f t="shared" si="13"/>
        <v/>
      </c>
      <c r="C57" s="247" t="str">
        <f t="shared" si="14"/>
        <v/>
      </c>
      <c r="D57" s="248" t="str">
        <f t="shared" si="15"/>
        <v/>
      </c>
      <c r="E57" s="2">
        <v>36</v>
      </c>
      <c r="F57" s="160"/>
      <c r="G57" s="160"/>
      <c r="H57" s="160"/>
      <c r="I57" s="2" t="str">
        <f t="shared" si="16"/>
        <v/>
      </c>
      <c r="J57" s="2" t="str">
        <f t="shared" si="19"/>
        <v/>
      </c>
      <c r="K57" s="3" t="str">
        <f t="shared" si="20"/>
        <v/>
      </c>
      <c r="M57" s="4" t="str">
        <f t="shared" si="30"/>
        <v/>
      </c>
      <c r="N57" s="4" t="str">
        <f t="shared" si="21"/>
        <v/>
      </c>
      <c r="O57" s="4" t="str">
        <f t="shared" si="22"/>
        <v/>
      </c>
      <c r="P57" s="4" t="str">
        <f t="shared" si="23"/>
        <v/>
      </c>
      <c r="Q57" s="4" t="str">
        <f t="shared" si="24"/>
        <v/>
      </c>
      <c r="R57" s="4" t="str">
        <f t="shared" si="25"/>
        <v/>
      </c>
      <c r="S57" s="4" t="str">
        <f t="shared" si="26"/>
        <v/>
      </c>
      <c r="T57" s="205" t="str">
        <f t="shared" si="27"/>
        <v/>
      </c>
      <c r="U57" s="205" t="str">
        <f t="shared" si="28"/>
        <v/>
      </c>
      <c r="V57" s="205" t="str">
        <f t="shared" si="29"/>
        <v/>
      </c>
    </row>
    <row r="58" spans="1:22">
      <c r="A58" s="247" t="str">
        <f t="shared" si="12"/>
        <v/>
      </c>
      <c r="B58" s="248" t="str">
        <f t="shared" si="13"/>
        <v/>
      </c>
      <c r="C58" s="247" t="str">
        <f t="shared" si="14"/>
        <v/>
      </c>
      <c r="D58" s="248" t="str">
        <f t="shared" si="15"/>
        <v/>
      </c>
      <c r="E58" s="2">
        <v>37</v>
      </c>
      <c r="F58" s="160"/>
      <c r="G58" s="160"/>
      <c r="H58" s="160"/>
      <c r="I58" s="2" t="str">
        <f t="shared" si="16"/>
        <v/>
      </c>
      <c r="J58" s="2" t="str">
        <f t="shared" si="19"/>
        <v/>
      </c>
      <c r="K58" s="3" t="str">
        <f t="shared" si="20"/>
        <v/>
      </c>
      <c r="M58" s="4" t="str">
        <f t="shared" si="30"/>
        <v/>
      </c>
      <c r="N58" s="4" t="str">
        <f t="shared" si="21"/>
        <v/>
      </c>
      <c r="O58" s="4" t="str">
        <f t="shared" si="22"/>
        <v/>
      </c>
      <c r="P58" s="4" t="str">
        <f t="shared" si="23"/>
        <v/>
      </c>
      <c r="Q58" s="4" t="str">
        <f t="shared" si="24"/>
        <v/>
      </c>
      <c r="R58" s="4" t="str">
        <f t="shared" si="25"/>
        <v/>
      </c>
      <c r="S58" s="4" t="str">
        <f t="shared" si="26"/>
        <v/>
      </c>
      <c r="T58" s="205" t="str">
        <f t="shared" si="27"/>
        <v/>
      </c>
      <c r="U58" s="205" t="str">
        <f t="shared" si="28"/>
        <v/>
      </c>
      <c r="V58" s="205" t="str">
        <f t="shared" si="29"/>
        <v/>
      </c>
    </row>
    <row r="59" spans="1:22">
      <c r="A59" s="247" t="str">
        <f t="shared" si="12"/>
        <v/>
      </c>
      <c r="B59" s="248" t="str">
        <f t="shared" si="13"/>
        <v/>
      </c>
      <c r="C59" s="247" t="str">
        <f t="shared" si="14"/>
        <v/>
      </c>
      <c r="D59" s="248" t="str">
        <f t="shared" si="15"/>
        <v/>
      </c>
      <c r="E59" s="2">
        <v>38</v>
      </c>
      <c r="F59" s="160"/>
      <c r="G59" s="160"/>
      <c r="H59" s="160"/>
      <c r="I59" s="2" t="str">
        <f t="shared" si="16"/>
        <v/>
      </c>
      <c r="J59" s="2" t="str">
        <f t="shared" si="19"/>
        <v/>
      </c>
      <c r="K59" s="3" t="str">
        <f t="shared" si="20"/>
        <v/>
      </c>
      <c r="M59" s="4" t="str">
        <f t="shared" si="30"/>
        <v/>
      </c>
      <c r="N59" s="4" t="str">
        <f t="shared" si="21"/>
        <v/>
      </c>
      <c r="O59" s="4" t="str">
        <f t="shared" si="22"/>
        <v/>
      </c>
      <c r="P59" s="4" t="str">
        <f t="shared" si="23"/>
        <v/>
      </c>
      <c r="Q59" s="4" t="str">
        <f t="shared" si="24"/>
        <v/>
      </c>
      <c r="R59" s="4" t="str">
        <f t="shared" si="25"/>
        <v/>
      </c>
      <c r="S59" s="4" t="str">
        <f t="shared" si="26"/>
        <v/>
      </c>
      <c r="T59" s="205" t="str">
        <f t="shared" si="27"/>
        <v/>
      </c>
      <c r="U59" s="205" t="str">
        <f t="shared" si="28"/>
        <v/>
      </c>
      <c r="V59" s="205" t="str">
        <f t="shared" si="29"/>
        <v/>
      </c>
    </row>
    <row r="60" spans="1:22">
      <c r="A60" s="247" t="str">
        <f t="shared" si="12"/>
        <v/>
      </c>
      <c r="B60" s="248" t="str">
        <f t="shared" si="13"/>
        <v/>
      </c>
      <c r="C60" s="247" t="str">
        <f t="shared" si="14"/>
        <v/>
      </c>
      <c r="D60" s="248" t="str">
        <f t="shared" si="15"/>
        <v/>
      </c>
      <c r="E60" s="2">
        <v>39</v>
      </c>
      <c r="F60" s="160"/>
      <c r="G60" s="160"/>
      <c r="H60" s="160"/>
      <c r="I60" s="2" t="str">
        <f t="shared" si="16"/>
        <v/>
      </c>
      <c r="J60" s="2" t="str">
        <f t="shared" si="19"/>
        <v/>
      </c>
      <c r="K60" s="3" t="str">
        <f t="shared" si="20"/>
        <v/>
      </c>
      <c r="M60" s="4" t="str">
        <f t="shared" si="30"/>
        <v/>
      </c>
      <c r="N60" s="4" t="str">
        <f t="shared" si="21"/>
        <v/>
      </c>
      <c r="O60" s="4" t="str">
        <f t="shared" si="22"/>
        <v/>
      </c>
      <c r="P60" s="4" t="str">
        <f t="shared" si="23"/>
        <v/>
      </c>
      <c r="Q60" s="4" t="str">
        <f t="shared" si="24"/>
        <v/>
      </c>
      <c r="R60" s="4" t="str">
        <f t="shared" si="25"/>
        <v/>
      </c>
      <c r="S60" s="4" t="str">
        <f t="shared" si="26"/>
        <v/>
      </c>
      <c r="T60" s="205" t="str">
        <f t="shared" si="27"/>
        <v/>
      </c>
      <c r="U60" s="205" t="str">
        <f t="shared" si="28"/>
        <v/>
      </c>
      <c r="V60" s="205" t="str">
        <f t="shared" si="29"/>
        <v/>
      </c>
    </row>
    <row r="61" spans="1:22">
      <c r="A61" s="247" t="str">
        <f t="shared" si="12"/>
        <v/>
      </c>
      <c r="B61" s="248" t="str">
        <f t="shared" si="13"/>
        <v/>
      </c>
      <c r="C61" s="247" t="str">
        <f t="shared" si="14"/>
        <v/>
      </c>
      <c r="D61" s="248" t="str">
        <f t="shared" si="15"/>
        <v/>
      </c>
      <c r="E61" s="2">
        <v>40</v>
      </c>
      <c r="F61" s="160"/>
      <c r="G61" s="160"/>
      <c r="H61" s="160"/>
      <c r="I61" s="2" t="str">
        <f t="shared" si="16"/>
        <v/>
      </c>
      <c r="J61" s="2" t="str">
        <f t="shared" si="19"/>
        <v/>
      </c>
      <c r="K61" s="3" t="str">
        <f t="shared" si="20"/>
        <v/>
      </c>
      <c r="M61" s="4" t="str">
        <f t="shared" si="30"/>
        <v/>
      </c>
      <c r="N61" s="4" t="str">
        <f t="shared" si="21"/>
        <v/>
      </c>
      <c r="O61" s="4" t="str">
        <f t="shared" si="22"/>
        <v/>
      </c>
      <c r="P61" s="4" t="str">
        <f t="shared" si="23"/>
        <v/>
      </c>
      <c r="Q61" s="4" t="str">
        <f t="shared" si="24"/>
        <v/>
      </c>
      <c r="R61" s="4" t="str">
        <f t="shared" si="25"/>
        <v/>
      </c>
      <c r="S61" s="4" t="str">
        <f t="shared" si="26"/>
        <v/>
      </c>
      <c r="T61" s="205" t="str">
        <f t="shared" si="27"/>
        <v/>
      </c>
      <c r="U61" s="205" t="str">
        <f t="shared" si="28"/>
        <v/>
      </c>
      <c r="V61" s="205" t="str">
        <f t="shared" si="29"/>
        <v/>
      </c>
    </row>
    <row r="62" spans="1:22">
      <c r="A62" s="247" t="str">
        <f t="shared" si="12"/>
        <v/>
      </c>
      <c r="B62" s="248" t="str">
        <f t="shared" si="13"/>
        <v/>
      </c>
      <c r="C62" s="247" t="str">
        <f t="shared" si="14"/>
        <v/>
      </c>
      <c r="D62" s="248" t="str">
        <f t="shared" si="15"/>
        <v/>
      </c>
      <c r="E62" s="2">
        <v>41</v>
      </c>
      <c r="F62" s="160"/>
      <c r="G62" s="160"/>
      <c r="H62" s="160"/>
      <c r="I62" s="2" t="str">
        <f t="shared" si="16"/>
        <v/>
      </c>
      <c r="J62" s="2" t="str">
        <f t="shared" si="19"/>
        <v/>
      </c>
      <c r="K62" s="3" t="str">
        <f t="shared" si="20"/>
        <v/>
      </c>
      <c r="M62" s="4" t="str">
        <f t="shared" si="30"/>
        <v/>
      </c>
      <c r="N62" s="4" t="str">
        <f t="shared" si="21"/>
        <v/>
      </c>
      <c r="O62" s="4" t="str">
        <f t="shared" si="22"/>
        <v/>
      </c>
      <c r="P62" s="4" t="str">
        <f t="shared" si="23"/>
        <v/>
      </c>
      <c r="Q62" s="4" t="str">
        <f t="shared" si="24"/>
        <v/>
      </c>
      <c r="R62" s="4" t="str">
        <f t="shared" si="25"/>
        <v/>
      </c>
      <c r="S62" s="4" t="str">
        <f t="shared" si="26"/>
        <v/>
      </c>
      <c r="T62" s="205" t="str">
        <f t="shared" si="27"/>
        <v/>
      </c>
      <c r="U62" s="205" t="str">
        <f t="shared" si="28"/>
        <v/>
      </c>
      <c r="V62" s="205" t="str">
        <f t="shared" si="29"/>
        <v/>
      </c>
    </row>
    <row r="63" spans="1:22">
      <c r="A63" s="247" t="str">
        <f t="shared" si="12"/>
        <v/>
      </c>
      <c r="B63" s="248" t="str">
        <f t="shared" si="13"/>
        <v/>
      </c>
      <c r="C63" s="247" t="str">
        <f t="shared" si="14"/>
        <v/>
      </c>
      <c r="D63" s="248" t="str">
        <f t="shared" si="15"/>
        <v/>
      </c>
      <c r="E63" s="2">
        <v>42</v>
      </c>
      <c r="F63" s="160"/>
      <c r="G63" s="160"/>
      <c r="H63" s="160"/>
      <c r="I63" s="2" t="str">
        <f t="shared" si="16"/>
        <v/>
      </c>
      <c r="J63" s="2" t="str">
        <f t="shared" si="19"/>
        <v/>
      </c>
      <c r="K63" s="3" t="str">
        <f t="shared" si="20"/>
        <v/>
      </c>
      <c r="M63" s="4" t="str">
        <f t="shared" si="30"/>
        <v/>
      </c>
      <c r="N63" s="4" t="str">
        <f t="shared" si="21"/>
        <v/>
      </c>
      <c r="O63" s="4" t="str">
        <f t="shared" si="22"/>
        <v/>
      </c>
      <c r="P63" s="4" t="str">
        <f t="shared" si="23"/>
        <v/>
      </c>
      <c r="Q63" s="4" t="str">
        <f t="shared" si="24"/>
        <v/>
      </c>
      <c r="R63" s="4" t="str">
        <f t="shared" si="25"/>
        <v/>
      </c>
      <c r="S63" s="4" t="str">
        <f t="shared" si="26"/>
        <v/>
      </c>
      <c r="T63" s="205" t="str">
        <f t="shared" si="27"/>
        <v/>
      </c>
      <c r="U63" s="205" t="str">
        <f t="shared" si="28"/>
        <v/>
      </c>
      <c r="V63" s="205" t="str">
        <f t="shared" si="29"/>
        <v/>
      </c>
    </row>
    <row r="64" spans="1:22">
      <c r="A64" s="247" t="str">
        <f t="shared" si="12"/>
        <v/>
      </c>
      <c r="B64" s="248" t="str">
        <f t="shared" si="13"/>
        <v/>
      </c>
      <c r="C64" s="247" t="str">
        <f t="shared" si="14"/>
        <v/>
      </c>
      <c r="D64" s="248" t="str">
        <f t="shared" si="15"/>
        <v/>
      </c>
      <c r="E64" s="2">
        <v>43</v>
      </c>
      <c r="F64" s="160"/>
      <c r="G64" s="160"/>
      <c r="H64" s="160"/>
      <c r="I64" s="2" t="str">
        <f t="shared" si="16"/>
        <v/>
      </c>
      <c r="J64" s="2" t="str">
        <f t="shared" si="19"/>
        <v/>
      </c>
      <c r="K64" s="3" t="str">
        <f t="shared" si="20"/>
        <v/>
      </c>
      <c r="M64" s="4" t="str">
        <f t="shared" si="30"/>
        <v/>
      </c>
      <c r="N64" s="4" t="str">
        <f t="shared" si="21"/>
        <v/>
      </c>
      <c r="O64" s="4" t="str">
        <f t="shared" si="22"/>
        <v/>
      </c>
      <c r="P64" s="4" t="str">
        <f t="shared" si="23"/>
        <v/>
      </c>
      <c r="Q64" s="4" t="str">
        <f t="shared" si="24"/>
        <v/>
      </c>
      <c r="R64" s="4" t="str">
        <f t="shared" si="25"/>
        <v/>
      </c>
      <c r="S64" s="4" t="str">
        <f t="shared" si="26"/>
        <v/>
      </c>
      <c r="T64" s="205" t="str">
        <f t="shared" si="27"/>
        <v/>
      </c>
      <c r="U64" s="205" t="str">
        <f t="shared" si="28"/>
        <v/>
      </c>
      <c r="V64" s="205" t="str">
        <f t="shared" si="29"/>
        <v/>
      </c>
    </row>
    <row r="65" spans="1:22">
      <c r="A65" s="247" t="str">
        <f t="shared" si="12"/>
        <v/>
      </c>
      <c r="B65" s="248" t="str">
        <f t="shared" si="13"/>
        <v/>
      </c>
      <c r="C65" s="247" t="str">
        <f t="shared" si="14"/>
        <v/>
      </c>
      <c r="D65" s="248" t="str">
        <f t="shared" si="15"/>
        <v/>
      </c>
      <c r="E65" s="2">
        <v>44</v>
      </c>
      <c r="F65" s="160"/>
      <c r="G65" s="160"/>
      <c r="H65" s="160"/>
      <c r="I65" s="2" t="str">
        <f t="shared" si="16"/>
        <v/>
      </c>
      <c r="J65" s="2" t="str">
        <f t="shared" si="19"/>
        <v/>
      </c>
      <c r="K65" s="3" t="str">
        <f t="shared" si="20"/>
        <v/>
      </c>
      <c r="M65" s="4" t="str">
        <f t="shared" si="30"/>
        <v/>
      </c>
      <c r="N65" s="4" t="str">
        <f t="shared" si="21"/>
        <v/>
      </c>
      <c r="O65" s="4" t="str">
        <f t="shared" si="22"/>
        <v/>
      </c>
      <c r="P65" s="4" t="str">
        <f t="shared" si="23"/>
        <v/>
      </c>
      <c r="Q65" s="4" t="str">
        <f t="shared" si="24"/>
        <v/>
      </c>
      <c r="R65" s="4" t="str">
        <f t="shared" si="25"/>
        <v/>
      </c>
      <c r="S65" s="4" t="str">
        <f t="shared" si="26"/>
        <v/>
      </c>
      <c r="T65" s="205" t="str">
        <f t="shared" si="27"/>
        <v/>
      </c>
      <c r="U65" s="205" t="str">
        <f t="shared" si="28"/>
        <v/>
      </c>
      <c r="V65" s="205" t="str">
        <f t="shared" si="29"/>
        <v/>
      </c>
    </row>
    <row r="66" spans="1:22">
      <c r="A66" s="247" t="str">
        <f t="shared" si="12"/>
        <v/>
      </c>
      <c r="B66" s="248" t="str">
        <f t="shared" si="13"/>
        <v/>
      </c>
      <c r="C66" s="247" t="str">
        <f t="shared" si="14"/>
        <v/>
      </c>
      <c r="D66" s="248" t="str">
        <f t="shared" si="15"/>
        <v/>
      </c>
      <c r="E66" s="2">
        <v>45</v>
      </c>
      <c r="F66" s="160"/>
      <c r="G66" s="160"/>
      <c r="H66" s="160"/>
      <c r="I66" s="2" t="str">
        <f t="shared" si="16"/>
        <v/>
      </c>
      <c r="J66" s="2" t="str">
        <f t="shared" si="19"/>
        <v/>
      </c>
      <c r="K66" s="3" t="str">
        <f t="shared" si="20"/>
        <v/>
      </c>
      <c r="M66" s="4" t="str">
        <f t="shared" si="30"/>
        <v/>
      </c>
      <c r="N66" s="4" t="str">
        <f t="shared" si="21"/>
        <v/>
      </c>
      <c r="O66" s="4" t="str">
        <f t="shared" si="22"/>
        <v/>
      </c>
      <c r="P66" s="4" t="str">
        <f t="shared" si="23"/>
        <v/>
      </c>
      <c r="Q66" s="4" t="str">
        <f t="shared" si="24"/>
        <v/>
      </c>
      <c r="R66" s="4" t="str">
        <f t="shared" si="25"/>
        <v/>
      </c>
      <c r="S66" s="4" t="str">
        <f t="shared" si="26"/>
        <v/>
      </c>
      <c r="T66" s="205" t="str">
        <f t="shared" si="27"/>
        <v/>
      </c>
      <c r="U66" s="205" t="str">
        <f t="shared" si="28"/>
        <v/>
      </c>
      <c r="V66" s="205" t="str">
        <f t="shared" si="29"/>
        <v/>
      </c>
    </row>
    <row r="67" spans="1:22">
      <c r="A67" s="247" t="str">
        <f t="shared" si="12"/>
        <v/>
      </c>
      <c r="B67" s="248" t="str">
        <f t="shared" si="13"/>
        <v/>
      </c>
      <c r="C67" s="247" t="str">
        <f t="shared" si="14"/>
        <v/>
      </c>
      <c r="D67" s="248" t="str">
        <f t="shared" si="15"/>
        <v/>
      </c>
      <c r="E67" s="2">
        <v>46</v>
      </c>
      <c r="F67" s="160"/>
      <c r="G67" s="160"/>
      <c r="H67" s="160"/>
      <c r="I67" s="2" t="str">
        <f t="shared" si="16"/>
        <v/>
      </c>
      <c r="J67" s="2" t="str">
        <f t="shared" si="19"/>
        <v/>
      </c>
      <c r="K67" s="3" t="str">
        <f t="shared" si="20"/>
        <v/>
      </c>
      <c r="M67" s="4" t="str">
        <f t="shared" si="30"/>
        <v/>
      </c>
      <c r="N67" s="4" t="str">
        <f t="shared" si="21"/>
        <v/>
      </c>
      <c r="O67" s="4" t="str">
        <f t="shared" si="22"/>
        <v/>
      </c>
      <c r="P67" s="4" t="str">
        <f t="shared" si="23"/>
        <v/>
      </c>
      <c r="Q67" s="4" t="str">
        <f t="shared" si="24"/>
        <v/>
      </c>
      <c r="R67" s="4" t="str">
        <f t="shared" si="25"/>
        <v/>
      </c>
      <c r="S67" s="4" t="str">
        <f t="shared" si="26"/>
        <v/>
      </c>
      <c r="T67" s="205" t="str">
        <f t="shared" si="27"/>
        <v/>
      </c>
      <c r="U67" s="205" t="str">
        <f t="shared" si="28"/>
        <v/>
      </c>
      <c r="V67" s="205" t="str">
        <f t="shared" si="29"/>
        <v/>
      </c>
    </row>
    <row r="68" spans="1:22">
      <c r="A68" s="247" t="str">
        <f t="shared" si="12"/>
        <v/>
      </c>
      <c r="B68" s="248" t="str">
        <f t="shared" si="13"/>
        <v/>
      </c>
      <c r="C68" s="247" t="str">
        <f t="shared" si="14"/>
        <v/>
      </c>
      <c r="D68" s="248" t="str">
        <f t="shared" si="15"/>
        <v/>
      </c>
      <c r="E68" s="2">
        <v>47</v>
      </c>
      <c r="F68" s="160"/>
      <c r="G68" s="160"/>
      <c r="H68" s="160"/>
      <c r="I68" s="2" t="str">
        <f t="shared" si="16"/>
        <v/>
      </c>
      <c r="J68" s="2" t="str">
        <f t="shared" si="19"/>
        <v/>
      </c>
      <c r="K68" s="3" t="str">
        <f t="shared" si="20"/>
        <v/>
      </c>
      <c r="M68" s="4" t="str">
        <f t="shared" si="30"/>
        <v/>
      </c>
      <c r="N68" s="4" t="str">
        <f t="shared" si="21"/>
        <v/>
      </c>
      <c r="O68" s="4" t="str">
        <f t="shared" si="22"/>
        <v/>
      </c>
      <c r="P68" s="4" t="str">
        <f t="shared" si="23"/>
        <v/>
      </c>
      <c r="Q68" s="4" t="str">
        <f t="shared" si="24"/>
        <v/>
      </c>
      <c r="R68" s="4" t="str">
        <f t="shared" si="25"/>
        <v/>
      </c>
      <c r="S68" s="4" t="str">
        <f t="shared" si="26"/>
        <v/>
      </c>
      <c r="T68" s="205" t="str">
        <f t="shared" si="27"/>
        <v/>
      </c>
      <c r="U68" s="205" t="str">
        <f t="shared" si="28"/>
        <v/>
      </c>
      <c r="V68" s="205" t="str">
        <f t="shared" si="29"/>
        <v/>
      </c>
    </row>
    <row r="69" spans="1:22">
      <c r="A69" s="247" t="str">
        <f t="shared" si="12"/>
        <v/>
      </c>
      <c r="B69" s="248" t="str">
        <f t="shared" si="13"/>
        <v/>
      </c>
      <c r="C69" s="247" t="str">
        <f t="shared" si="14"/>
        <v/>
      </c>
      <c r="D69" s="248" t="str">
        <f t="shared" si="15"/>
        <v/>
      </c>
      <c r="E69" s="2">
        <v>48</v>
      </c>
      <c r="F69" s="160"/>
      <c r="G69" s="160"/>
      <c r="H69" s="160"/>
      <c r="I69" s="2" t="str">
        <f t="shared" si="16"/>
        <v/>
      </c>
      <c r="J69" s="2" t="str">
        <f t="shared" si="19"/>
        <v/>
      </c>
      <c r="K69" s="3" t="str">
        <f t="shared" si="20"/>
        <v/>
      </c>
      <c r="M69" s="4" t="str">
        <f t="shared" si="30"/>
        <v/>
      </c>
      <c r="N69" s="4" t="str">
        <f t="shared" si="21"/>
        <v/>
      </c>
      <c r="O69" s="4" t="str">
        <f t="shared" si="22"/>
        <v/>
      </c>
      <c r="P69" s="4" t="str">
        <f t="shared" si="23"/>
        <v/>
      </c>
      <c r="Q69" s="4" t="str">
        <f t="shared" si="24"/>
        <v/>
      </c>
      <c r="R69" s="4" t="str">
        <f t="shared" si="25"/>
        <v/>
      </c>
      <c r="S69" s="4" t="str">
        <f t="shared" si="26"/>
        <v/>
      </c>
      <c r="T69" s="205" t="str">
        <f t="shared" si="27"/>
        <v/>
      </c>
      <c r="U69" s="205" t="str">
        <f t="shared" si="28"/>
        <v/>
      </c>
      <c r="V69" s="205" t="str">
        <f t="shared" si="29"/>
        <v/>
      </c>
    </row>
    <row r="70" spans="1:22">
      <c r="A70" s="247" t="str">
        <f t="shared" si="12"/>
        <v/>
      </c>
      <c r="B70" s="248" t="str">
        <f t="shared" si="13"/>
        <v/>
      </c>
      <c r="C70" s="247" t="str">
        <f t="shared" si="14"/>
        <v/>
      </c>
      <c r="D70" s="248" t="str">
        <f t="shared" si="15"/>
        <v/>
      </c>
      <c r="E70" s="2">
        <v>49</v>
      </c>
      <c r="F70" s="160"/>
      <c r="G70" s="160"/>
      <c r="H70" s="160"/>
      <c r="I70" s="2" t="str">
        <f t="shared" si="16"/>
        <v/>
      </c>
      <c r="J70" s="2" t="str">
        <f t="shared" si="19"/>
        <v/>
      </c>
      <c r="K70" s="3" t="str">
        <f t="shared" si="20"/>
        <v/>
      </c>
      <c r="M70" s="4" t="str">
        <f t="shared" si="30"/>
        <v/>
      </c>
      <c r="N70" s="4" t="str">
        <f t="shared" si="21"/>
        <v/>
      </c>
      <c r="O70" s="4" t="str">
        <f t="shared" si="22"/>
        <v/>
      </c>
      <c r="P70" s="4" t="str">
        <f t="shared" si="23"/>
        <v/>
      </c>
      <c r="Q70" s="4" t="str">
        <f t="shared" si="24"/>
        <v/>
      </c>
      <c r="R70" s="4" t="str">
        <f t="shared" si="25"/>
        <v/>
      </c>
      <c r="S70" s="4" t="str">
        <f t="shared" si="26"/>
        <v/>
      </c>
      <c r="T70" s="205" t="str">
        <f t="shared" si="27"/>
        <v/>
      </c>
      <c r="U70" s="205" t="str">
        <f t="shared" si="28"/>
        <v/>
      </c>
      <c r="V70" s="205" t="str">
        <f t="shared" si="29"/>
        <v/>
      </c>
    </row>
    <row r="71" spans="1:22">
      <c r="A71" s="247" t="str">
        <f t="shared" si="12"/>
        <v/>
      </c>
      <c r="B71" s="248" t="str">
        <f t="shared" si="13"/>
        <v/>
      </c>
      <c r="C71" s="247" t="str">
        <f t="shared" si="14"/>
        <v/>
      </c>
      <c r="D71" s="248" t="str">
        <f t="shared" si="15"/>
        <v/>
      </c>
      <c r="E71" s="2">
        <v>50</v>
      </c>
      <c r="F71" s="160"/>
      <c r="G71" s="160"/>
      <c r="H71" s="160"/>
      <c r="I71" s="2" t="str">
        <f t="shared" si="16"/>
        <v/>
      </c>
      <c r="J71" s="2" t="str">
        <f t="shared" si="19"/>
        <v/>
      </c>
      <c r="K71" s="3" t="str">
        <f t="shared" si="20"/>
        <v/>
      </c>
      <c r="M71" s="4" t="str">
        <f t="shared" si="30"/>
        <v/>
      </c>
      <c r="N71" s="4" t="str">
        <f t="shared" si="21"/>
        <v/>
      </c>
      <c r="O71" s="4" t="str">
        <f t="shared" si="22"/>
        <v/>
      </c>
      <c r="P71" s="4" t="str">
        <f t="shared" si="23"/>
        <v/>
      </c>
      <c r="Q71" s="4" t="str">
        <f t="shared" si="24"/>
        <v/>
      </c>
      <c r="R71" s="4" t="str">
        <f t="shared" si="25"/>
        <v/>
      </c>
      <c r="S71" s="4" t="str">
        <f t="shared" si="26"/>
        <v/>
      </c>
      <c r="T71" s="205" t="str">
        <f t="shared" si="27"/>
        <v/>
      </c>
      <c r="U71" s="205" t="str">
        <f t="shared" si="28"/>
        <v/>
      </c>
      <c r="V71" s="205" t="str">
        <f t="shared" si="29"/>
        <v/>
      </c>
    </row>
    <row r="72" spans="1:22">
      <c r="A72" s="247" t="str">
        <f t="shared" si="12"/>
        <v/>
      </c>
      <c r="B72" s="248" t="str">
        <f t="shared" si="13"/>
        <v/>
      </c>
      <c r="C72" s="247" t="str">
        <f t="shared" si="14"/>
        <v/>
      </c>
      <c r="D72" s="248" t="str">
        <f t="shared" si="15"/>
        <v/>
      </c>
      <c r="E72" s="2">
        <v>51</v>
      </c>
      <c r="F72" s="160"/>
      <c r="G72" s="160"/>
      <c r="H72" s="160"/>
      <c r="I72" s="2" t="str">
        <f t="shared" si="16"/>
        <v/>
      </c>
      <c r="J72" s="2" t="str">
        <f t="shared" si="19"/>
        <v/>
      </c>
      <c r="K72" s="3" t="str">
        <f t="shared" si="20"/>
        <v/>
      </c>
      <c r="M72" s="4" t="str">
        <f t="shared" si="30"/>
        <v/>
      </c>
      <c r="N72" s="4" t="str">
        <f t="shared" si="21"/>
        <v/>
      </c>
      <c r="O72" s="4" t="str">
        <f t="shared" si="22"/>
        <v/>
      </c>
      <c r="P72" s="4" t="str">
        <f t="shared" si="23"/>
        <v/>
      </c>
      <c r="Q72" s="4" t="str">
        <f t="shared" si="24"/>
        <v/>
      </c>
      <c r="R72" s="4" t="str">
        <f t="shared" si="25"/>
        <v/>
      </c>
      <c r="S72" s="4" t="str">
        <f t="shared" si="26"/>
        <v/>
      </c>
      <c r="T72" s="205" t="str">
        <f t="shared" si="27"/>
        <v/>
      </c>
      <c r="U72" s="205" t="str">
        <f t="shared" si="28"/>
        <v/>
      </c>
      <c r="V72" s="205" t="str">
        <f t="shared" si="29"/>
        <v/>
      </c>
    </row>
    <row r="73" spans="1:22">
      <c r="A73" s="247" t="str">
        <f t="shared" si="12"/>
        <v/>
      </c>
      <c r="B73" s="248" t="str">
        <f t="shared" si="13"/>
        <v/>
      </c>
      <c r="C73" s="247" t="str">
        <f t="shared" si="14"/>
        <v/>
      </c>
      <c r="D73" s="248" t="str">
        <f t="shared" si="15"/>
        <v/>
      </c>
      <c r="E73" s="2">
        <v>52</v>
      </c>
      <c r="F73" s="160"/>
      <c r="G73" s="160"/>
      <c r="H73" s="160"/>
      <c r="I73" s="2" t="str">
        <f t="shared" si="16"/>
        <v/>
      </c>
      <c r="J73" s="2" t="str">
        <f t="shared" si="19"/>
        <v/>
      </c>
      <c r="K73" s="3" t="str">
        <f t="shared" si="20"/>
        <v/>
      </c>
      <c r="M73" s="4" t="str">
        <f t="shared" si="30"/>
        <v/>
      </c>
      <c r="N73" s="4" t="str">
        <f t="shared" si="21"/>
        <v/>
      </c>
      <c r="O73" s="4" t="str">
        <f t="shared" si="22"/>
        <v/>
      </c>
      <c r="P73" s="4" t="str">
        <f t="shared" si="23"/>
        <v/>
      </c>
      <c r="Q73" s="4" t="str">
        <f t="shared" si="24"/>
        <v/>
      </c>
      <c r="R73" s="4" t="str">
        <f t="shared" si="25"/>
        <v/>
      </c>
      <c r="S73" s="4" t="str">
        <f t="shared" si="26"/>
        <v/>
      </c>
      <c r="T73" s="205" t="str">
        <f t="shared" si="27"/>
        <v/>
      </c>
      <c r="U73" s="205" t="str">
        <f t="shared" si="28"/>
        <v/>
      </c>
      <c r="V73" s="205" t="str">
        <f t="shared" si="29"/>
        <v/>
      </c>
    </row>
    <row r="74" spans="1:22">
      <c r="A74" s="247" t="str">
        <f t="shared" si="12"/>
        <v/>
      </c>
      <c r="B74" s="248" t="str">
        <f t="shared" si="13"/>
        <v/>
      </c>
      <c r="C74" s="247" t="str">
        <f t="shared" si="14"/>
        <v/>
      </c>
      <c r="D74" s="248" t="str">
        <f t="shared" si="15"/>
        <v/>
      </c>
      <c r="E74" s="2">
        <v>53</v>
      </c>
      <c r="F74" s="160"/>
      <c r="G74" s="160"/>
      <c r="H74" s="160"/>
      <c r="I74" s="2" t="str">
        <f t="shared" si="16"/>
        <v/>
      </c>
      <c r="J74" s="2" t="str">
        <f t="shared" si="19"/>
        <v/>
      </c>
      <c r="K74" s="3" t="str">
        <f t="shared" si="20"/>
        <v/>
      </c>
      <c r="M74" s="4" t="str">
        <f t="shared" si="30"/>
        <v/>
      </c>
      <c r="N74" s="4" t="str">
        <f t="shared" si="21"/>
        <v/>
      </c>
      <c r="O74" s="4" t="str">
        <f t="shared" si="22"/>
        <v/>
      </c>
      <c r="P74" s="4" t="str">
        <f t="shared" si="23"/>
        <v/>
      </c>
      <c r="Q74" s="4" t="str">
        <f t="shared" si="24"/>
        <v/>
      </c>
      <c r="R74" s="4" t="str">
        <f t="shared" si="25"/>
        <v/>
      </c>
      <c r="S74" s="4" t="str">
        <f t="shared" si="26"/>
        <v/>
      </c>
      <c r="T74" s="205" t="str">
        <f t="shared" si="27"/>
        <v/>
      </c>
      <c r="U74" s="205" t="str">
        <f t="shared" si="28"/>
        <v/>
      </c>
      <c r="V74" s="205" t="str">
        <f t="shared" si="29"/>
        <v/>
      </c>
    </row>
    <row r="75" spans="1:22">
      <c r="A75" s="247" t="str">
        <f t="shared" si="12"/>
        <v/>
      </c>
      <c r="B75" s="248" t="str">
        <f t="shared" si="13"/>
        <v/>
      </c>
      <c r="C75" s="247" t="str">
        <f t="shared" si="14"/>
        <v/>
      </c>
      <c r="D75" s="248" t="str">
        <f t="shared" si="15"/>
        <v/>
      </c>
      <c r="E75" s="2">
        <v>54</v>
      </c>
      <c r="F75" s="160"/>
      <c r="G75" s="160"/>
      <c r="H75" s="160"/>
      <c r="I75" s="2" t="str">
        <f t="shared" si="16"/>
        <v/>
      </c>
      <c r="J75" s="2" t="str">
        <f t="shared" si="19"/>
        <v/>
      </c>
      <c r="K75" s="3" t="str">
        <f t="shared" si="20"/>
        <v/>
      </c>
      <c r="M75" s="4" t="str">
        <f t="shared" si="30"/>
        <v/>
      </c>
      <c r="N75" s="4" t="str">
        <f t="shared" si="21"/>
        <v/>
      </c>
      <c r="O75" s="4" t="str">
        <f t="shared" si="22"/>
        <v/>
      </c>
      <c r="P75" s="4" t="str">
        <f t="shared" si="23"/>
        <v/>
      </c>
      <c r="Q75" s="4" t="str">
        <f t="shared" si="24"/>
        <v/>
      </c>
      <c r="R75" s="4" t="str">
        <f t="shared" si="25"/>
        <v/>
      </c>
      <c r="S75" s="4" t="str">
        <f t="shared" si="26"/>
        <v/>
      </c>
      <c r="T75" s="205" t="str">
        <f t="shared" si="27"/>
        <v/>
      </c>
      <c r="U75" s="205" t="str">
        <f t="shared" si="28"/>
        <v/>
      </c>
      <c r="V75" s="205" t="str">
        <f t="shared" si="29"/>
        <v/>
      </c>
    </row>
    <row r="76" spans="1:22">
      <c r="A76" s="247" t="str">
        <f t="shared" si="12"/>
        <v/>
      </c>
      <c r="B76" s="248" t="str">
        <f t="shared" si="13"/>
        <v/>
      </c>
      <c r="C76" s="247" t="str">
        <f t="shared" si="14"/>
        <v/>
      </c>
      <c r="D76" s="248" t="str">
        <f t="shared" si="15"/>
        <v/>
      </c>
      <c r="E76" s="2">
        <v>55</v>
      </c>
      <c r="F76" s="160"/>
      <c r="G76" s="160"/>
      <c r="H76" s="160"/>
      <c r="I76" s="2" t="str">
        <f t="shared" si="16"/>
        <v/>
      </c>
      <c r="J76" s="2" t="str">
        <f t="shared" si="19"/>
        <v/>
      </c>
      <c r="K76" s="3" t="str">
        <f t="shared" si="20"/>
        <v/>
      </c>
      <c r="M76" s="4" t="str">
        <f t="shared" si="30"/>
        <v/>
      </c>
      <c r="N76" s="4" t="str">
        <f t="shared" si="21"/>
        <v/>
      </c>
      <c r="O76" s="4" t="str">
        <f t="shared" si="22"/>
        <v/>
      </c>
      <c r="P76" s="4" t="str">
        <f t="shared" si="23"/>
        <v/>
      </c>
      <c r="Q76" s="4" t="str">
        <f t="shared" si="24"/>
        <v/>
      </c>
      <c r="R76" s="4" t="str">
        <f t="shared" si="25"/>
        <v/>
      </c>
      <c r="S76" s="4" t="str">
        <f t="shared" si="26"/>
        <v/>
      </c>
      <c r="T76" s="205" t="str">
        <f t="shared" si="27"/>
        <v/>
      </c>
      <c r="U76" s="205" t="str">
        <f t="shared" si="28"/>
        <v/>
      </c>
      <c r="V76" s="205" t="str">
        <f t="shared" si="29"/>
        <v/>
      </c>
    </row>
    <row r="77" spans="1:22">
      <c r="A77" s="247" t="str">
        <f t="shared" si="12"/>
        <v/>
      </c>
      <c r="B77" s="248" t="str">
        <f t="shared" si="13"/>
        <v/>
      </c>
      <c r="C77" s="247" t="str">
        <f t="shared" si="14"/>
        <v/>
      </c>
      <c r="D77" s="248" t="str">
        <f t="shared" si="15"/>
        <v/>
      </c>
      <c r="E77" s="2">
        <v>56</v>
      </c>
      <c r="F77" s="160"/>
      <c r="G77" s="160"/>
      <c r="H77" s="160"/>
      <c r="I77" s="2" t="str">
        <f t="shared" si="16"/>
        <v/>
      </c>
      <c r="J77" s="2" t="str">
        <f t="shared" si="19"/>
        <v/>
      </c>
      <c r="K77" s="3" t="str">
        <f t="shared" si="20"/>
        <v/>
      </c>
      <c r="M77" s="4" t="str">
        <f t="shared" si="30"/>
        <v/>
      </c>
      <c r="N77" s="4" t="str">
        <f t="shared" si="21"/>
        <v/>
      </c>
      <c r="O77" s="4" t="str">
        <f t="shared" si="22"/>
        <v/>
      </c>
      <c r="P77" s="4" t="str">
        <f t="shared" si="23"/>
        <v/>
      </c>
      <c r="Q77" s="4" t="str">
        <f t="shared" si="24"/>
        <v/>
      </c>
      <c r="R77" s="4" t="str">
        <f t="shared" si="25"/>
        <v/>
      </c>
      <c r="S77" s="4" t="str">
        <f t="shared" si="26"/>
        <v/>
      </c>
      <c r="T77" s="205" t="str">
        <f t="shared" si="27"/>
        <v/>
      </c>
      <c r="U77" s="205" t="str">
        <f t="shared" si="28"/>
        <v/>
      </c>
      <c r="V77" s="205" t="str">
        <f t="shared" si="29"/>
        <v/>
      </c>
    </row>
    <row r="78" spans="1:22">
      <c r="A78" s="247" t="str">
        <f t="shared" si="12"/>
        <v/>
      </c>
      <c r="B78" s="248" t="str">
        <f t="shared" si="13"/>
        <v/>
      </c>
      <c r="C78" s="247" t="str">
        <f t="shared" si="14"/>
        <v/>
      </c>
      <c r="D78" s="248" t="str">
        <f t="shared" si="15"/>
        <v/>
      </c>
      <c r="E78" s="2">
        <v>57</v>
      </c>
      <c r="F78" s="160"/>
      <c r="G78" s="160"/>
      <c r="H78" s="160"/>
      <c r="I78" s="2" t="str">
        <f t="shared" si="16"/>
        <v/>
      </c>
      <c r="J78" s="2" t="str">
        <f t="shared" si="19"/>
        <v/>
      </c>
      <c r="K78" s="3" t="str">
        <f t="shared" si="20"/>
        <v/>
      </c>
      <c r="M78" s="4" t="str">
        <f t="shared" si="30"/>
        <v/>
      </c>
      <c r="N78" s="4" t="str">
        <f t="shared" si="21"/>
        <v/>
      </c>
      <c r="O78" s="4" t="str">
        <f t="shared" si="22"/>
        <v/>
      </c>
      <c r="P78" s="4" t="str">
        <f t="shared" si="23"/>
        <v/>
      </c>
      <c r="Q78" s="4" t="str">
        <f t="shared" si="24"/>
        <v/>
      </c>
      <c r="R78" s="4" t="str">
        <f t="shared" si="25"/>
        <v/>
      </c>
      <c r="S78" s="4" t="str">
        <f t="shared" si="26"/>
        <v/>
      </c>
      <c r="T78" s="205" t="str">
        <f t="shared" si="27"/>
        <v/>
      </c>
      <c r="U78" s="205" t="str">
        <f t="shared" si="28"/>
        <v/>
      </c>
      <c r="V78" s="205" t="str">
        <f t="shared" si="29"/>
        <v/>
      </c>
    </row>
    <row r="79" spans="1:22">
      <c r="A79" s="247" t="str">
        <f t="shared" si="12"/>
        <v/>
      </c>
      <c r="B79" s="248" t="str">
        <f t="shared" si="13"/>
        <v/>
      </c>
      <c r="C79" s="247" t="str">
        <f t="shared" si="14"/>
        <v/>
      </c>
      <c r="D79" s="248" t="str">
        <f t="shared" si="15"/>
        <v/>
      </c>
      <c r="E79" s="2">
        <v>58</v>
      </c>
      <c r="F79" s="160"/>
      <c r="G79" s="160"/>
      <c r="H79" s="160"/>
      <c r="I79" s="2" t="str">
        <f t="shared" si="16"/>
        <v/>
      </c>
      <c r="J79" s="2" t="str">
        <f t="shared" si="19"/>
        <v/>
      </c>
      <c r="K79" s="3" t="str">
        <f t="shared" si="20"/>
        <v/>
      </c>
      <c r="M79" s="4" t="str">
        <f t="shared" si="30"/>
        <v/>
      </c>
      <c r="N79" s="4" t="str">
        <f t="shared" si="21"/>
        <v/>
      </c>
      <c r="O79" s="4" t="str">
        <f t="shared" si="22"/>
        <v/>
      </c>
      <c r="P79" s="4" t="str">
        <f t="shared" si="23"/>
        <v/>
      </c>
      <c r="Q79" s="4" t="str">
        <f t="shared" si="24"/>
        <v/>
      </c>
      <c r="R79" s="4" t="str">
        <f t="shared" si="25"/>
        <v/>
      </c>
      <c r="S79" s="4" t="str">
        <f t="shared" si="26"/>
        <v/>
      </c>
      <c r="T79" s="205" t="str">
        <f t="shared" si="27"/>
        <v/>
      </c>
      <c r="U79" s="205" t="str">
        <f t="shared" si="28"/>
        <v/>
      </c>
      <c r="V79" s="205" t="str">
        <f t="shared" si="29"/>
        <v/>
      </c>
    </row>
    <row r="80" spans="1:22">
      <c r="A80" s="247" t="str">
        <f t="shared" si="12"/>
        <v/>
      </c>
      <c r="B80" s="248" t="str">
        <f t="shared" si="13"/>
        <v/>
      </c>
      <c r="C80" s="247" t="str">
        <f t="shared" si="14"/>
        <v/>
      </c>
      <c r="D80" s="248" t="str">
        <f t="shared" si="15"/>
        <v/>
      </c>
      <c r="E80" s="2">
        <v>59</v>
      </c>
      <c r="F80" s="160"/>
      <c r="G80" s="160"/>
      <c r="H80" s="160"/>
      <c r="I80" s="2" t="str">
        <f t="shared" si="16"/>
        <v/>
      </c>
      <c r="J80" s="2" t="str">
        <f t="shared" si="19"/>
        <v/>
      </c>
      <c r="K80" s="3" t="str">
        <f t="shared" si="20"/>
        <v/>
      </c>
      <c r="M80" s="4" t="str">
        <f t="shared" si="30"/>
        <v/>
      </c>
      <c r="N80" s="4" t="str">
        <f t="shared" si="21"/>
        <v/>
      </c>
      <c r="O80" s="4" t="str">
        <f t="shared" si="22"/>
        <v/>
      </c>
      <c r="P80" s="4" t="str">
        <f t="shared" si="23"/>
        <v/>
      </c>
      <c r="Q80" s="4" t="str">
        <f t="shared" si="24"/>
        <v/>
      </c>
      <c r="R80" s="4" t="str">
        <f t="shared" si="25"/>
        <v/>
      </c>
      <c r="S80" s="4" t="str">
        <f t="shared" si="26"/>
        <v/>
      </c>
      <c r="T80" s="205" t="str">
        <f t="shared" si="27"/>
        <v/>
      </c>
      <c r="U80" s="205" t="str">
        <f t="shared" si="28"/>
        <v/>
      </c>
      <c r="V80" s="205" t="str">
        <f t="shared" si="29"/>
        <v/>
      </c>
    </row>
    <row r="81" spans="1:22">
      <c r="A81" s="247" t="str">
        <f t="shared" si="12"/>
        <v/>
      </c>
      <c r="B81" s="248" t="str">
        <f t="shared" si="13"/>
        <v/>
      </c>
      <c r="C81" s="247" t="str">
        <f t="shared" si="14"/>
        <v/>
      </c>
      <c r="D81" s="248" t="str">
        <f t="shared" si="15"/>
        <v/>
      </c>
      <c r="E81" s="2">
        <v>60</v>
      </c>
      <c r="F81" s="160"/>
      <c r="G81" s="160"/>
      <c r="H81" s="160"/>
      <c r="I81" s="2" t="str">
        <f t="shared" si="16"/>
        <v/>
      </c>
      <c r="J81" s="2" t="str">
        <f t="shared" si="19"/>
        <v/>
      </c>
      <c r="K81" s="3" t="str">
        <f t="shared" si="20"/>
        <v/>
      </c>
      <c r="M81" s="4" t="str">
        <f t="shared" si="30"/>
        <v/>
      </c>
      <c r="N81" s="4" t="str">
        <f t="shared" si="21"/>
        <v/>
      </c>
      <c r="O81" s="4" t="str">
        <f t="shared" si="22"/>
        <v/>
      </c>
      <c r="P81" s="4" t="str">
        <f t="shared" si="23"/>
        <v/>
      </c>
      <c r="Q81" s="4" t="str">
        <f t="shared" si="24"/>
        <v/>
      </c>
      <c r="R81" s="4" t="str">
        <f t="shared" si="25"/>
        <v/>
      </c>
      <c r="S81" s="4" t="str">
        <f t="shared" si="26"/>
        <v/>
      </c>
      <c r="T81" s="205" t="str">
        <f t="shared" si="27"/>
        <v/>
      </c>
      <c r="U81" s="205" t="str">
        <f t="shared" si="28"/>
        <v/>
      </c>
      <c r="V81" s="205" t="str">
        <f t="shared" si="29"/>
        <v/>
      </c>
    </row>
    <row r="82" spans="1:22">
      <c r="A82" s="247" t="str">
        <f t="shared" si="12"/>
        <v/>
      </c>
      <c r="B82" s="248" t="str">
        <f t="shared" si="13"/>
        <v/>
      </c>
      <c r="C82" s="247" t="str">
        <f t="shared" si="14"/>
        <v/>
      </c>
      <c r="D82" s="248" t="str">
        <f t="shared" si="15"/>
        <v/>
      </c>
      <c r="E82" s="2">
        <v>61</v>
      </c>
      <c r="F82" s="160"/>
      <c r="G82" s="160"/>
      <c r="H82" s="160"/>
      <c r="I82" s="2" t="str">
        <f t="shared" si="16"/>
        <v/>
      </c>
      <c r="J82" s="2" t="str">
        <f t="shared" si="19"/>
        <v/>
      </c>
      <c r="K82" s="3" t="str">
        <f t="shared" si="20"/>
        <v/>
      </c>
      <c r="M82" s="4" t="str">
        <f t="shared" si="30"/>
        <v/>
      </c>
      <c r="N82" s="4" t="str">
        <f t="shared" si="21"/>
        <v/>
      </c>
      <c r="O82" s="4" t="str">
        <f t="shared" si="22"/>
        <v/>
      </c>
      <c r="P82" s="4" t="str">
        <f t="shared" si="23"/>
        <v/>
      </c>
      <c r="Q82" s="4" t="str">
        <f t="shared" si="24"/>
        <v/>
      </c>
      <c r="R82" s="4" t="str">
        <f t="shared" si="25"/>
        <v/>
      </c>
      <c r="S82" s="4" t="str">
        <f t="shared" si="26"/>
        <v/>
      </c>
      <c r="T82" s="205" t="str">
        <f t="shared" si="27"/>
        <v/>
      </c>
      <c r="U82" s="205" t="str">
        <f t="shared" si="28"/>
        <v/>
      </c>
      <c r="V82" s="205" t="str">
        <f t="shared" si="29"/>
        <v/>
      </c>
    </row>
    <row r="83" spans="1:22">
      <c r="A83" s="247" t="str">
        <f t="shared" si="12"/>
        <v/>
      </c>
      <c r="B83" s="248" t="str">
        <f t="shared" si="13"/>
        <v/>
      </c>
      <c r="C83" s="247" t="str">
        <f t="shared" si="14"/>
        <v/>
      </c>
      <c r="D83" s="248" t="str">
        <f t="shared" si="15"/>
        <v/>
      </c>
      <c r="E83" s="2">
        <v>62</v>
      </c>
      <c r="F83" s="160"/>
      <c r="G83" s="160"/>
      <c r="H83" s="160"/>
      <c r="I83" s="2" t="str">
        <f t="shared" si="16"/>
        <v/>
      </c>
      <c r="J83" s="2" t="str">
        <f t="shared" si="19"/>
        <v/>
      </c>
      <c r="K83" s="3" t="str">
        <f t="shared" si="20"/>
        <v/>
      </c>
      <c r="M83" s="4" t="str">
        <f t="shared" si="30"/>
        <v/>
      </c>
      <c r="N83" s="4" t="str">
        <f t="shared" si="21"/>
        <v/>
      </c>
      <c r="O83" s="4" t="str">
        <f t="shared" si="22"/>
        <v/>
      </c>
      <c r="P83" s="4" t="str">
        <f t="shared" si="23"/>
        <v/>
      </c>
      <c r="Q83" s="4" t="str">
        <f t="shared" si="24"/>
        <v/>
      </c>
      <c r="R83" s="4" t="str">
        <f t="shared" si="25"/>
        <v/>
      </c>
      <c r="S83" s="4" t="str">
        <f t="shared" si="26"/>
        <v/>
      </c>
      <c r="T83" s="205" t="str">
        <f t="shared" si="27"/>
        <v/>
      </c>
      <c r="U83" s="205" t="str">
        <f t="shared" si="28"/>
        <v/>
      </c>
      <c r="V83" s="205" t="str">
        <f t="shared" si="29"/>
        <v/>
      </c>
    </row>
    <row r="84" spans="1:22">
      <c r="A84" s="247" t="str">
        <f t="shared" si="12"/>
        <v/>
      </c>
      <c r="B84" s="248" t="str">
        <f t="shared" si="13"/>
        <v/>
      </c>
      <c r="C84" s="247" t="str">
        <f t="shared" si="14"/>
        <v/>
      </c>
      <c r="D84" s="248" t="str">
        <f t="shared" si="15"/>
        <v/>
      </c>
      <c r="E84" s="2">
        <v>63</v>
      </c>
      <c r="F84" s="160"/>
      <c r="G84" s="160"/>
      <c r="H84" s="160"/>
      <c r="I84" s="2" t="str">
        <f t="shared" si="16"/>
        <v/>
      </c>
      <c r="J84" s="2" t="str">
        <f t="shared" si="19"/>
        <v/>
      </c>
      <c r="K84" s="3" t="str">
        <f t="shared" si="20"/>
        <v/>
      </c>
      <c r="M84" s="4" t="str">
        <f t="shared" si="30"/>
        <v/>
      </c>
      <c r="N84" s="4" t="str">
        <f t="shared" si="21"/>
        <v/>
      </c>
      <c r="O84" s="4" t="str">
        <f t="shared" si="22"/>
        <v/>
      </c>
      <c r="P84" s="4" t="str">
        <f t="shared" si="23"/>
        <v/>
      </c>
      <c r="Q84" s="4" t="str">
        <f t="shared" si="24"/>
        <v/>
      </c>
      <c r="R84" s="4" t="str">
        <f t="shared" si="25"/>
        <v/>
      </c>
      <c r="S84" s="4" t="str">
        <f t="shared" si="26"/>
        <v/>
      </c>
      <c r="T84" s="205" t="str">
        <f t="shared" si="27"/>
        <v/>
      </c>
      <c r="U84" s="205" t="str">
        <f t="shared" si="28"/>
        <v/>
      </c>
      <c r="V84" s="205" t="str">
        <f t="shared" si="29"/>
        <v/>
      </c>
    </row>
    <row r="85" spans="1:22">
      <c r="A85" s="247" t="str">
        <f t="shared" si="12"/>
        <v/>
      </c>
      <c r="B85" s="248" t="str">
        <f t="shared" si="13"/>
        <v/>
      </c>
      <c r="C85" s="247" t="str">
        <f t="shared" si="14"/>
        <v/>
      </c>
      <c r="D85" s="248" t="str">
        <f t="shared" si="15"/>
        <v/>
      </c>
      <c r="E85" s="2">
        <v>64</v>
      </c>
      <c r="F85" s="160"/>
      <c r="G85" s="160"/>
      <c r="H85" s="160"/>
      <c r="I85" s="2" t="str">
        <f t="shared" si="16"/>
        <v/>
      </c>
      <c r="J85" s="2" t="str">
        <f t="shared" si="19"/>
        <v/>
      </c>
      <c r="K85" s="3" t="str">
        <f t="shared" si="20"/>
        <v/>
      </c>
      <c r="M85" s="4" t="str">
        <f t="shared" si="30"/>
        <v/>
      </c>
      <c r="N85" s="4" t="str">
        <f t="shared" si="21"/>
        <v/>
      </c>
      <c r="O85" s="4" t="str">
        <f t="shared" si="22"/>
        <v/>
      </c>
      <c r="P85" s="4" t="str">
        <f t="shared" si="23"/>
        <v/>
      </c>
      <c r="Q85" s="4" t="str">
        <f t="shared" si="24"/>
        <v/>
      </c>
      <c r="R85" s="4" t="str">
        <f t="shared" si="25"/>
        <v/>
      </c>
      <c r="S85" s="4" t="str">
        <f t="shared" si="26"/>
        <v/>
      </c>
      <c r="T85" s="205" t="str">
        <f t="shared" si="27"/>
        <v/>
      </c>
      <c r="U85" s="205" t="str">
        <f t="shared" si="28"/>
        <v/>
      </c>
      <c r="V85" s="205" t="str">
        <f t="shared" si="29"/>
        <v/>
      </c>
    </row>
    <row r="86" spans="1:22">
      <c r="A86" s="247" t="str">
        <f t="shared" si="12"/>
        <v/>
      </c>
      <c r="B86" s="248" t="str">
        <f t="shared" si="13"/>
        <v/>
      </c>
      <c r="C86" s="247" t="str">
        <f t="shared" si="14"/>
        <v/>
      </c>
      <c r="D86" s="248" t="str">
        <f t="shared" si="15"/>
        <v/>
      </c>
      <c r="E86" s="2">
        <v>65</v>
      </c>
      <c r="F86" s="160"/>
      <c r="G86" s="160"/>
      <c r="H86" s="160"/>
      <c r="I86" s="2" t="str">
        <f t="shared" si="16"/>
        <v/>
      </c>
      <c r="J86" s="2" t="str">
        <f t="shared" si="19"/>
        <v/>
      </c>
      <c r="K86" s="3" t="str">
        <f t="shared" si="20"/>
        <v/>
      </c>
      <c r="M86" s="4" t="str">
        <f t="shared" si="30"/>
        <v/>
      </c>
      <c r="N86" s="4" t="str">
        <f t="shared" ref="N86:N101" si="31">IF(OR($F$13="DM", K86=""),"",(G86*2)/12*$N$114)</f>
        <v/>
      </c>
      <c r="O86" s="4" t="str">
        <f t="shared" ref="O86:O101" si="32">IF(OR($F$13="DM",K86=""),"",((ROUNDUP(G86/6, 0)*2)+2)*$O$114)</f>
        <v/>
      </c>
      <c r="P86" s="4" t="str">
        <f t="shared" ref="P86:P101" si="33">IF(OR($F$13="DM",K86=""),"",((ROUNDUP(G86/6,0)*2)+2)*$P$114)</f>
        <v/>
      </c>
      <c r="Q86" s="4" t="str">
        <f t="shared" ref="Q86:Q101" si="34">IF(OR($F$13="DM", K86=""),"",J86*$Q$114)</f>
        <v/>
      </c>
      <c r="R86" s="4" t="str">
        <f t="shared" ref="R86:R94" si="35">IF(K86="","",J86*$R$114)</f>
        <v/>
      </c>
      <c r="S86" s="4" t="str">
        <f t="shared" ref="S86:S94" si="36">IF(K86="","",((ROUNDUP(G86/6, 0)*2)+2)*$S$114/206)</f>
        <v/>
      </c>
      <c r="T86" s="205" t="str">
        <f t="shared" ref="T86:T101" si="37">IF(OR($F$13="FT",K86=""),"",(J86*$T$114))</f>
        <v/>
      </c>
      <c r="U86" s="205" t="str">
        <f t="shared" ref="U86:U101" si="38">IF(OR($F$13="FT",K86=""),"",(J86*$U$114))</f>
        <v/>
      </c>
      <c r="V86" s="205" t="str">
        <f t="shared" ref="V86:V101" si="39">IF(OR($F$13="FT",K86=""),"",(J86*$V$114))</f>
        <v/>
      </c>
    </row>
    <row r="87" spans="1:22">
      <c r="A87" s="247" t="str">
        <f t="shared" ref="A87:A101" si="40">IF(F87="","",D87*$A$19)</f>
        <v/>
      </c>
      <c r="B87" s="248" t="str">
        <f t="shared" ref="B87:B101" si="41">IF(F87="","",D87*$B$19)</f>
        <v/>
      </c>
      <c r="C87" s="247" t="str">
        <f t="shared" ref="C87:C101" si="42">IF(F87="","",D87*$C$19)</f>
        <v/>
      </c>
      <c r="D87" s="248" t="str">
        <f t="shared" ref="D87:D101" si="43">IF(K87="","",SUM(M87:V87))</f>
        <v/>
      </c>
      <c r="E87" s="2">
        <v>66</v>
      </c>
      <c r="F87" s="160"/>
      <c r="G87" s="160"/>
      <c r="H87" s="160"/>
      <c r="I87" s="2" t="str">
        <f t="shared" ref="I87:I101" si="44">IF(G87="","",IF($F$13="FT",12,IF(AND($F$13="DM",F87&lt;72.1),12,12)))</f>
        <v/>
      </c>
      <c r="J87" s="2" t="str">
        <f t="shared" si="19"/>
        <v/>
      </c>
      <c r="K87" s="3" t="str">
        <f t="shared" si="20"/>
        <v/>
      </c>
      <c r="M87" s="4" t="str">
        <f t="shared" ref="M87:M94" si="45">IF(K87="","",IF(H87="G", K87*$M$114*1.2, IF(H87="A",K87*$M$116*1.2)))</f>
        <v/>
      </c>
      <c r="N87" s="4" t="str">
        <f t="shared" si="31"/>
        <v/>
      </c>
      <c r="O87" s="4" t="str">
        <f t="shared" si="32"/>
        <v/>
      </c>
      <c r="P87" s="4" t="str">
        <f t="shared" si="33"/>
        <v/>
      </c>
      <c r="Q87" s="4" t="str">
        <f t="shared" si="34"/>
        <v/>
      </c>
      <c r="R87" s="4" t="str">
        <f t="shared" si="35"/>
        <v/>
      </c>
      <c r="S87" s="4" t="str">
        <f t="shared" si="36"/>
        <v/>
      </c>
      <c r="T87" s="205" t="str">
        <f t="shared" si="37"/>
        <v/>
      </c>
      <c r="U87" s="205" t="str">
        <f t="shared" si="38"/>
        <v/>
      </c>
      <c r="V87" s="205" t="str">
        <f t="shared" si="39"/>
        <v/>
      </c>
    </row>
    <row r="88" spans="1:22">
      <c r="A88" s="247" t="str">
        <f t="shared" si="40"/>
        <v/>
      </c>
      <c r="B88" s="248" t="str">
        <f t="shared" si="41"/>
        <v/>
      </c>
      <c r="C88" s="247" t="str">
        <f t="shared" si="42"/>
        <v/>
      </c>
      <c r="D88" s="248" t="str">
        <f t="shared" si="43"/>
        <v/>
      </c>
      <c r="E88" s="2">
        <v>67</v>
      </c>
      <c r="F88" s="160"/>
      <c r="G88" s="160"/>
      <c r="H88" s="160"/>
      <c r="I88" s="2" t="str">
        <f t="shared" si="44"/>
        <v/>
      </c>
      <c r="J88" s="2" t="str">
        <f t="shared" si="19"/>
        <v/>
      </c>
      <c r="K88" s="3" t="str">
        <f t="shared" si="20"/>
        <v/>
      </c>
      <c r="M88" s="4" t="str">
        <f t="shared" si="45"/>
        <v/>
      </c>
      <c r="N88" s="4" t="str">
        <f t="shared" si="31"/>
        <v/>
      </c>
      <c r="O88" s="4" t="str">
        <f t="shared" si="32"/>
        <v/>
      </c>
      <c r="P88" s="4" t="str">
        <f t="shared" si="33"/>
        <v/>
      </c>
      <c r="Q88" s="4" t="str">
        <f t="shared" si="34"/>
        <v/>
      </c>
      <c r="R88" s="4" t="str">
        <f t="shared" si="35"/>
        <v/>
      </c>
      <c r="S88" s="4" t="str">
        <f t="shared" si="36"/>
        <v/>
      </c>
      <c r="T88" s="205" t="str">
        <f t="shared" si="37"/>
        <v/>
      </c>
      <c r="U88" s="205" t="str">
        <f t="shared" si="38"/>
        <v/>
      </c>
      <c r="V88" s="205" t="str">
        <f t="shared" si="39"/>
        <v/>
      </c>
    </row>
    <row r="89" spans="1:22">
      <c r="A89" s="247" t="str">
        <f t="shared" si="40"/>
        <v/>
      </c>
      <c r="B89" s="248" t="str">
        <f t="shared" si="41"/>
        <v/>
      </c>
      <c r="C89" s="247" t="str">
        <f t="shared" si="42"/>
        <v/>
      </c>
      <c r="D89" s="248" t="str">
        <f t="shared" si="43"/>
        <v/>
      </c>
      <c r="E89" s="2">
        <v>68</v>
      </c>
      <c r="F89" s="160"/>
      <c r="G89" s="160"/>
      <c r="H89" s="160"/>
      <c r="I89" s="2" t="str">
        <f t="shared" si="44"/>
        <v/>
      </c>
      <c r="J89" s="2" t="str">
        <f t="shared" si="19"/>
        <v/>
      </c>
      <c r="K89" s="3" t="str">
        <f t="shared" si="20"/>
        <v/>
      </c>
      <c r="M89" s="4" t="str">
        <f t="shared" si="45"/>
        <v/>
      </c>
      <c r="N89" s="4" t="str">
        <f t="shared" si="31"/>
        <v/>
      </c>
      <c r="O89" s="4" t="str">
        <f t="shared" si="32"/>
        <v/>
      </c>
      <c r="P89" s="4" t="str">
        <f t="shared" si="33"/>
        <v/>
      </c>
      <c r="Q89" s="4" t="str">
        <f t="shared" si="34"/>
        <v/>
      </c>
      <c r="R89" s="4" t="str">
        <f t="shared" si="35"/>
        <v/>
      </c>
      <c r="S89" s="4" t="str">
        <f t="shared" si="36"/>
        <v/>
      </c>
      <c r="T89" s="205" t="str">
        <f t="shared" si="37"/>
        <v/>
      </c>
      <c r="U89" s="205" t="str">
        <f t="shared" si="38"/>
        <v/>
      </c>
      <c r="V89" s="205" t="str">
        <f t="shared" si="39"/>
        <v/>
      </c>
    </row>
    <row r="90" spans="1:22">
      <c r="A90" s="247" t="str">
        <f t="shared" si="40"/>
        <v/>
      </c>
      <c r="B90" s="248" t="str">
        <f t="shared" si="41"/>
        <v/>
      </c>
      <c r="C90" s="247" t="str">
        <f t="shared" si="42"/>
        <v/>
      </c>
      <c r="D90" s="248" t="str">
        <f t="shared" si="43"/>
        <v/>
      </c>
      <c r="E90" s="2">
        <v>69</v>
      </c>
      <c r="F90" s="160"/>
      <c r="G90" s="160"/>
      <c r="H90" s="160"/>
      <c r="I90" s="2" t="str">
        <f t="shared" si="44"/>
        <v/>
      </c>
      <c r="J90" s="2" t="str">
        <f t="shared" si="19"/>
        <v/>
      </c>
      <c r="K90" s="3" t="str">
        <f t="shared" si="20"/>
        <v/>
      </c>
      <c r="M90" s="4" t="str">
        <f t="shared" si="45"/>
        <v/>
      </c>
      <c r="N90" s="4" t="str">
        <f t="shared" si="31"/>
        <v/>
      </c>
      <c r="O90" s="4" t="str">
        <f t="shared" si="32"/>
        <v/>
      </c>
      <c r="P90" s="4" t="str">
        <f t="shared" si="33"/>
        <v/>
      </c>
      <c r="Q90" s="4" t="str">
        <f t="shared" si="34"/>
        <v/>
      </c>
      <c r="R90" s="4" t="str">
        <f t="shared" si="35"/>
        <v/>
      </c>
      <c r="S90" s="4" t="str">
        <f t="shared" si="36"/>
        <v/>
      </c>
      <c r="T90" s="205" t="str">
        <f t="shared" si="37"/>
        <v/>
      </c>
      <c r="U90" s="205" t="str">
        <f t="shared" si="38"/>
        <v/>
      </c>
      <c r="V90" s="205" t="str">
        <f t="shared" si="39"/>
        <v/>
      </c>
    </row>
    <row r="91" spans="1:22">
      <c r="A91" s="247" t="str">
        <f t="shared" si="40"/>
        <v/>
      </c>
      <c r="B91" s="248" t="str">
        <f t="shared" si="41"/>
        <v/>
      </c>
      <c r="C91" s="247" t="str">
        <f t="shared" si="42"/>
        <v/>
      </c>
      <c r="D91" s="248" t="str">
        <f t="shared" si="43"/>
        <v/>
      </c>
      <c r="E91" s="2">
        <v>70</v>
      </c>
      <c r="F91" s="160"/>
      <c r="G91" s="160"/>
      <c r="H91" s="160"/>
      <c r="I91" s="2" t="str">
        <f t="shared" si="44"/>
        <v/>
      </c>
      <c r="J91" s="2" t="str">
        <f t="shared" si="19"/>
        <v/>
      </c>
      <c r="K91" s="3" t="str">
        <f t="shared" si="20"/>
        <v/>
      </c>
      <c r="M91" s="4" t="str">
        <f t="shared" si="45"/>
        <v/>
      </c>
      <c r="N91" s="4" t="str">
        <f t="shared" si="31"/>
        <v/>
      </c>
      <c r="O91" s="4" t="str">
        <f t="shared" si="32"/>
        <v/>
      </c>
      <c r="P91" s="4" t="str">
        <f t="shared" si="33"/>
        <v/>
      </c>
      <c r="Q91" s="4" t="str">
        <f t="shared" si="34"/>
        <v/>
      </c>
      <c r="R91" s="4" t="str">
        <f t="shared" si="35"/>
        <v/>
      </c>
      <c r="S91" s="4" t="str">
        <f t="shared" si="36"/>
        <v/>
      </c>
      <c r="T91" s="205" t="str">
        <f t="shared" si="37"/>
        <v/>
      </c>
      <c r="U91" s="205" t="str">
        <f t="shared" si="38"/>
        <v/>
      </c>
      <c r="V91" s="205" t="str">
        <f t="shared" si="39"/>
        <v/>
      </c>
    </row>
    <row r="92" spans="1:22">
      <c r="A92" s="247" t="str">
        <f t="shared" si="40"/>
        <v/>
      </c>
      <c r="B92" s="248" t="str">
        <f t="shared" si="41"/>
        <v/>
      </c>
      <c r="C92" s="247" t="str">
        <f t="shared" si="42"/>
        <v/>
      </c>
      <c r="D92" s="248" t="str">
        <f t="shared" si="43"/>
        <v/>
      </c>
      <c r="E92" s="2">
        <v>71</v>
      </c>
      <c r="F92" s="160"/>
      <c r="G92" s="160"/>
      <c r="H92" s="160"/>
      <c r="I92" s="2" t="str">
        <f t="shared" si="44"/>
        <v/>
      </c>
      <c r="J92" s="2" t="str">
        <f t="shared" si="19"/>
        <v/>
      </c>
      <c r="K92" s="3" t="str">
        <f t="shared" si="20"/>
        <v/>
      </c>
      <c r="M92" s="4" t="str">
        <f t="shared" si="45"/>
        <v/>
      </c>
      <c r="N92" s="4" t="str">
        <f t="shared" si="31"/>
        <v/>
      </c>
      <c r="O92" s="4" t="str">
        <f t="shared" si="32"/>
        <v/>
      </c>
      <c r="P92" s="4" t="str">
        <f t="shared" si="33"/>
        <v/>
      </c>
      <c r="Q92" s="4" t="str">
        <f t="shared" si="34"/>
        <v/>
      </c>
      <c r="R92" s="4" t="str">
        <f t="shared" si="35"/>
        <v/>
      </c>
      <c r="S92" s="4" t="str">
        <f t="shared" si="36"/>
        <v/>
      </c>
      <c r="T92" s="205" t="str">
        <f t="shared" si="37"/>
        <v/>
      </c>
      <c r="U92" s="205" t="str">
        <f t="shared" si="38"/>
        <v/>
      </c>
      <c r="V92" s="205" t="str">
        <f t="shared" si="39"/>
        <v/>
      </c>
    </row>
    <row r="93" spans="1:22">
      <c r="A93" s="247" t="str">
        <f t="shared" si="40"/>
        <v/>
      </c>
      <c r="B93" s="248" t="str">
        <f t="shared" si="41"/>
        <v/>
      </c>
      <c r="C93" s="247" t="str">
        <f t="shared" si="42"/>
        <v/>
      </c>
      <c r="D93" s="248" t="str">
        <f t="shared" si="43"/>
        <v/>
      </c>
      <c r="E93" s="2">
        <v>72</v>
      </c>
      <c r="F93" s="160"/>
      <c r="G93" s="160"/>
      <c r="H93" s="160"/>
      <c r="I93" s="2" t="str">
        <f t="shared" si="44"/>
        <v/>
      </c>
      <c r="J93" s="2" t="str">
        <f t="shared" si="19"/>
        <v/>
      </c>
      <c r="K93" s="3" t="str">
        <f t="shared" si="20"/>
        <v/>
      </c>
      <c r="M93" s="4" t="str">
        <f t="shared" si="45"/>
        <v/>
      </c>
      <c r="N93" s="4" t="str">
        <f t="shared" si="31"/>
        <v/>
      </c>
      <c r="O93" s="4" t="str">
        <f t="shared" si="32"/>
        <v/>
      </c>
      <c r="P93" s="4" t="str">
        <f t="shared" si="33"/>
        <v/>
      </c>
      <c r="Q93" s="4" t="str">
        <f t="shared" si="34"/>
        <v/>
      </c>
      <c r="R93" s="4" t="str">
        <f t="shared" si="35"/>
        <v/>
      </c>
      <c r="S93" s="4" t="str">
        <f t="shared" si="36"/>
        <v/>
      </c>
      <c r="T93" s="205" t="str">
        <f t="shared" si="37"/>
        <v/>
      </c>
      <c r="U93" s="205" t="str">
        <f t="shared" si="38"/>
        <v/>
      </c>
      <c r="V93" s="205" t="str">
        <f t="shared" si="39"/>
        <v/>
      </c>
    </row>
    <row r="94" spans="1:22">
      <c r="A94" s="247" t="str">
        <f t="shared" si="40"/>
        <v/>
      </c>
      <c r="B94" s="248" t="str">
        <f t="shared" si="41"/>
        <v/>
      </c>
      <c r="C94" s="247" t="str">
        <f t="shared" si="42"/>
        <v/>
      </c>
      <c r="D94" s="248" t="str">
        <f t="shared" si="43"/>
        <v/>
      </c>
      <c r="E94" s="2">
        <v>73</v>
      </c>
      <c r="F94" s="160"/>
      <c r="G94" s="160"/>
      <c r="H94" s="160"/>
      <c r="I94" s="2" t="str">
        <f t="shared" si="44"/>
        <v/>
      </c>
      <c r="J94" s="2" t="str">
        <f t="shared" si="19"/>
        <v/>
      </c>
      <c r="K94" s="3" t="str">
        <f t="shared" si="20"/>
        <v/>
      </c>
      <c r="M94" s="4" t="str">
        <f t="shared" si="45"/>
        <v/>
      </c>
      <c r="N94" s="4" t="str">
        <f t="shared" si="31"/>
        <v/>
      </c>
      <c r="O94" s="4" t="str">
        <f t="shared" si="32"/>
        <v/>
      </c>
      <c r="P94" s="4" t="str">
        <f t="shared" si="33"/>
        <v/>
      </c>
      <c r="Q94" s="4" t="str">
        <f t="shared" si="34"/>
        <v/>
      </c>
      <c r="R94" s="4" t="str">
        <f t="shared" si="35"/>
        <v/>
      </c>
      <c r="S94" s="4" t="str">
        <f t="shared" si="36"/>
        <v/>
      </c>
      <c r="T94" s="205" t="str">
        <f t="shared" si="37"/>
        <v/>
      </c>
      <c r="U94" s="205" t="str">
        <f t="shared" si="38"/>
        <v/>
      </c>
      <c r="V94" s="205" t="str">
        <f t="shared" si="39"/>
        <v/>
      </c>
    </row>
    <row r="95" spans="1:22">
      <c r="A95" s="247" t="str">
        <f t="shared" si="40"/>
        <v/>
      </c>
      <c r="B95" s="248" t="str">
        <f t="shared" si="41"/>
        <v/>
      </c>
      <c r="C95" s="247" t="str">
        <f t="shared" si="42"/>
        <v/>
      </c>
      <c r="D95" s="248" t="str">
        <f t="shared" si="43"/>
        <v/>
      </c>
      <c r="E95" s="2">
        <v>74</v>
      </c>
      <c r="F95" s="160"/>
      <c r="G95" s="160"/>
      <c r="H95" s="160"/>
      <c r="I95" s="2" t="str">
        <f t="shared" si="44"/>
        <v/>
      </c>
      <c r="J95" s="2" t="str">
        <f t="shared" ref="J95:J101" si="46">IF(G95 =  "","",ROUNDUP(G95/I95,0)*2+2)</f>
        <v/>
      </c>
      <c r="K95" s="3" t="str">
        <f t="shared" ref="K95:K101" si="47">IF(G95="","",(F95+6)*G95/144)</f>
        <v/>
      </c>
      <c r="M95" s="4" t="str">
        <f t="shared" ref="M95:M101" si="48">IF(K95="","",IF(H95="G", K95*$M$114*1.2, IF(H95="A",K95*$M$116*1.2)))</f>
        <v/>
      </c>
      <c r="N95" s="4" t="str">
        <f t="shared" si="31"/>
        <v/>
      </c>
      <c r="O95" s="4" t="str">
        <f t="shared" si="32"/>
        <v/>
      </c>
      <c r="P95" s="4" t="str">
        <f t="shared" si="33"/>
        <v/>
      </c>
      <c r="Q95" s="4" t="str">
        <f t="shared" si="34"/>
        <v/>
      </c>
      <c r="R95" s="4" t="str">
        <f t="shared" ref="R95:R101" si="49">IF(K95="","",J95*$R$114)</f>
        <v/>
      </c>
      <c r="S95" s="4" t="str">
        <f t="shared" ref="S95:S101" si="50">IF(K95="","",((ROUNDUP(G95/6, 0)*2)+2)*$S$114/206)</f>
        <v/>
      </c>
      <c r="T95" s="205" t="str">
        <f t="shared" si="37"/>
        <v/>
      </c>
      <c r="U95" s="205" t="str">
        <f t="shared" si="38"/>
        <v/>
      </c>
      <c r="V95" s="205" t="str">
        <f t="shared" si="39"/>
        <v/>
      </c>
    </row>
    <row r="96" spans="1:22">
      <c r="A96" s="247" t="str">
        <f t="shared" si="40"/>
        <v/>
      </c>
      <c r="B96" s="248" t="str">
        <f t="shared" si="41"/>
        <v/>
      </c>
      <c r="C96" s="247" t="str">
        <f t="shared" si="42"/>
        <v/>
      </c>
      <c r="D96" s="248" t="str">
        <f t="shared" si="43"/>
        <v/>
      </c>
      <c r="E96" s="2">
        <v>75</v>
      </c>
      <c r="F96" s="160"/>
      <c r="G96" s="160"/>
      <c r="H96" s="160"/>
      <c r="I96" s="2" t="str">
        <f t="shared" si="44"/>
        <v/>
      </c>
      <c r="J96" s="2" t="str">
        <f t="shared" si="46"/>
        <v/>
      </c>
      <c r="K96" s="3" t="str">
        <f t="shared" si="47"/>
        <v/>
      </c>
      <c r="M96" s="4" t="str">
        <f t="shared" si="48"/>
        <v/>
      </c>
      <c r="N96" s="4" t="str">
        <f t="shared" si="31"/>
        <v/>
      </c>
      <c r="O96" s="4" t="str">
        <f t="shared" si="32"/>
        <v/>
      </c>
      <c r="P96" s="4" t="str">
        <f t="shared" si="33"/>
        <v/>
      </c>
      <c r="Q96" s="4" t="str">
        <f t="shared" si="34"/>
        <v/>
      </c>
      <c r="R96" s="4" t="str">
        <f t="shared" si="49"/>
        <v/>
      </c>
      <c r="S96" s="4" t="str">
        <f t="shared" si="50"/>
        <v/>
      </c>
      <c r="T96" s="205" t="str">
        <f t="shared" si="37"/>
        <v/>
      </c>
      <c r="U96" s="205" t="str">
        <f t="shared" si="38"/>
        <v/>
      </c>
      <c r="V96" s="205" t="str">
        <f t="shared" si="39"/>
        <v/>
      </c>
    </row>
    <row r="97" spans="1:22">
      <c r="A97" s="247" t="str">
        <f t="shared" si="40"/>
        <v/>
      </c>
      <c r="B97" s="248" t="str">
        <f t="shared" si="41"/>
        <v/>
      </c>
      <c r="C97" s="247" t="str">
        <f t="shared" si="42"/>
        <v/>
      </c>
      <c r="D97" s="248" t="str">
        <f t="shared" si="43"/>
        <v/>
      </c>
      <c r="E97" s="2">
        <v>76</v>
      </c>
      <c r="F97" s="160"/>
      <c r="G97" s="160"/>
      <c r="H97" s="160"/>
      <c r="I97" s="2" t="str">
        <f t="shared" si="44"/>
        <v/>
      </c>
      <c r="J97" s="2" t="str">
        <f t="shared" si="46"/>
        <v/>
      </c>
      <c r="K97" s="3" t="str">
        <f t="shared" si="47"/>
        <v/>
      </c>
      <c r="M97" s="4" t="str">
        <f t="shared" si="48"/>
        <v/>
      </c>
      <c r="N97" s="4" t="str">
        <f t="shared" si="31"/>
        <v/>
      </c>
      <c r="O97" s="4" t="str">
        <f t="shared" si="32"/>
        <v/>
      </c>
      <c r="P97" s="4" t="str">
        <f t="shared" si="33"/>
        <v/>
      </c>
      <c r="Q97" s="4" t="str">
        <f t="shared" si="34"/>
        <v/>
      </c>
      <c r="R97" s="4" t="str">
        <f t="shared" si="49"/>
        <v/>
      </c>
      <c r="S97" s="4" t="str">
        <f t="shared" si="50"/>
        <v/>
      </c>
      <c r="T97" s="205" t="str">
        <f t="shared" si="37"/>
        <v/>
      </c>
      <c r="U97" s="205" t="str">
        <f t="shared" si="38"/>
        <v/>
      </c>
      <c r="V97" s="205" t="str">
        <f t="shared" si="39"/>
        <v/>
      </c>
    </row>
    <row r="98" spans="1:22">
      <c r="A98" s="247" t="str">
        <f t="shared" si="40"/>
        <v/>
      </c>
      <c r="B98" s="248" t="str">
        <f t="shared" si="41"/>
        <v/>
      </c>
      <c r="C98" s="247" t="str">
        <f t="shared" si="42"/>
        <v/>
      </c>
      <c r="D98" s="248" t="str">
        <f t="shared" si="43"/>
        <v/>
      </c>
      <c r="E98" s="2">
        <v>77</v>
      </c>
      <c r="F98" s="160"/>
      <c r="G98" s="160"/>
      <c r="H98" s="160"/>
      <c r="I98" s="2" t="str">
        <f t="shared" si="44"/>
        <v/>
      </c>
      <c r="J98" s="2" t="str">
        <f t="shared" si="46"/>
        <v/>
      </c>
      <c r="K98" s="3" t="str">
        <f t="shared" si="47"/>
        <v/>
      </c>
      <c r="M98" s="4" t="str">
        <f t="shared" si="48"/>
        <v/>
      </c>
      <c r="N98" s="4" t="str">
        <f t="shared" si="31"/>
        <v/>
      </c>
      <c r="O98" s="4" t="str">
        <f t="shared" si="32"/>
        <v/>
      </c>
      <c r="P98" s="4" t="str">
        <f t="shared" si="33"/>
        <v/>
      </c>
      <c r="Q98" s="4" t="str">
        <f t="shared" si="34"/>
        <v/>
      </c>
      <c r="R98" s="4" t="str">
        <f t="shared" si="49"/>
        <v/>
      </c>
      <c r="S98" s="4" t="str">
        <f t="shared" si="50"/>
        <v/>
      </c>
      <c r="T98" s="205" t="str">
        <f t="shared" si="37"/>
        <v/>
      </c>
      <c r="U98" s="205" t="str">
        <f t="shared" si="38"/>
        <v/>
      </c>
      <c r="V98" s="205" t="str">
        <f t="shared" si="39"/>
        <v/>
      </c>
    </row>
    <row r="99" spans="1:22">
      <c r="A99" s="247" t="str">
        <f t="shared" si="40"/>
        <v/>
      </c>
      <c r="B99" s="248" t="str">
        <f t="shared" si="41"/>
        <v/>
      </c>
      <c r="C99" s="247" t="str">
        <f t="shared" si="42"/>
        <v/>
      </c>
      <c r="D99" s="248" t="str">
        <f t="shared" si="43"/>
        <v/>
      </c>
      <c r="E99" s="2">
        <v>78</v>
      </c>
      <c r="F99" s="160"/>
      <c r="G99" s="160"/>
      <c r="H99" s="160"/>
      <c r="I99" s="2" t="str">
        <f t="shared" si="44"/>
        <v/>
      </c>
      <c r="J99" s="2" t="str">
        <f t="shared" si="46"/>
        <v/>
      </c>
      <c r="K99" s="3" t="str">
        <f t="shared" si="47"/>
        <v/>
      </c>
      <c r="M99" s="4" t="str">
        <f t="shared" si="48"/>
        <v/>
      </c>
      <c r="N99" s="4" t="str">
        <f t="shared" si="31"/>
        <v/>
      </c>
      <c r="O99" s="4" t="str">
        <f t="shared" si="32"/>
        <v/>
      </c>
      <c r="P99" s="4" t="str">
        <f t="shared" si="33"/>
        <v/>
      </c>
      <c r="Q99" s="4" t="str">
        <f t="shared" si="34"/>
        <v/>
      </c>
      <c r="R99" s="4" t="str">
        <f t="shared" si="49"/>
        <v/>
      </c>
      <c r="S99" s="4" t="str">
        <f t="shared" si="50"/>
        <v/>
      </c>
      <c r="T99" s="205" t="str">
        <f t="shared" si="37"/>
        <v/>
      </c>
      <c r="U99" s="205" t="str">
        <f t="shared" si="38"/>
        <v/>
      </c>
      <c r="V99" s="205" t="str">
        <f t="shared" si="39"/>
        <v/>
      </c>
    </row>
    <row r="100" spans="1:22">
      <c r="A100" s="247" t="str">
        <f t="shared" si="40"/>
        <v/>
      </c>
      <c r="B100" s="248" t="str">
        <f t="shared" si="41"/>
        <v/>
      </c>
      <c r="C100" s="247" t="str">
        <f t="shared" si="42"/>
        <v/>
      </c>
      <c r="D100" s="248" t="str">
        <f t="shared" si="43"/>
        <v/>
      </c>
      <c r="E100" s="2">
        <v>79</v>
      </c>
      <c r="F100" s="160"/>
      <c r="G100" s="160"/>
      <c r="H100" s="160"/>
      <c r="I100" s="2" t="str">
        <f t="shared" si="44"/>
        <v/>
      </c>
      <c r="J100" s="2" t="str">
        <f t="shared" si="46"/>
        <v/>
      </c>
      <c r="K100" s="3" t="str">
        <f t="shared" si="47"/>
        <v/>
      </c>
      <c r="M100" s="4" t="str">
        <f t="shared" si="48"/>
        <v/>
      </c>
      <c r="N100" s="4" t="str">
        <f t="shared" si="31"/>
        <v/>
      </c>
      <c r="O100" s="4" t="str">
        <f t="shared" si="32"/>
        <v/>
      </c>
      <c r="P100" s="4" t="str">
        <f t="shared" si="33"/>
        <v/>
      </c>
      <c r="Q100" s="4" t="str">
        <f t="shared" si="34"/>
        <v/>
      </c>
      <c r="R100" s="4" t="str">
        <f t="shared" si="49"/>
        <v/>
      </c>
      <c r="S100" s="4" t="str">
        <f t="shared" si="50"/>
        <v/>
      </c>
      <c r="T100" s="205" t="str">
        <f t="shared" si="37"/>
        <v/>
      </c>
      <c r="U100" s="205" t="str">
        <f t="shared" si="38"/>
        <v/>
      </c>
      <c r="V100" s="205" t="str">
        <f t="shared" si="39"/>
        <v/>
      </c>
    </row>
    <row r="101" spans="1:22">
      <c r="A101" s="247" t="str">
        <f t="shared" si="40"/>
        <v/>
      </c>
      <c r="B101" s="248" t="str">
        <f t="shared" si="41"/>
        <v/>
      </c>
      <c r="C101" s="247" t="str">
        <f t="shared" si="42"/>
        <v/>
      </c>
      <c r="D101" s="248" t="str">
        <f t="shared" si="43"/>
        <v/>
      </c>
      <c r="E101" s="2">
        <v>80</v>
      </c>
      <c r="F101" s="160"/>
      <c r="G101" s="160"/>
      <c r="H101" s="160"/>
      <c r="I101" s="2" t="str">
        <f t="shared" si="44"/>
        <v/>
      </c>
      <c r="J101" s="2" t="str">
        <f t="shared" si="46"/>
        <v/>
      </c>
      <c r="K101" s="3" t="str">
        <f t="shared" si="47"/>
        <v/>
      </c>
      <c r="M101" s="4" t="str">
        <f t="shared" si="48"/>
        <v/>
      </c>
      <c r="N101" s="4" t="str">
        <f t="shared" si="31"/>
        <v/>
      </c>
      <c r="O101" s="4" t="str">
        <f t="shared" si="32"/>
        <v/>
      </c>
      <c r="P101" s="4" t="str">
        <f t="shared" si="33"/>
        <v/>
      </c>
      <c r="Q101" s="4" t="str">
        <f t="shared" si="34"/>
        <v/>
      </c>
      <c r="R101" s="4" t="str">
        <f t="shared" si="49"/>
        <v/>
      </c>
      <c r="S101" s="4" t="str">
        <f t="shared" si="50"/>
        <v/>
      </c>
      <c r="T101" s="205" t="str">
        <f t="shared" si="37"/>
        <v/>
      </c>
      <c r="U101" s="205" t="str">
        <f t="shared" si="38"/>
        <v/>
      </c>
      <c r="V101" s="205" t="str">
        <f t="shared" si="39"/>
        <v/>
      </c>
    </row>
    <row r="112" spans="1:22">
      <c r="M112" s="181" t="s">
        <v>264</v>
      </c>
      <c r="N112" s="2" t="s">
        <v>265</v>
      </c>
      <c r="O112" s="2" t="s">
        <v>266</v>
      </c>
      <c r="P112" s="2" t="s">
        <v>267</v>
      </c>
      <c r="Q112" s="2" t="s">
        <v>268</v>
      </c>
      <c r="R112" s="2" t="s">
        <v>269</v>
      </c>
      <c r="S112" s="2" t="s">
        <v>212</v>
      </c>
      <c r="T112" s="2" t="s">
        <v>193</v>
      </c>
      <c r="U112" s="2" t="s">
        <v>215</v>
      </c>
      <c r="V112" s="2" t="s">
        <v>216</v>
      </c>
    </row>
    <row r="113" spans="1:22">
      <c r="A113" s="30">
        <v>1.6</v>
      </c>
      <c r="F113" s="2" t="s">
        <v>190</v>
      </c>
      <c r="M113" s="2" t="s">
        <v>271</v>
      </c>
      <c r="N113" s="2" t="s">
        <v>218</v>
      </c>
      <c r="O113" s="2" t="s">
        <v>219</v>
      </c>
      <c r="P113" s="2" t="s">
        <v>220</v>
      </c>
      <c r="Q113" s="2" t="s">
        <v>219</v>
      </c>
      <c r="R113" s="2" t="s">
        <v>221</v>
      </c>
      <c r="S113" s="2"/>
      <c r="T113" s="2" t="s">
        <v>148</v>
      </c>
      <c r="U113" s="2" t="s">
        <v>219</v>
      </c>
      <c r="V113" s="2" t="s">
        <v>148</v>
      </c>
    </row>
    <row r="114" spans="1:22">
      <c r="A114" s="30">
        <v>1.61</v>
      </c>
      <c r="F114" s="2" t="s">
        <v>222</v>
      </c>
      <c r="M114" s="205">
        <f>Parts!M148</f>
        <v>2.8555999999999999</v>
      </c>
      <c r="N114" s="205">
        <f>Parts!M25</f>
        <v>3.0084</v>
      </c>
      <c r="O114" s="4">
        <f>Parts!M4</f>
        <v>1.9947000000000001</v>
      </c>
      <c r="P114" s="205">
        <f>Parts!M26</f>
        <v>8.7200000000000014E-2</v>
      </c>
      <c r="Q114" s="4">
        <f>Parts!M6</f>
        <v>0.30520000000000003</v>
      </c>
      <c r="R114" s="4">
        <f>Parts!M5</f>
        <v>0.19620000000000001</v>
      </c>
      <c r="S114" s="205">
        <f>Parts!M81</f>
        <v>9.7446000000000002</v>
      </c>
      <c r="T114" s="205">
        <f>Parts!M41</f>
        <v>1.043239</v>
      </c>
      <c r="U114" s="205">
        <f>Parts!M7</f>
        <v>0.98100000000000009</v>
      </c>
      <c r="V114" s="205">
        <f>Parts!M10</f>
        <v>0.76300000000000001</v>
      </c>
    </row>
    <row r="115" spans="1:22">
      <c r="A115" s="30">
        <v>1.62</v>
      </c>
      <c r="M115" s="2" t="s">
        <v>272</v>
      </c>
    </row>
    <row r="116" spans="1:22">
      <c r="A116" s="30">
        <v>1.63</v>
      </c>
      <c r="M116" s="268">
        <v>4.8600000000000003</v>
      </c>
    </row>
    <row r="117" spans="1:22">
      <c r="A117" s="30">
        <v>1.64</v>
      </c>
    </row>
    <row r="118" spans="1:22">
      <c r="A118" s="30">
        <v>1.65</v>
      </c>
    </row>
    <row r="119" spans="1:22">
      <c r="A119" s="30">
        <v>1.66</v>
      </c>
    </row>
    <row r="120" spans="1:22">
      <c r="A120" s="30">
        <v>1.67</v>
      </c>
    </row>
    <row r="121" spans="1:22">
      <c r="A121" s="30">
        <v>1.68</v>
      </c>
    </row>
    <row r="122" spans="1:22">
      <c r="A122" s="30">
        <v>1.69</v>
      </c>
    </row>
    <row r="123" spans="1:22">
      <c r="A123" s="30">
        <v>1.7</v>
      </c>
    </row>
    <row r="124" spans="1:22">
      <c r="A124" s="30">
        <v>1.71</v>
      </c>
    </row>
    <row r="125" spans="1:22">
      <c r="A125" s="30">
        <v>1.72</v>
      </c>
    </row>
    <row r="126" spans="1:22">
      <c r="A126" s="30">
        <v>1.73</v>
      </c>
    </row>
    <row r="127" spans="1:22">
      <c r="A127" s="30">
        <v>1.74</v>
      </c>
    </row>
    <row r="128" spans="1:22">
      <c r="A128" s="30">
        <v>1.75</v>
      </c>
    </row>
    <row r="129" spans="1:1">
      <c r="A129" s="30">
        <v>1.76</v>
      </c>
    </row>
    <row r="130" spans="1:1">
      <c r="A130" s="30">
        <v>1.77</v>
      </c>
    </row>
    <row r="131" spans="1:1">
      <c r="A131" s="30">
        <v>1.78</v>
      </c>
    </row>
    <row r="132" spans="1:1">
      <c r="A132" s="30">
        <v>1.79</v>
      </c>
    </row>
    <row r="133" spans="1:1">
      <c r="A133" s="30">
        <v>1.8</v>
      </c>
    </row>
    <row r="134" spans="1:1">
      <c r="A134" s="30">
        <v>1.81</v>
      </c>
    </row>
    <row r="135" spans="1:1">
      <c r="A135" s="30">
        <v>1.82</v>
      </c>
    </row>
    <row r="136" spans="1:1">
      <c r="A136" s="30">
        <v>1.83</v>
      </c>
    </row>
    <row r="137" spans="1:1">
      <c r="A137" s="30">
        <v>1.84</v>
      </c>
    </row>
    <row r="138" spans="1:1">
      <c r="A138" s="30">
        <v>1.85</v>
      </c>
    </row>
    <row r="139" spans="1:1">
      <c r="A139" s="30">
        <v>1.86</v>
      </c>
    </row>
    <row r="140" spans="1:1">
      <c r="A140" s="30">
        <v>1.87</v>
      </c>
    </row>
    <row r="141" spans="1:1">
      <c r="A141" s="30">
        <v>1.88</v>
      </c>
    </row>
    <row r="142" spans="1:1">
      <c r="A142" s="30">
        <v>1.89</v>
      </c>
    </row>
    <row r="143" spans="1:1">
      <c r="A143" s="30">
        <v>1.9</v>
      </c>
    </row>
    <row r="144" spans="1:1">
      <c r="A144" s="30">
        <v>1.91</v>
      </c>
    </row>
    <row r="145" spans="1:1">
      <c r="A145" s="30">
        <v>1.92</v>
      </c>
    </row>
    <row r="146" spans="1:1">
      <c r="A146" s="30">
        <v>1.93</v>
      </c>
    </row>
    <row r="147" spans="1:1">
      <c r="A147" s="30">
        <v>1.94</v>
      </c>
    </row>
    <row r="148" spans="1:1">
      <c r="A148" s="30">
        <v>1.95</v>
      </c>
    </row>
    <row r="149" spans="1:1">
      <c r="A149" s="30">
        <v>1.96</v>
      </c>
    </row>
    <row r="150" spans="1:1">
      <c r="A150" s="30">
        <v>1.97</v>
      </c>
    </row>
    <row r="151" spans="1:1">
      <c r="A151" s="30">
        <v>1.98</v>
      </c>
    </row>
    <row r="152" spans="1:1">
      <c r="A152" s="30">
        <v>1.99</v>
      </c>
    </row>
    <row r="153" spans="1:1">
      <c r="A153" s="30">
        <v>2</v>
      </c>
    </row>
    <row r="154" spans="1:1">
      <c r="A154" s="30">
        <v>2.0099999999999998</v>
      </c>
    </row>
    <row r="155" spans="1:1">
      <c r="A155" s="30">
        <v>2.02</v>
      </c>
    </row>
    <row r="156" spans="1:1">
      <c r="A156" s="30">
        <v>2.0299999999999998</v>
      </c>
    </row>
    <row r="157" spans="1:1">
      <c r="A157" s="30">
        <v>2.04</v>
      </c>
    </row>
    <row r="158" spans="1:1">
      <c r="A158" s="30">
        <v>2.0499999999999998</v>
      </c>
    </row>
    <row r="159" spans="1:1">
      <c r="A159" s="30">
        <v>2.06</v>
      </c>
    </row>
    <row r="160" spans="1:1">
      <c r="A160" s="30">
        <v>2.0699999999999998</v>
      </c>
    </row>
    <row r="161" spans="1:1">
      <c r="A161" s="30">
        <v>2.08</v>
      </c>
    </row>
    <row r="162" spans="1:1">
      <c r="A162" s="30">
        <v>2.09</v>
      </c>
    </row>
    <row r="163" spans="1:1">
      <c r="A163" s="30">
        <v>2.1</v>
      </c>
    </row>
    <row r="164" spans="1:1">
      <c r="A164" s="30">
        <v>2.11</v>
      </c>
    </row>
    <row r="165" spans="1:1">
      <c r="A165" s="30">
        <v>2.12</v>
      </c>
    </row>
    <row r="166" spans="1:1">
      <c r="A166" s="30">
        <v>2.13</v>
      </c>
    </row>
    <row r="167" spans="1:1">
      <c r="A167" s="30">
        <v>2.14</v>
      </c>
    </row>
    <row r="168" spans="1:1">
      <c r="A168" s="30">
        <v>2.15</v>
      </c>
    </row>
    <row r="169" spans="1:1">
      <c r="A169" s="30">
        <v>2.16</v>
      </c>
    </row>
    <row r="170" spans="1:1">
      <c r="A170" s="30">
        <v>2.17</v>
      </c>
    </row>
    <row r="171" spans="1:1">
      <c r="A171" s="30">
        <v>2.1800000000000002</v>
      </c>
    </row>
    <row r="172" spans="1:1">
      <c r="A172" s="30">
        <v>2.19</v>
      </c>
    </row>
    <row r="173" spans="1:1">
      <c r="A173" s="30">
        <v>2.2000000000000002</v>
      </c>
    </row>
    <row r="174" spans="1:1">
      <c r="A174" s="30">
        <v>2.21</v>
      </c>
    </row>
    <row r="175" spans="1:1">
      <c r="A175" s="30">
        <v>2.2200000000000002</v>
      </c>
    </row>
    <row r="176" spans="1:1">
      <c r="A176" s="30">
        <v>2.23</v>
      </c>
    </row>
    <row r="177" spans="1:1">
      <c r="A177" s="30">
        <v>2.2400000000000002</v>
      </c>
    </row>
    <row r="178" spans="1:1">
      <c r="A178" s="30">
        <v>2.25</v>
      </c>
    </row>
    <row r="179" spans="1:1">
      <c r="A179" s="30">
        <v>2.2599999999999998</v>
      </c>
    </row>
    <row r="180" spans="1:1">
      <c r="A180" s="30">
        <v>2.27</v>
      </c>
    </row>
    <row r="181" spans="1:1">
      <c r="A181" s="30">
        <v>2.2799999999999998</v>
      </c>
    </row>
    <row r="182" spans="1:1">
      <c r="A182" s="30">
        <v>2.29</v>
      </c>
    </row>
    <row r="183" spans="1:1">
      <c r="A183" s="30">
        <v>2.2999999999999998</v>
      </c>
    </row>
  </sheetData>
  <sheetProtection algorithmName="SHA-512" hashValue="sRYi5fEz9RfpdTh5iXlz8YDYx+bed3dLc0POBXHdGUJIUOtR0nP0IXBb8UQnGQSpQpBKtyxPICjjLj9fz56bcg==" saltValue="CYna75nIqrq/1w0sdJEERg==" spinCount="100000" sheet="1" objects="1" scenarios="1"/>
  <mergeCells count="11">
    <mergeCell ref="G9:J9"/>
    <mergeCell ref="G10:J10"/>
    <mergeCell ref="G11:J11"/>
    <mergeCell ref="F19:G19"/>
    <mergeCell ref="G12:J12"/>
    <mergeCell ref="G13:J13"/>
    <mergeCell ref="A1:C1"/>
    <mergeCell ref="A3:C3"/>
    <mergeCell ref="A4:C5"/>
    <mergeCell ref="A6:C6"/>
    <mergeCell ref="A11:C13"/>
  </mergeCells>
  <conditionalFormatting sqref="A11">
    <cfRule type="expression" dxfId="51" priority="3">
      <formula>O11&lt;0.15</formula>
    </cfRule>
    <cfRule type="expression" dxfId="50" priority="4">
      <formula>O11&gt;0.149</formula>
    </cfRule>
  </conditionalFormatting>
  <conditionalFormatting sqref="A17">
    <cfRule type="expression" dxfId="49" priority="1">
      <formula>O11&lt;0.15</formula>
    </cfRule>
    <cfRule type="expression" dxfId="48" priority="2">
      <formula>O11&gt;0.149</formula>
    </cfRule>
  </conditionalFormatting>
  <conditionalFormatting sqref="M4:N4 P4:S4">
    <cfRule type="expression" dxfId="47" priority="7">
      <formula>M4="YES"</formula>
    </cfRule>
  </conditionalFormatting>
  <conditionalFormatting sqref="O11">
    <cfRule type="cellIs" dxfId="46" priority="5" operator="lessThan">
      <formula>0.15</formula>
    </cfRule>
    <cfRule type="cellIs" dxfId="45" priority="6" operator="greaterThan">
      <formula>0.149</formula>
    </cfRule>
  </conditionalFormatting>
  <dataValidations count="2">
    <dataValidation type="list" allowBlank="1" showInputMessage="1" showErrorMessage="1" sqref="F13:F14" xr:uid="{5793C33A-94E1-4BDC-B7E9-6C20B34C51C5}">
      <formula1>$F$113:$F$114</formula1>
    </dataValidation>
    <dataValidation type="list" allowBlank="1" showInputMessage="1" showErrorMessage="1" sqref="A19" xr:uid="{1684D5E3-8174-45D1-B41E-31F2B14FCDFF}">
      <formula1>$A$113:$A$183</formula1>
    </dataValidation>
  </dataValidations>
  <pageMargins left="0.7" right="0.7" top="0.75" bottom="0.75" header="0.3" footer="0.3"/>
  <pageSetup fitToWidth="2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60DAB-E56D-45A1-93AF-92901B0898CB}">
  <sheetPr codeName="Sheet4">
    <tabColor rgb="FF92D050"/>
  </sheetPr>
  <dimension ref="A1:DN306"/>
  <sheetViews>
    <sheetView workbookViewId="0">
      <selection activeCell="G32" sqref="G32"/>
    </sheetView>
  </sheetViews>
  <sheetFormatPr defaultRowHeight="15"/>
  <cols>
    <col min="1" max="1" width="13.5703125" customWidth="1"/>
    <col min="2" max="3" width="9.140625" style="2"/>
    <col min="4" max="4" width="12" customWidth="1"/>
    <col min="5" max="5" width="12.7109375" style="2" customWidth="1"/>
    <col min="6" max="6" width="10.140625" style="2" customWidth="1"/>
    <col min="7" max="7" width="4.42578125" style="2" customWidth="1"/>
    <col min="8" max="8" width="13.5703125" customWidth="1"/>
    <col min="9" max="9" width="12.85546875" customWidth="1"/>
    <col min="10" max="10" width="12.140625" customWidth="1"/>
    <col min="11" max="11" width="11.7109375" customWidth="1"/>
    <col min="12" max="12" width="11.5703125" customWidth="1"/>
    <col min="13" max="13" width="11.140625" customWidth="1"/>
    <col min="14" max="14" width="12" customWidth="1"/>
    <col min="15" max="15" width="2.7109375" customWidth="1"/>
    <col min="16" max="16" width="11.42578125" customWidth="1"/>
    <col min="17" max="17" width="3.28515625" customWidth="1"/>
    <col min="18" max="18" width="12.42578125" customWidth="1"/>
    <col min="19" max="19" width="11.42578125" customWidth="1"/>
    <col min="20" max="20" width="11.28515625" customWidth="1"/>
    <col min="29" max="29" width="5.7109375" customWidth="1"/>
    <col min="30" max="30" width="5.28515625" customWidth="1"/>
    <col min="31" max="80" width="4.140625" customWidth="1"/>
    <col min="81" max="82" width="4.140625" style="2" customWidth="1"/>
    <col min="83" max="118" width="4.140625" customWidth="1"/>
  </cols>
  <sheetData>
    <row r="1" spans="1:20">
      <c r="A1" s="1" t="s">
        <v>273</v>
      </c>
      <c r="H1" s="2" t="s">
        <v>274</v>
      </c>
      <c r="I1" s="2" t="s">
        <v>275</v>
      </c>
      <c r="J1" s="2" t="s">
        <v>276</v>
      </c>
      <c r="K1" s="2" t="s">
        <v>277</v>
      </c>
      <c r="L1" s="2" t="s">
        <v>278</v>
      </c>
      <c r="M1" s="2" t="s">
        <v>279</v>
      </c>
      <c r="N1" s="2" t="s">
        <v>280</v>
      </c>
    </row>
    <row r="2" spans="1:20">
      <c r="A2" s="1" t="s">
        <v>281</v>
      </c>
      <c r="H2" s="2" t="s">
        <v>282</v>
      </c>
      <c r="I2" s="10">
        <v>0.5</v>
      </c>
      <c r="J2" s="10">
        <v>0.1</v>
      </c>
      <c r="K2" s="10">
        <v>0.15</v>
      </c>
      <c r="L2" s="10">
        <v>0.03</v>
      </c>
      <c r="M2" s="10">
        <v>0.22</v>
      </c>
      <c r="N2" s="2" t="s">
        <v>283</v>
      </c>
      <c r="R2" s="2"/>
      <c r="S2" s="19" t="e">
        <f>J3/S3</f>
        <v>#DIV/0!</v>
      </c>
    </row>
    <row r="3" spans="1:20">
      <c r="F3" s="2" t="e">
        <f>$H3/$B$15</f>
        <v>#DIV/0!</v>
      </c>
      <c r="G3" s="13">
        <v>100</v>
      </c>
      <c r="H3" s="14">
        <f>B15*2</f>
        <v>0</v>
      </c>
      <c r="I3" s="11">
        <f>$H3*I$2</f>
        <v>0</v>
      </c>
      <c r="J3" s="11">
        <f>$H3*J$2</f>
        <v>0</v>
      </c>
      <c r="K3" s="11">
        <f>$H3*K$2</f>
        <v>0</v>
      </c>
      <c r="L3" s="11">
        <f>$H3*L$2</f>
        <v>0</v>
      </c>
      <c r="M3" s="11">
        <f>$H3*M$2</f>
        <v>0</v>
      </c>
      <c r="N3" s="12">
        <v>0</v>
      </c>
      <c r="P3" s="5">
        <f t="shared" ref="P3:P12" si="0">$H3-$H$3</f>
        <v>0</v>
      </c>
      <c r="R3" s="2" t="s">
        <v>284</v>
      </c>
      <c r="S3" s="20">
        <f>H16/2</f>
        <v>0</v>
      </c>
      <c r="T3" s="2" t="e">
        <f>S3/H16*60</f>
        <v>#DIV/0!</v>
      </c>
    </row>
    <row r="4" spans="1:20">
      <c r="A4" s="1" t="s">
        <v>176</v>
      </c>
      <c r="F4" s="2" t="e">
        <f t="shared" ref="F4:F13" si="1">$H4/$B$15</f>
        <v>#DIV/0!</v>
      </c>
      <c r="G4" s="13">
        <v>105</v>
      </c>
      <c r="H4" s="5">
        <f>B15*2.05</f>
        <v>0</v>
      </c>
      <c r="I4" s="5">
        <f>$H$3*$I$2</f>
        <v>0</v>
      </c>
      <c r="J4" s="5">
        <f>$H$3*$J$2</f>
        <v>0</v>
      </c>
      <c r="K4" s="5">
        <f>$H$3*$K$2</f>
        <v>0</v>
      </c>
      <c r="L4" s="5">
        <f>($P4*0.3)+$L$3</f>
        <v>0</v>
      </c>
      <c r="M4" s="5">
        <f>($P4*0.5)+$M$3</f>
        <v>0</v>
      </c>
      <c r="N4" s="5">
        <f>$P4*0.2</f>
        <v>0</v>
      </c>
      <c r="P4" s="5">
        <f t="shared" si="0"/>
        <v>0</v>
      </c>
      <c r="Q4" s="5"/>
      <c r="R4" s="5" t="s">
        <v>285</v>
      </c>
      <c r="S4" s="17">
        <v>0</v>
      </c>
      <c r="T4" s="2" t="s">
        <v>286</v>
      </c>
    </row>
    <row r="5" spans="1:20">
      <c r="A5" t="s">
        <v>287</v>
      </c>
      <c r="F5" s="2" t="e">
        <f t="shared" si="1"/>
        <v>#DIV/0!</v>
      </c>
      <c r="G5" s="13">
        <v>110</v>
      </c>
      <c r="H5" s="5">
        <f>B15*2.1</f>
        <v>0</v>
      </c>
      <c r="I5" s="5">
        <f t="shared" ref="I5:I13" si="2">$H$3*$I$2</f>
        <v>0</v>
      </c>
      <c r="J5" s="5">
        <f t="shared" ref="J5:J13" si="3">$H$3*$J$2</f>
        <v>0</v>
      </c>
      <c r="K5" s="5">
        <f t="shared" ref="K5:K13" si="4">$H$3*$K$2</f>
        <v>0</v>
      </c>
      <c r="L5" s="5">
        <f t="shared" ref="L5:L13" si="5">($P5*0.3)+$L$3</f>
        <v>0</v>
      </c>
      <c r="M5" s="5">
        <f t="shared" ref="M5:M13" si="6">($P5*0.5)+$M$3</f>
        <v>0</v>
      </c>
      <c r="N5" s="5">
        <f t="shared" ref="N5:N13" si="7">$P5*0.2</f>
        <v>0</v>
      </c>
      <c r="P5" s="5">
        <f t="shared" si="0"/>
        <v>0</v>
      </c>
      <c r="R5" s="22" t="s">
        <v>288</v>
      </c>
      <c r="S5" s="23">
        <f>T5*T6</f>
        <v>0</v>
      </c>
      <c r="T5" s="24">
        <v>0</v>
      </c>
    </row>
    <row r="6" spans="1:20">
      <c r="A6" t="s">
        <v>289</v>
      </c>
      <c r="F6" s="2" t="e">
        <f t="shared" si="1"/>
        <v>#DIV/0!</v>
      </c>
      <c r="G6" s="13">
        <v>115</v>
      </c>
      <c r="H6" s="5">
        <f>B15*2.15</f>
        <v>0</v>
      </c>
      <c r="I6" s="5">
        <f t="shared" si="2"/>
        <v>0</v>
      </c>
      <c r="J6" s="5">
        <f t="shared" si="3"/>
        <v>0</v>
      </c>
      <c r="K6" s="5">
        <f t="shared" si="4"/>
        <v>0</v>
      </c>
      <c r="L6" s="5">
        <f t="shared" si="5"/>
        <v>0</v>
      </c>
      <c r="M6" s="5">
        <f t="shared" si="6"/>
        <v>0</v>
      </c>
      <c r="N6" s="5">
        <f t="shared" si="7"/>
        <v>0</v>
      </c>
      <c r="P6" s="5">
        <f t="shared" si="0"/>
        <v>0</v>
      </c>
      <c r="R6" s="5" t="s">
        <v>290</v>
      </c>
      <c r="S6" s="18">
        <v>0</v>
      </c>
      <c r="T6" s="2">
        <v>0.55000000000000004</v>
      </c>
    </row>
    <row r="7" spans="1:20">
      <c r="F7" s="2" t="e">
        <f t="shared" si="1"/>
        <v>#DIV/0!</v>
      </c>
      <c r="G7" s="13">
        <v>120</v>
      </c>
      <c r="H7" s="5">
        <f>B15*2.2</f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P7" s="5">
        <f t="shared" si="0"/>
        <v>0</v>
      </c>
      <c r="R7" s="5"/>
      <c r="S7" s="5"/>
    </row>
    <row r="8" spans="1:20">
      <c r="A8" s="1" t="s">
        <v>183</v>
      </c>
      <c r="C8" s="360"/>
      <c r="D8" s="361"/>
      <c r="E8" s="362"/>
      <c r="F8" s="2" t="e">
        <f t="shared" si="1"/>
        <v>#DIV/0!</v>
      </c>
      <c r="G8" s="13">
        <v>125</v>
      </c>
      <c r="H8" s="5">
        <f>B15*2.25</f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P8" s="5">
        <f t="shared" si="0"/>
        <v>0</v>
      </c>
      <c r="R8" s="5"/>
      <c r="S8" s="5"/>
    </row>
    <row r="9" spans="1:20">
      <c r="A9" s="1" t="s">
        <v>186</v>
      </c>
      <c r="C9" s="360"/>
      <c r="D9" s="361"/>
      <c r="E9" s="362"/>
      <c r="F9" s="2" t="e">
        <f t="shared" si="1"/>
        <v>#DIV/0!</v>
      </c>
      <c r="G9" s="13">
        <v>130</v>
      </c>
      <c r="H9" s="5">
        <f>B15*2.3</f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P9" s="5">
        <f t="shared" si="0"/>
        <v>0</v>
      </c>
      <c r="R9" s="5"/>
      <c r="S9" s="5"/>
    </row>
    <row r="10" spans="1:20">
      <c r="A10" s="1" t="s">
        <v>187</v>
      </c>
      <c r="C10" s="360"/>
      <c r="D10" s="361"/>
      <c r="E10" s="362"/>
      <c r="F10" s="2" t="e">
        <f t="shared" si="1"/>
        <v>#DIV/0!</v>
      </c>
      <c r="G10" s="13">
        <v>135</v>
      </c>
      <c r="H10" s="5">
        <f>B15*2.35</f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P10" s="5">
        <f t="shared" si="0"/>
        <v>0</v>
      </c>
      <c r="R10" s="5"/>
      <c r="S10" s="5"/>
    </row>
    <row r="11" spans="1:20">
      <c r="F11" s="2" t="e">
        <f t="shared" si="1"/>
        <v>#DIV/0!</v>
      </c>
      <c r="G11" s="13">
        <v>140</v>
      </c>
      <c r="H11" s="5">
        <f>B15*2.4</f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P11" s="5">
        <f t="shared" si="0"/>
        <v>0</v>
      </c>
      <c r="R11" s="5"/>
      <c r="S11" s="5"/>
    </row>
    <row r="12" spans="1:20">
      <c r="A12" s="2" t="s">
        <v>291</v>
      </c>
      <c r="B12" s="16">
        <f>14.8*1.2</f>
        <v>17.760000000000002</v>
      </c>
      <c r="F12" s="2" t="e">
        <f t="shared" si="1"/>
        <v>#DIV/0!</v>
      </c>
      <c r="G12" s="13">
        <v>145</v>
      </c>
      <c r="H12" s="5">
        <f>B15*2.45</f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P12" s="5">
        <f t="shared" si="0"/>
        <v>0</v>
      </c>
      <c r="Q12" s="5"/>
      <c r="R12" s="5"/>
      <c r="S12" s="5">
        <f>SUM(S4:S11)</f>
        <v>0</v>
      </c>
    </row>
    <row r="13" spans="1:20">
      <c r="F13" s="2" t="e">
        <f t="shared" si="1"/>
        <v>#DIV/0!</v>
      </c>
      <c r="G13" s="13">
        <v>150</v>
      </c>
      <c r="H13" s="5">
        <f>B15*2.5</f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P13" s="5">
        <f>$H13-$H$3</f>
        <v>0</v>
      </c>
      <c r="Q13" s="5"/>
      <c r="R13" s="5"/>
      <c r="S13" s="5"/>
    </row>
    <row r="14" spans="1:20">
      <c r="A14" s="2"/>
    </row>
    <row r="15" spans="1:20">
      <c r="A15" s="286" t="s">
        <v>197</v>
      </c>
      <c r="B15" s="393">
        <f>SUM(H15:T15)*1.08</f>
        <v>0</v>
      </c>
      <c r="C15" s="394"/>
      <c r="D15" s="8" t="s">
        <v>198</v>
      </c>
      <c r="F15" s="3">
        <f>SUM(F18:F97)</f>
        <v>1</v>
      </c>
      <c r="H15" s="9"/>
      <c r="I15" s="9"/>
      <c r="J15" s="9"/>
      <c r="K15" s="9">
        <f>SUM(K18:K97)</f>
        <v>0</v>
      </c>
      <c r="L15" s="9">
        <f>SUM(L18:L97)</f>
        <v>0</v>
      </c>
      <c r="M15" s="9">
        <f>SUM(M18:M97)</f>
        <v>0</v>
      </c>
      <c r="N15" s="9">
        <f>SUM(N18:N97)</f>
        <v>0</v>
      </c>
      <c r="P15" s="5">
        <f>S12</f>
        <v>0</v>
      </c>
      <c r="R15" s="21">
        <f>SUM(R18:R97)</f>
        <v>0</v>
      </c>
      <c r="S15" s="21">
        <f>SUM(S18:S97)</f>
        <v>0</v>
      </c>
      <c r="T15" s="9">
        <f>SUM(T18:T97)</f>
        <v>0</v>
      </c>
    </row>
    <row r="16" spans="1:20">
      <c r="A16" s="286" t="s">
        <v>292</v>
      </c>
      <c r="B16" s="393" t="e">
        <f>AVERAGE(P18:P97)</f>
        <v>#DIV/0!</v>
      </c>
      <c r="C16" s="394"/>
      <c r="F16" s="2" t="s">
        <v>293</v>
      </c>
      <c r="G16" s="25" t="s">
        <v>200</v>
      </c>
      <c r="H16" s="2"/>
      <c r="I16" s="2"/>
      <c r="J16" s="2">
        <f>J15/J110</f>
        <v>0</v>
      </c>
      <c r="K16" s="2">
        <f>K15/K110</f>
        <v>0</v>
      </c>
      <c r="L16" s="2">
        <f>L15/L110</f>
        <v>0</v>
      </c>
      <c r="M16" s="2">
        <f>M15/M110</f>
        <v>0</v>
      </c>
      <c r="N16" s="2">
        <f>ROUNDUP(N15/N110,1)</f>
        <v>0</v>
      </c>
    </row>
    <row r="17" spans="1:20">
      <c r="A17" s="2" t="s">
        <v>202</v>
      </c>
      <c r="B17" s="254" t="s">
        <v>203</v>
      </c>
      <c r="C17" s="254" t="s">
        <v>204</v>
      </c>
      <c r="D17" s="2" t="s">
        <v>294</v>
      </c>
      <c r="E17" s="2" t="s">
        <v>295</v>
      </c>
      <c r="F17" s="2" t="s">
        <v>296</v>
      </c>
      <c r="H17" s="6" t="s">
        <v>297</v>
      </c>
      <c r="I17" s="2" t="s">
        <v>298</v>
      </c>
      <c r="J17" s="2" t="s">
        <v>299</v>
      </c>
      <c r="K17" s="2"/>
      <c r="L17" s="2"/>
      <c r="M17" s="2"/>
      <c r="N17" s="2"/>
      <c r="P17" s="2"/>
      <c r="R17" s="2"/>
      <c r="S17" s="2"/>
      <c r="T17" s="2"/>
    </row>
    <row r="18" spans="1:20">
      <c r="A18" s="2">
        <v>1</v>
      </c>
      <c r="B18" s="15">
        <v>96</v>
      </c>
      <c r="C18" s="15">
        <v>48</v>
      </c>
      <c r="D18" s="2" t="str">
        <f>IF(OR(B18&gt;44,C18&gt;96)*OR(C18&gt;48,B18&gt;92),"NOPE",B18+4)</f>
        <v>NOPE</v>
      </c>
      <c r="E18" s="2" t="str">
        <f>IF(OR(B18&gt;44,C18&gt;96)*OR(C18&gt;48,B18&gt;92),"NOPE",C18)</f>
        <v>NOPE</v>
      </c>
      <c r="F18" s="3">
        <f>IF(AND(B18&lt;44.1,C18&lt;48.1),0.5,IF(AND(B18&gt;44,C18&lt;48.1),1,IF(AND(C18&gt;47.9,B18&lt;96.1),1,"")))</f>
        <v>1</v>
      </c>
      <c r="H18" s="26" t="e">
        <f>VLOOKUP(E18,D115:E180,2,)</f>
        <v>#N/A</v>
      </c>
      <c r="I18" s="26" t="str">
        <f xml:space="preserve">
IF(AND(E18&lt;34),VLOOKUP(C18,D115:F180,3,),
IF(AND(D18&lt;=48,E18&lt;=70),30,
IF(AND(D18&lt;=48,E18&gt;48,E18&lt;96),15,
IF(AND(E18&gt;=70,E18&lt;=96),15,
""))))</f>
        <v/>
      </c>
      <c r="J18" s="27" t="str">
        <f xml:space="preserve">
IF(AND(B18&lt;=44,C18&lt;=70),4,
IF(AND(B18&gt;44,C18&gt;70),6,
""))</f>
        <v/>
      </c>
      <c r="K18" s="4"/>
      <c r="L18" s="4"/>
      <c r="M18" s="4"/>
      <c r="N18" s="4"/>
      <c r="P18" s="5"/>
      <c r="R18" s="7"/>
      <c r="S18" s="7"/>
      <c r="T18" s="7"/>
    </row>
    <row r="19" spans="1:20">
      <c r="A19" s="2">
        <v>2</v>
      </c>
      <c r="B19" s="15"/>
      <c r="C19" s="15"/>
      <c r="D19" s="2"/>
      <c r="F19" s="3"/>
      <c r="H19" s="4"/>
      <c r="I19" s="4"/>
      <c r="J19" s="4"/>
      <c r="K19" s="4"/>
      <c r="L19" s="4"/>
      <c r="M19" s="4"/>
      <c r="N19" s="4"/>
      <c r="P19" s="5"/>
      <c r="R19" s="7"/>
      <c r="S19" s="7"/>
      <c r="T19" s="7"/>
    </row>
    <row r="20" spans="1:20">
      <c r="A20" s="2">
        <v>3</v>
      </c>
      <c r="B20" s="15"/>
      <c r="C20" s="15"/>
      <c r="D20" s="2"/>
      <c r="F20" s="3"/>
      <c r="H20" s="4"/>
      <c r="I20" s="4"/>
      <c r="J20" s="4"/>
      <c r="K20" s="4"/>
      <c r="L20" s="4"/>
      <c r="M20" s="4"/>
      <c r="N20" s="4"/>
      <c r="P20" s="5"/>
      <c r="R20" s="7"/>
      <c r="S20" s="7"/>
      <c r="T20" s="7"/>
    </row>
    <row r="21" spans="1:20">
      <c r="A21" s="2">
        <v>4</v>
      </c>
      <c r="B21" s="15"/>
      <c r="C21" s="15"/>
      <c r="D21" s="2"/>
      <c r="F21" s="3"/>
      <c r="H21" s="4"/>
      <c r="I21" s="4"/>
      <c r="J21" s="4"/>
      <c r="K21" s="4"/>
      <c r="L21" s="4"/>
      <c r="M21" s="4"/>
      <c r="N21" s="4"/>
      <c r="P21" s="5"/>
      <c r="R21" s="7"/>
      <c r="S21" s="7"/>
      <c r="T21" s="7"/>
    </row>
    <row r="22" spans="1:20">
      <c r="A22" s="2">
        <v>5</v>
      </c>
      <c r="B22" s="15"/>
      <c r="C22" s="15"/>
      <c r="D22" s="2"/>
      <c r="F22" s="3"/>
      <c r="H22" s="4"/>
      <c r="I22" s="4"/>
      <c r="J22" s="4"/>
      <c r="K22" s="4"/>
      <c r="L22" s="4"/>
      <c r="M22" s="4"/>
      <c r="N22" s="4"/>
      <c r="P22" s="5"/>
      <c r="R22" s="7"/>
      <c r="S22" s="7"/>
      <c r="T22" s="7"/>
    </row>
    <row r="23" spans="1:20">
      <c r="A23" s="2">
        <v>6</v>
      </c>
      <c r="B23" s="15"/>
      <c r="C23" s="15"/>
      <c r="D23" s="2"/>
      <c r="F23" s="3"/>
      <c r="H23" s="4"/>
      <c r="I23" s="4"/>
      <c r="J23" s="4"/>
      <c r="K23" s="4"/>
      <c r="L23" s="4"/>
      <c r="M23" s="4"/>
      <c r="N23" s="4"/>
      <c r="P23" s="5"/>
      <c r="R23" s="7"/>
      <c r="S23" s="7"/>
      <c r="T23" s="7"/>
    </row>
    <row r="24" spans="1:20">
      <c r="A24" s="2">
        <v>7</v>
      </c>
      <c r="B24" s="15"/>
      <c r="C24" s="15"/>
      <c r="D24" s="2"/>
      <c r="F24" s="3"/>
      <c r="H24" s="4"/>
      <c r="I24" s="4"/>
      <c r="J24" s="4"/>
      <c r="K24" s="4"/>
      <c r="L24" s="4"/>
      <c r="M24" s="4"/>
      <c r="N24" s="4"/>
      <c r="P24" s="5"/>
      <c r="R24" s="7"/>
      <c r="S24" s="7"/>
      <c r="T24" s="7"/>
    </row>
    <row r="25" spans="1:20">
      <c r="A25" s="2">
        <v>8</v>
      </c>
      <c r="B25" s="15"/>
      <c r="C25" s="15"/>
      <c r="D25" s="2"/>
      <c r="F25" s="3"/>
      <c r="H25" s="4"/>
      <c r="I25" s="4"/>
      <c r="J25" s="4"/>
      <c r="K25" s="4"/>
      <c r="L25" s="4"/>
      <c r="M25" s="4"/>
      <c r="N25" s="4"/>
      <c r="P25" s="5"/>
      <c r="R25" s="7"/>
      <c r="S25" s="7"/>
      <c r="T25" s="7"/>
    </row>
    <row r="26" spans="1:20">
      <c r="A26" s="2">
        <v>9</v>
      </c>
      <c r="B26" s="15"/>
      <c r="C26" s="15"/>
      <c r="D26" s="2"/>
      <c r="F26" s="3"/>
      <c r="H26" s="4"/>
      <c r="I26" s="4"/>
      <c r="J26" s="4"/>
      <c r="K26" s="4"/>
      <c r="L26" s="4"/>
      <c r="M26" s="4"/>
      <c r="N26" s="4"/>
      <c r="P26" s="5"/>
      <c r="R26" s="7"/>
      <c r="S26" s="7"/>
      <c r="T26" s="7"/>
    </row>
    <row r="27" spans="1:20">
      <c r="A27" s="2">
        <v>10</v>
      </c>
      <c r="B27" s="15"/>
      <c r="C27" s="15"/>
      <c r="D27" s="2"/>
      <c r="F27" s="3"/>
      <c r="H27" s="4"/>
      <c r="I27" s="4"/>
      <c r="J27" s="4"/>
      <c r="K27" s="4"/>
      <c r="L27" s="4"/>
      <c r="M27" s="4"/>
      <c r="N27" s="4"/>
      <c r="P27" s="5"/>
      <c r="R27" s="7"/>
      <c r="S27" s="7"/>
      <c r="T27" s="7"/>
    </row>
    <row r="28" spans="1:20">
      <c r="A28" s="2">
        <v>11</v>
      </c>
      <c r="B28" s="15"/>
      <c r="C28" s="15"/>
      <c r="D28" s="2"/>
      <c r="F28" s="3"/>
      <c r="H28" s="4"/>
      <c r="I28" s="4"/>
      <c r="J28" s="4"/>
      <c r="K28" s="4"/>
      <c r="L28" s="4"/>
      <c r="M28" s="4"/>
      <c r="N28" s="4"/>
      <c r="P28" s="5"/>
      <c r="R28" s="7"/>
      <c r="S28" s="7"/>
      <c r="T28" s="7"/>
    </row>
    <row r="29" spans="1:20">
      <c r="A29" s="2">
        <v>12</v>
      </c>
      <c r="B29" s="15"/>
      <c r="C29" s="15"/>
      <c r="D29" s="2"/>
      <c r="F29" s="3"/>
      <c r="H29" s="4"/>
      <c r="I29" s="4"/>
      <c r="J29" s="4"/>
      <c r="K29" s="4"/>
      <c r="L29" s="4"/>
      <c r="M29" s="4"/>
      <c r="N29" s="4"/>
      <c r="P29" s="5"/>
      <c r="R29" s="7"/>
      <c r="S29" s="7"/>
      <c r="T29" s="7"/>
    </row>
    <row r="30" spans="1:20">
      <c r="A30" s="2">
        <v>13</v>
      </c>
      <c r="B30" s="15"/>
      <c r="C30" s="15"/>
      <c r="D30" s="2"/>
      <c r="F30" s="3"/>
      <c r="H30" s="4"/>
      <c r="I30" s="4"/>
      <c r="J30" s="4"/>
      <c r="K30" s="4"/>
      <c r="L30" s="4"/>
      <c r="M30" s="4"/>
      <c r="N30" s="4"/>
      <c r="P30" s="5"/>
      <c r="R30" s="7"/>
      <c r="S30" s="7"/>
      <c r="T30" s="7"/>
    </row>
    <row r="31" spans="1:20">
      <c r="A31" s="2">
        <v>14</v>
      </c>
      <c r="B31" s="15"/>
      <c r="C31" s="15"/>
      <c r="D31" s="2"/>
      <c r="F31" s="3"/>
      <c r="H31" s="4"/>
      <c r="I31" s="4"/>
      <c r="J31" s="4"/>
      <c r="K31" s="4"/>
      <c r="L31" s="4"/>
      <c r="M31" s="4"/>
      <c r="N31" s="4"/>
      <c r="P31" s="5"/>
      <c r="R31" s="7"/>
      <c r="S31" s="7"/>
      <c r="T31" s="7"/>
    </row>
    <row r="32" spans="1:20">
      <c r="A32" s="2">
        <v>15</v>
      </c>
      <c r="B32" s="15"/>
      <c r="C32" s="15"/>
      <c r="D32" s="2"/>
      <c r="F32" s="3"/>
      <c r="H32" s="4"/>
      <c r="I32" s="4"/>
      <c r="J32" s="2"/>
      <c r="K32" s="2"/>
      <c r="L32" s="2"/>
      <c r="M32" s="2"/>
      <c r="N32" s="2"/>
      <c r="P32" s="2"/>
      <c r="R32" s="7"/>
      <c r="S32" s="7"/>
      <c r="T32" s="7"/>
    </row>
    <row r="33" spans="1:20">
      <c r="A33" s="2">
        <v>16</v>
      </c>
      <c r="B33" s="15"/>
      <c r="C33" s="15"/>
      <c r="D33" s="2"/>
      <c r="F33" s="3"/>
      <c r="H33" s="4"/>
      <c r="I33" s="4"/>
      <c r="J33" s="4"/>
      <c r="K33" s="4"/>
      <c r="L33" s="4"/>
      <c r="M33" s="4"/>
      <c r="N33" s="4"/>
      <c r="P33" s="5"/>
      <c r="R33" s="7"/>
      <c r="S33" s="7"/>
      <c r="T33" s="7"/>
    </row>
    <row r="34" spans="1:20">
      <c r="A34" s="2">
        <v>17</v>
      </c>
      <c r="B34" s="15"/>
      <c r="C34" s="15"/>
      <c r="D34" s="2"/>
      <c r="F34" s="3"/>
      <c r="H34" s="4"/>
      <c r="I34" s="4"/>
      <c r="J34" s="4"/>
      <c r="K34" s="4"/>
      <c r="L34" s="4"/>
      <c r="M34" s="4"/>
      <c r="N34" s="4"/>
      <c r="P34" s="5"/>
      <c r="R34" s="7"/>
      <c r="S34" s="7"/>
      <c r="T34" s="7"/>
    </row>
    <row r="35" spans="1:20">
      <c r="A35" s="2">
        <v>18</v>
      </c>
      <c r="B35" s="15"/>
      <c r="C35" s="15"/>
      <c r="D35" s="2"/>
      <c r="F35" s="3"/>
      <c r="H35" s="4"/>
      <c r="I35" s="4"/>
      <c r="J35" s="4"/>
      <c r="K35" s="4"/>
      <c r="L35" s="4"/>
      <c r="M35" s="4"/>
      <c r="N35" s="4"/>
      <c r="P35" s="5"/>
      <c r="R35" s="7"/>
      <c r="S35" s="7"/>
      <c r="T35" s="7"/>
    </row>
    <row r="36" spans="1:20">
      <c r="A36" s="2">
        <v>19</v>
      </c>
      <c r="B36" s="15"/>
      <c r="C36" s="15"/>
      <c r="D36" s="2"/>
      <c r="F36" s="3"/>
      <c r="H36" s="4"/>
      <c r="I36" s="4"/>
      <c r="J36" s="4"/>
      <c r="K36" s="4"/>
      <c r="L36" s="4"/>
      <c r="M36" s="4"/>
      <c r="N36" s="4"/>
      <c r="P36" s="5"/>
      <c r="R36" s="7"/>
      <c r="S36" s="7"/>
      <c r="T36" s="7"/>
    </row>
    <row r="37" spans="1:20">
      <c r="A37" s="2">
        <v>20</v>
      </c>
      <c r="B37" s="15"/>
      <c r="C37" s="15"/>
      <c r="D37" s="2"/>
      <c r="F37" s="3"/>
      <c r="H37" s="4"/>
      <c r="I37" s="4"/>
      <c r="J37" s="4"/>
      <c r="K37" s="4"/>
      <c r="L37" s="4"/>
      <c r="M37" s="4"/>
      <c r="N37" s="4"/>
      <c r="P37" s="5"/>
      <c r="R37" s="7"/>
      <c r="S37" s="7"/>
      <c r="T37" s="7"/>
    </row>
    <row r="38" spans="1:20">
      <c r="A38" s="2">
        <v>21</v>
      </c>
      <c r="B38" s="15"/>
      <c r="C38" s="15"/>
      <c r="D38" s="2"/>
      <c r="F38" s="3"/>
      <c r="H38" s="4"/>
      <c r="I38" s="4"/>
      <c r="J38" s="4"/>
      <c r="K38" s="4"/>
      <c r="L38" s="4"/>
      <c r="M38" s="4"/>
      <c r="N38" s="4"/>
      <c r="P38" s="5"/>
      <c r="R38" s="7"/>
      <c r="S38" s="7"/>
      <c r="T38" s="7"/>
    </row>
    <row r="39" spans="1:20">
      <c r="A39" s="2">
        <v>22</v>
      </c>
      <c r="B39" s="15"/>
      <c r="C39" s="15"/>
      <c r="D39" s="2"/>
      <c r="F39" s="3"/>
      <c r="H39" s="4"/>
      <c r="I39" s="4"/>
      <c r="J39" s="4"/>
      <c r="K39" s="4"/>
      <c r="L39" s="4"/>
      <c r="M39" s="4"/>
      <c r="N39" s="4"/>
      <c r="P39" s="5"/>
      <c r="R39" s="7"/>
      <c r="S39" s="7"/>
      <c r="T39" s="7"/>
    </row>
    <row r="40" spans="1:20">
      <c r="A40" s="2">
        <v>23</v>
      </c>
      <c r="B40" s="15"/>
      <c r="C40" s="15"/>
      <c r="D40" s="2"/>
      <c r="F40" s="3"/>
      <c r="H40" s="4"/>
      <c r="I40" s="4"/>
      <c r="J40" s="4"/>
      <c r="K40" s="4"/>
      <c r="L40" s="4"/>
      <c r="M40" s="4"/>
      <c r="N40" s="4"/>
      <c r="P40" s="5"/>
      <c r="R40" s="7"/>
      <c r="S40" s="7"/>
      <c r="T40" s="7"/>
    </row>
    <row r="41" spans="1:20">
      <c r="A41" s="2">
        <v>24</v>
      </c>
      <c r="B41" s="15"/>
      <c r="C41" s="15"/>
      <c r="D41" s="2"/>
      <c r="F41" s="3"/>
      <c r="H41" s="4"/>
      <c r="I41" s="4"/>
      <c r="J41" s="4"/>
      <c r="K41" s="4"/>
      <c r="L41" s="4"/>
      <c r="M41" s="4"/>
      <c r="N41" s="4"/>
      <c r="P41" s="5"/>
      <c r="R41" s="7"/>
      <c r="S41" s="7"/>
      <c r="T41" s="7"/>
    </row>
    <row r="42" spans="1:20">
      <c r="A42" s="2">
        <v>25</v>
      </c>
      <c r="B42" s="15"/>
      <c r="C42" s="15"/>
      <c r="D42" s="2"/>
      <c r="F42" s="3"/>
      <c r="H42" s="4"/>
      <c r="I42" s="4"/>
      <c r="J42" s="4"/>
      <c r="K42" s="4"/>
      <c r="L42" s="4"/>
      <c r="M42" s="4"/>
      <c r="N42" s="4"/>
      <c r="P42" s="5"/>
      <c r="R42" s="7"/>
      <c r="S42" s="7"/>
      <c r="T42" s="7"/>
    </row>
    <row r="43" spans="1:20">
      <c r="A43" s="2">
        <v>26</v>
      </c>
      <c r="B43" s="15"/>
      <c r="C43" s="15"/>
      <c r="D43" s="2"/>
      <c r="F43" s="3"/>
      <c r="H43" s="4"/>
      <c r="I43" s="4"/>
      <c r="J43" s="4"/>
      <c r="K43" s="4"/>
      <c r="L43" s="4"/>
      <c r="M43" s="4"/>
      <c r="N43" s="4"/>
      <c r="P43" s="5"/>
      <c r="R43" s="7"/>
      <c r="S43" s="7"/>
      <c r="T43" s="7"/>
    </row>
    <row r="44" spans="1:20">
      <c r="A44" s="2">
        <v>27</v>
      </c>
      <c r="B44" s="15"/>
      <c r="C44" s="15"/>
      <c r="D44" s="2"/>
      <c r="F44" s="3"/>
      <c r="H44" s="4"/>
      <c r="I44" s="4"/>
      <c r="J44" s="4"/>
      <c r="K44" s="4"/>
      <c r="L44" s="4"/>
      <c r="M44" s="4"/>
      <c r="N44" s="4"/>
      <c r="P44" s="5"/>
      <c r="R44" s="7"/>
      <c r="S44" s="7"/>
      <c r="T44" s="7"/>
    </row>
    <row r="45" spans="1:20">
      <c r="A45" s="2">
        <v>28</v>
      </c>
      <c r="B45" s="15"/>
      <c r="C45" s="15"/>
      <c r="D45" s="2"/>
      <c r="F45" s="3"/>
      <c r="H45" s="4"/>
      <c r="I45" s="4"/>
      <c r="J45" s="4"/>
      <c r="K45" s="4"/>
      <c r="L45" s="4"/>
      <c r="M45" s="4"/>
      <c r="N45" s="4"/>
      <c r="P45" s="5"/>
      <c r="R45" s="7"/>
      <c r="S45" s="7"/>
      <c r="T45" s="7"/>
    </row>
    <row r="46" spans="1:20">
      <c r="A46" s="2">
        <v>29</v>
      </c>
      <c r="B46" s="15"/>
      <c r="C46" s="15"/>
      <c r="D46" s="2"/>
      <c r="F46" s="3"/>
      <c r="H46" s="4"/>
      <c r="I46" s="4"/>
      <c r="J46" s="4"/>
      <c r="K46" s="4"/>
      <c r="L46" s="4"/>
      <c r="M46" s="4"/>
      <c r="N46" s="4"/>
      <c r="P46" s="5"/>
      <c r="R46" s="7"/>
      <c r="S46" s="7"/>
      <c r="T46" s="7"/>
    </row>
    <row r="47" spans="1:20">
      <c r="A47" s="2">
        <v>30</v>
      </c>
      <c r="B47" s="15"/>
      <c r="C47" s="15"/>
      <c r="D47" s="2"/>
      <c r="F47" s="3"/>
      <c r="H47" s="4"/>
      <c r="I47" s="4"/>
      <c r="J47" s="4"/>
      <c r="K47" s="4"/>
      <c r="L47" s="4"/>
      <c r="M47" s="4"/>
      <c r="N47" s="4"/>
      <c r="P47" s="5"/>
      <c r="R47" s="7"/>
      <c r="S47" s="7"/>
      <c r="T47" s="7"/>
    </row>
    <row r="48" spans="1:20">
      <c r="A48" s="2">
        <v>31</v>
      </c>
      <c r="B48" s="15"/>
      <c r="C48" s="15"/>
      <c r="D48" s="2"/>
      <c r="F48" s="3"/>
      <c r="H48" s="4"/>
      <c r="I48" s="4"/>
      <c r="J48" s="4"/>
      <c r="K48" s="4"/>
      <c r="L48" s="4"/>
      <c r="M48" s="4"/>
      <c r="N48" s="4"/>
      <c r="P48" s="5"/>
      <c r="R48" s="7"/>
      <c r="S48" s="7"/>
      <c r="T48" s="7"/>
    </row>
    <row r="49" spans="1:20">
      <c r="A49" s="2">
        <v>32</v>
      </c>
      <c r="B49" s="15"/>
      <c r="C49" s="15"/>
      <c r="D49" s="2"/>
      <c r="F49" s="3"/>
      <c r="H49" s="4"/>
      <c r="I49" s="4"/>
      <c r="J49" s="4"/>
      <c r="K49" s="4"/>
      <c r="L49" s="4"/>
      <c r="M49" s="4"/>
      <c r="N49" s="4"/>
      <c r="P49" s="5"/>
      <c r="R49" s="7"/>
      <c r="S49" s="7"/>
      <c r="T49" s="7"/>
    </row>
    <row r="50" spans="1:20">
      <c r="A50" s="2">
        <v>33</v>
      </c>
      <c r="B50" s="15"/>
      <c r="C50" s="15"/>
      <c r="D50" s="2"/>
      <c r="F50" s="3"/>
      <c r="H50" s="4"/>
      <c r="I50" s="4"/>
      <c r="J50" s="4"/>
      <c r="K50" s="4"/>
      <c r="L50" s="4"/>
      <c r="M50" s="4"/>
      <c r="N50" s="4"/>
      <c r="P50" s="5"/>
      <c r="R50" s="7"/>
      <c r="S50" s="7"/>
      <c r="T50" s="7"/>
    </row>
    <row r="51" spans="1:20">
      <c r="A51" s="2">
        <v>34</v>
      </c>
      <c r="B51" s="15"/>
      <c r="C51" s="15"/>
      <c r="D51" s="2"/>
      <c r="F51" s="3"/>
      <c r="H51" s="4"/>
      <c r="I51" s="4"/>
      <c r="J51" s="4"/>
      <c r="K51" s="4"/>
      <c r="L51" s="4"/>
      <c r="M51" s="4"/>
      <c r="N51" s="4"/>
      <c r="P51" s="5"/>
      <c r="R51" s="7"/>
      <c r="S51" s="7"/>
      <c r="T51" s="7"/>
    </row>
    <row r="52" spans="1:20">
      <c r="A52" s="2">
        <v>35</v>
      </c>
      <c r="B52" s="15"/>
      <c r="C52" s="15"/>
      <c r="D52" s="2"/>
      <c r="F52" s="3"/>
      <c r="H52" s="4"/>
      <c r="I52" s="4"/>
      <c r="J52" s="4"/>
      <c r="K52" s="4"/>
      <c r="L52" s="4"/>
      <c r="M52" s="4"/>
      <c r="N52" s="4"/>
      <c r="P52" s="5"/>
      <c r="R52" s="7"/>
      <c r="S52" s="7"/>
      <c r="T52" s="7"/>
    </row>
    <row r="53" spans="1:20">
      <c r="A53" s="2">
        <v>36</v>
      </c>
      <c r="B53" s="15"/>
      <c r="C53" s="15"/>
      <c r="D53" s="2"/>
      <c r="F53" s="3"/>
      <c r="H53" s="4"/>
      <c r="I53" s="4"/>
      <c r="J53" s="4"/>
      <c r="K53" s="4"/>
      <c r="L53" s="4"/>
      <c r="M53" s="4"/>
      <c r="N53" s="4"/>
      <c r="P53" s="5"/>
      <c r="R53" s="7"/>
      <c r="S53" s="7"/>
      <c r="T53" s="7"/>
    </row>
    <row r="54" spans="1:20">
      <c r="A54" s="2">
        <v>37</v>
      </c>
      <c r="B54" s="15"/>
      <c r="C54" s="15"/>
      <c r="D54" s="2"/>
      <c r="F54" s="3"/>
      <c r="H54" s="4"/>
      <c r="I54" s="4"/>
      <c r="J54" s="4"/>
      <c r="K54" s="4"/>
      <c r="L54" s="4"/>
      <c r="M54" s="4"/>
      <c r="N54" s="4"/>
      <c r="P54" s="5"/>
      <c r="R54" s="7"/>
      <c r="S54" s="7"/>
      <c r="T54" s="7"/>
    </row>
    <row r="55" spans="1:20">
      <c r="A55" s="2">
        <v>38</v>
      </c>
      <c r="B55" s="15"/>
      <c r="C55" s="15"/>
      <c r="D55" s="2"/>
      <c r="F55" s="3"/>
      <c r="H55" s="4"/>
      <c r="I55" s="4"/>
      <c r="J55" s="4"/>
      <c r="K55" s="4"/>
      <c r="L55" s="4"/>
      <c r="M55" s="4"/>
      <c r="N55" s="4"/>
      <c r="P55" s="5"/>
      <c r="R55" s="7"/>
      <c r="S55" s="7"/>
      <c r="T55" s="7"/>
    </row>
    <row r="56" spans="1:20">
      <c r="A56" s="2">
        <v>39</v>
      </c>
      <c r="B56" s="15"/>
      <c r="C56" s="15"/>
      <c r="D56" s="2"/>
      <c r="F56" s="3"/>
      <c r="H56" s="4"/>
      <c r="I56" s="4"/>
      <c r="J56" s="4"/>
      <c r="K56" s="4"/>
      <c r="L56" s="4"/>
      <c r="M56" s="4"/>
      <c r="N56" s="4"/>
      <c r="P56" s="5"/>
      <c r="R56" s="7"/>
      <c r="S56" s="7"/>
      <c r="T56" s="7"/>
    </row>
    <row r="57" spans="1:20">
      <c r="A57" s="2">
        <v>40</v>
      </c>
      <c r="B57" s="15"/>
      <c r="C57" s="15"/>
      <c r="D57" s="2"/>
      <c r="F57" s="3"/>
      <c r="H57" s="4"/>
      <c r="I57" s="4"/>
      <c r="J57" s="4"/>
      <c r="K57" s="4"/>
      <c r="L57" s="4"/>
      <c r="M57" s="4"/>
      <c r="N57" s="4"/>
      <c r="P57" s="5"/>
      <c r="R57" s="7"/>
      <c r="S57" s="7"/>
      <c r="T57" s="7"/>
    </row>
    <row r="58" spans="1:20">
      <c r="A58" s="2">
        <v>41</v>
      </c>
      <c r="B58" s="15"/>
      <c r="C58" s="15"/>
      <c r="D58" s="2"/>
      <c r="F58" s="3"/>
      <c r="H58" s="4"/>
      <c r="I58" s="4"/>
      <c r="J58" s="4"/>
      <c r="K58" s="4"/>
      <c r="L58" s="4"/>
      <c r="M58" s="4"/>
      <c r="N58" s="4"/>
      <c r="P58" s="5"/>
      <c r="R58" s="7"/>
      <c r="S58" s="7"/>
      <c r="T58" s="7"/>
    </row>
    <row r="59" spans="1:20">
      <c r="A59" s="2">
        <v>42</v>
      </c>
      <c r="B59" s="15"/>
      <c r="C59" s="15"/>
      <c r="D59" s="2"/>
      <c r="F59" s="3"/>
      <c r="H59" s="4"/>
      <c r="I59" s="4"/>
      <c r="J59" s="4"/>
      <c r="K59" s="4"/>
      <c r="L59" s="4"/>
      <c r="M59" s="4"/>
      <c r="N59" s="4"/>
      <c r="P59" s="5"/>
      <c r="R59" s="7"/>
      <c r="S59" s="7"/>
      <c r="T59" s="7"/>
    </row>
    <row r="60" spans="1:20">
      <c r="A60" s="2">
        <v>43</v>
      </c>
      <c r="B60" s="15"/>
      <c r="C60" s="15"/>
      <c r="D60" s="2"/>
      <c r="F60" s="3"/>
      <c r="H60" s="4"/>
      <c r="I60" s="4"/>
      <c r="J60" s="4"/>
      <c r="K60" s="4"/>
      <c r="L60" s="4"/>
      <c r="M60" s="4"/>
      <c r="N60" s="4"/>
      <c r="P60" s="5"/>
      <c r="R60" s="7"/>
      <c r="S60" s="7"/>
      <c r="T60" s="7"/>
    </row>
    <row r="61" spans="1:20">
      <c r="A61" s="2">
        <v>44</v>
      </c>
      <c r="B61" s="15"/>
      <c r="C61" s="15"/>
      <c r="D61" s="2"/>
      <c r="F61" s="3"/>
      <c r="H61" s="4"/>
      <c r="I61" s="4"/>
      <c r="J61" s="4"/>
      <c r="K61" s="4"/>
      <c r="L61" s="4"/>
      <c r="M61" s="4"/>
      <c r="N61" s="4"/>
      <c r="P61" s="5"/>
      <c r="R61" s="7"/>
      <c r="S61" s="7"/>
      <c r="T61" s="7"/>
    </row>
    <row r="62" spans="1:20">
      <c r="A62" s="2">
        <v>45</v>
      </c>
      <c r="B62" s="15"/>
      <c r="C62" s="15"/>
      <c r="D62" s="2"/>
      <c r="F62" s="3"/>
      <c r="H62" s="4"/>
      <c r="I62" s="4"/>
      <c r="J62" s="4"/>
      <c r="K62" s="4"/>
      <c r="L62" s="4"/>
      <c r="M62" s="4"/>
      <c r="N62" s="4"/>
      <c r="P62" s="5"/>
      <c r="R62" s="7"/>
      <c r="S62" s="7"/>
      <c r="T62" s="7"/>
    </row>
    <row r="63" spans="1:20">
      <c r="A63" s="2">
        <v>46</v>
      </c>
      <c r="B63" s="15"/>
      <c r="C63" s="15"/>
      <c r="D63" s="2"/>
      <c r="F63" s="3"/>
      <c r="H63" s="4"/>
      <c r="I63" s="4"/>
      <c r="J63" s="4"/>
      <c r="K63" s="4"/>
      <c r="L63" s="4"/>
      <c r="M63" s="4"/>
      <c r="N63" s="4"/>
      <c r="P63" s="5"/>
      <c r="R63" s="7"/>
      <c r="S63" s="7"/>
      <c r="T63" s="7"/>
    </row>
    <row r="64" spans="1:20">
      <c r="A64" s="2">
        <v>47</v>
      </c>
      <c r="B64" s="15"/>
      <c r="C64" s="15"/>
      <c r="D64" s="2"/>
      <c r="F64" s="3"/>
      <c r="H64" s="4"/>
      <c r="I64" s="4"/>
      <c r="J64" s="4"/>
      <c r="K64" s="4"/>
      <c r="L64" s="4"/>
      <c r="M64" s="4"/>
      <c r="N64" s="4"/>
      <c r="P64" s="5"/>
      <c r="R64" s="7"/>
      <c r="S64" s="7"/>
      <c r="T64" s="7"/>
    </row>
    <row r="65" spans="1:20">
      <c r="A65" s="2">
        <v>48</v>
      </c>
      <c r="B65" s="15"/>
      <c r="C65" s="15"/>
      <c r="D65" s="2"/>
      <c r="F65" s="3"/>
      <c r="H65" s="4"/>
      <c r="I65" s="4"/>
      <c r="J65" s="4"/>
      <c r="K65" s="4"/>
      <c r="L65" s="4"/>
      <c r="M65" s="4"/>
      <c r="N65" s="4"/>
      <c r="P65" s="5"/>
      <c r="R65" s="7"/>
      <c r="S65" s="7"/>
      <c r="T65" s="7"/>
    </row>
    <row r="66" spans="1:20">
      <c r="A66" s="2">
        <v>49</v>
      </c>
      <c r="B66" s="15"/>
      <c r="C66" s="15"/>
      <c r="D66" s="2"/>
      <c r="F66" s="3"/>
      <c r="H66" s="4"/>
      <c r="I66" s="4"/>
      <c r="J66" s="4"/>
      <c r="K66" s="4"/>
      <c r="L66" s="4"/>
      <c r="M66" s="4"/>
      <c r="N66" s="4"/>
      <c r="P66" s="5"/>
      <c r="R66" s="7"/>
      <c r="S66" s="7"/>
      <c r="T66" s="7"/>
    </row>
    <row r="67" spans="1:20">
      <c r="A67" s="2">
        <v>50</v>
      </c>
      <c r="B67" s="15"/>
      <c r="C67" s="15"/>
      <c r="D67" s="2"/>
      <c r="F67" s="3"/>
      <c r="H67" s="4"/>
      <c r="I67" s="4"/>
      <c r="J67" s="4"/>
      <c r="K67" s="4"/>
      <c r="L67" s="4"/>
      <c r="M67" s="4"/>
      <c r="N67" s="4"/>
      <c r="P67" s="5"/>
      <c r="R67" s="7"/>
      <c r="S67" s="7"/>
      <c r="T67" s="7"/>
    </row>
    <row r="68" spans="1:20">
      <c r="A68" s="2">
        <v>51</v>
      </c>
      <c r="B68" s="15"/>
      <c r="C68" s="15"/>
      <c r="D68" s="2"/>
      <c r="F68" s="3"/>
      <c r="H68" s="4"/>
      <c r="I68" s="4"/>
      <c r="J68" s="4"/>
      <c r="K68" s="4"/>
      <c r="L68" s="4"/>
      <c r="M68" s="4"/>
      <c r="N68" s="4"/>
      <c r="P68" s="5"/>
      <c r="R68" s="7"/>
      <c r="S68" s="7"/>
      <c r="T68" s="7"/>
    </row>
    <row r="69" spans="1:20">
      <c r="A69" s="2">
        <v>52</v>
      </c>
      <c r="B69" s="15"/>
      <c r="C69" s="15"/>
      <c r="D69" s="2"/>
      <c r="F69" s="3"/>
      <c r="H69" s="4"/>
      <c r="I69" s="4"/>
      <c r="J69" s="4"/>
      <c r="K69" s="4"/>
      <c r="L69" s="4"/>
      <c r="M69" s="4"/>
      <c r="N69" s="4"/>
      <c r="P69" s="5"/>
      <c r="R69" s="7"/>
      <c r="S69" s="7"/>
      <c r="T69" s="7"/>
    </row>
    <row r="70" spans="1:20">
      <c r="A70" s="2">
        <v>53</v>
      </c>
      <c r="B70" s="15"/>
      <c r="C70" s="15"/>
      <c r="D70" s="2"/>
      <c r="F70" s="3"/>
      <c r="H70" s="4"/>
      <c r="I70" s="4"/>
      <c r="J70" s="4"/>
      <c r="K70" s="4"/>
      <c r="L70" s="4"/>
      <c r="M70" s="4"/>
      <c r="N70" s="4"/>
      <c r="P70" s="5"/>
      <c r="R70" s="7"/>
      <c r="S70" s="7"/>
      <c r="T70" s="7"/>
    </row>
    <row r="71" spans="1:20">
      <c r="A71" s="2">
        <v>54</v>
      </c>
      <c r="B71" s="15"/>
      <c r="C71" s="15"/>
      <c r="D71" s="2"/>
      <c r="F71" s="3"/>
      <c r="H71" s="4"/>
      <c r="I71" s="4"/>
      <c r="J71" s="4"/>
      <c r="K71" s="4"/>
      <c r="L71" s="4"/>
      <c r="M71" s="4"/>
      <c r="N71" s="4"/>
      <c r="P71" s="5"/>
      <c r="R71" s="7"/>
      <c r="S71" s="7"/>
      <c r="T71" s="7"/>
    </row>
    <row r="72" spans="1:20">
      <c r="A72" s="2">
        <v>55</v>
      </c>
      <c r="B72" s="15"/>
      <c r="C72" s="15"/>
      <c r="D72" s="2"/>
      <c r="F72" s="3"/>
      <c r="H72" s="4"/>
      <c r="I72" s="4"/>
      <c r="J72" s="4"/>
      <c r="K72" s="4"/>
      <c r="L72" s="4"/>
      <c r="M72" s="4"/>
      <c r="N72" s="4"/>
      <c r="P72" s="5"/>
      <c r="R72" s="7"/>
      <c r="S72" s="7"/>
      <c r="T72" s="7"/>
    </row>
    <row r="73" spans="1:20">
      <c r="A73" s="2">
        <v>56</v>
      </c>
      <c r="B73" s="15"/>
      <c r="C73" s="15"/>
      <c r="D73" s="2"/>
      <c r="F73" s="3"/>
      <c r="H73" s="4"/>
      <c r="I73" s="4"/>
      <c r="J73" s="4"/>
      <c r="K73" s="4"/>
      <c r="L73" s="4"/>
      <c r="M73" s="4"/>
      <c r="N73" s="4"/>
      <c r="P73" s="5"/>
      <c r="R73" s="7"/>
      <c r="S73" s="7"/>
      <c r="T73" s="7"/>
    </row>
    <row r="74" spans="1:20">
      <c r="A74" s="2">
        <v>57</v>
      </c>
      <c r="B74" s="15"/>
      <c r="C74" s="15"/>
      <c r="D74" s="2"/>
      <c r="F74" s="3"/>
      <c r="H74" s="4"/>
      <c r="I74" s="4"/>
      <c r="J74" s="4"/>
      <c r="K74" s="4"/>
      <c r="L74" s="4"/>
      <c r="M74" s="4"/>
      <c r="N74" s="4"/>
      <c r="P74" s="5"/>
      <c r="R74" s="7"/>
      <c r="S74" s="7"/>
      <c r="T74" s="7"/>
    </row>
    <row r="75" spans="1:20">
      <c r="A75" s="2">
        <v>58</v>
      </c>
      <c r="B75" s="15"/>
      <c r="C75" s="15"/>
      <c r="D75" s="2"/>
      <c r="F75" s="3"/>
      <c r="H75" s="4"/>
      <c r="I75" s="4"/>
      <c r="J75" s="4"/>
      <c r="K75" s="4"/>
      <c r="L75" s="4"/>
      <c r="M75" s="4"/>
      <c r="N75" s="4"/>
      <c r="P75" s="5"/>
      <c r="R75" s="7"/>
      <c r="S75" s="7"/>
      <c r="T75" s="7"/>
    </row>
    <row r="76" spans="1:20">
      <c r="A76" s="2">
        <v>59</v>
      </c>
      <c r="B76" s="15"/>
      <c r="C76" s="15"/>
      <c r="D76" s="2"/>
      <c r="F76" s="3"/>
      <c r="H76" s="4"/>
      <c r="I76" s="4"/>
      <c r="J76" s="4"/>
      <c r="K76" s="4"/>
      <c r="L76" s="4"/>
      <c r="M76" s="4"/>
      <c r="N76" s="4"/>
      <c r="P76" s="5"/>
      <c r="R76" s="7"/>
      <c r="S76" s="7"/>
      <c r="T76" s="7"/>
    </row>
    <row r="77" spans="1:20">
      <c r="A77" s="2">
        <v>60</v>
      </c>
      <c r="B77" s="15"/>
      <c r="C77" s="15"/>
      <c r="D77" s="2"/>
      <c r="F77" s="3"/>
      <c r="H77" s="4"/>
      <c r="I77" s="4"/>
      <c r="J77" s="4"/>
      <c r="K77" s="4"/>
      <c r="L77" s="4"/>
      <c r="M77" s="4"/>
      <c r="N77" s="4"/>
      <c r="P77" s="5"/>
      <c r="R77" s="7"/>
      <c r="S77" s="7"/>
      <c r="T77" s="7"/>
    </row>
    <row r="78" spans="1:20">
      <c r="A78" s="2">
        <v>61</v>
      </c>
      <c r="B78" s="15"/>
      <c r="C78" s="15"/>
      <c r="D78" s="2"/>
      <c r="F78" s="3"/>
      <c r="H78" s="4"/>
      <c r="I78" s="4"/>
      <c r="J78" s="4"/>
      <c r="K78" s="4"/>
      <c r="L78" s="4"/>
      <c r="M78" s="4"/>
      <c r="N78" s="4"/>
      <c r="P78" s="5"/>
      <c r="R78" s="7"/>
      <c r="S78" s="7"/>
      <c r="T78" s="7"/>
    </row>
    <row r="79" spans="1:20">
      <c r="A79" s="2">
        <v>62</v>
      </c>
      <c r="B79" s="15"/>
      <c r="C79" s="15"/>
      <c r="D79" s="2"/>
      <c r="F79" s="3"/>
      <c r="H79" s="4"/>
      <c r="I79" s="4"/>
      <c r="J79" s="4"/>
      <c r="K79" s="4"/>
      <c r="L79" s="4"/>
      <c r="M79" s="4"/>
      <c r="N79" s="4"/>
      <c r="P79" s="5"/>
      <c r="R79" s="7"/>
      <c r="S79" s="7"/>
      <c r="T79" s="7"/>
    </row>
    <row r="80" spans="1:20">
      <c r="A80" s="2">
        <v>63</v>
      </c>
      <c r="B80" s="15"/>
      <c r="C80" s="15"/>
      <c r="D80" s="2"/>
      <c r="F80" s="3"/>
      <c r="H80" s="4"/>
      <c r="I80" s="4"/>
      <c r="J80" s="4"/>
      <c r="K80" s="4"/>
      <c r="L80" s="4"/>
      <c r="M80" s="4"/>
      <c r="N80" s="4"/>
      <c r="P80" s="5"/>
      <c r="R80" s="7"/>
      <c r="S80" s="7"/>
      <c r="T80" s="7"/>
    </row>
    <row r="81" spans="1:20">
      <c r="A81" s="2">
        <v>64</v>
      </c>
      <c r="B81" s="15"/>
      <c r="C81" s="15"/>
      <c r="D81" s="2"/>
      <c r="F81" s="3"/>
      <c r="H81" s="4"/>
      <c r="I81" s="4"/>
      <c r="J81" s="4"/>
      <c r="K81" s="4"/>
      <c r="L81" s="4"/>
      <c r="M81" s="4"/>
      <c r="N81" s="4"/>
      <c r="P81" s="5"/>
      <c r="R81" s="7"/>
      <c r="S81" s="7"/>
      <c r="T81" s="7"/>
    </row>
    <row r="82" spans="1:20">
      <c r="A82" s="2">
        <v>65</v>
      </c>
      <c r="B82" s="15"/>
      <c r="C82" s="15"/>
      <c r="D82" s="2"/>
      <c r="F82" s="3"/>
      <c r="H82" s="4"/>
      <c r="I82" s="4"/>
      <c r="J82" s="4"/>
      <c r="K82" s="4"/>
      <c r="L82" s="4"/>
      <c r="M82" s="4"/>
      <c r="N82" s="4"/>
      <c r="P82" s="5"/>
      <c r="R82" s="7"/>
      <c r="S82" s="7"/>
      <c r="T82" s="7"/>
    </row>
    <row r="83" spans="1:20">
      <c r="A83" s="2">
        <v>66</v>
      </c>
      <c r="B83" s="15"/>
      <c r="C83" s="15"/>
      <c r="D83" s="2"/>
      <c r="F83" s="3"/>
      <c r="H83" s="4"/>
      <c r="I83" s="4"/>
      <c r="J83" s="4"/>
      <c r="K83" s="4"/>
      <c r="L83" s="4"/>
      <c r="M83" s="4"/>
      <c r="N83" s="4"/>
      <c r="P83" s="5"/>
      <c r="R83" s="7"/>
      <c r="S83" s="7"/>
      <c r="T83" s="7"/>
    </row>
    <row r="84" spans="1:20">
      <c r="A84" s="2">
        <v>67</v>
      </c>
      <c r="B84" s="15"/>
      <c r="C84" s="15"/>
      <c r="D84" s="2"/>
      <c r="F84" s="3"/>
      <c r="H84" s="4"/>
      <c r="I84" s="4"/>
      <c r="J84" s="4"/>
      <c r="K84" s="4"/>
      <c r="L84" s="4"/>
      <c r="M84" s="4"/>
      <c r="N84" s="4"/>
      <c r="P84" s="5"/>
      <c r="R84" s="7"/>
      <c r="S84" s="7"/>
      <c r="T84" s="7"/>
    </row>
    <row r="85" spans="1:20">
      <c r="A85" s="2">
        <v>68</v>
      </c>
      <c r="B85" s="15"/>
      <c r="C85" s="15"/>
      <c r="D85" s="2"/>
      <c r="F85" s="3"/>
      <c r="H85" s="4"/>
      <c r="I85" s="4"/>
      <c r="J85" s="4"/>
      <c r="K85" s="4"/>
      <c r="L85" s="4"/>
      <c r="M85" s="4"/>
      <c r="N85" s="4"/>
      <c r="P85" s="5"/>
      <c r="R85" s="7"/>
      <c r="S85" s="7"/>
      <c r="T85" s="7"/>
    </row>
    <row r="86" spans="1:20">
      <c r="A86" s="2">
        <v>69</v>
      </c>
      <c r="B86" s="15"/>
      <c r="C86" s="15"/>
      <c r="D86" s="2"/>
      <c r="F86" s="3"/>
      <c r="H86" s="4"/>
      <c r="I86" s="4"/>
      <c r="J86" s="4"/>
      <c r="K86" s="4"/>
      <c r="L86" s="4"/>
      <c r="M86" s="4"/>
      <c r="N86" s="4"/>
      <c r="P86" s="5"/>
      <c r="R86" s="7"/>
      <c r="S86" s="7"/>
      <c r="T86" s="7"/>
    </row>
    <row r="87" spans="1:20">
      <c r="A87" s="2">
        <v>70</v>
      </c>
      <c r="B87" s="15"/>
      <c r="C87" s="15"/>
      <c r="D87" s="2"/>
      <c r="F87" s="3"/>
      <c r="H87" s="4"/>
      <c r="I87" s="4"/>
      <c r="J87" s="4"/>
      <c r="K87" s="4"/>
      <c r="L87" s="4"/>
      <c r="M87" s="4"/>
      <c r="N87" s="4"/>
      <c r="P87" s="5"/>
      <c r="R87" s="7"/>
      <c r="S87" s="7"/>
      <c r="T87" s="7"/>
    </row>
    <row r="88" spans="1:20">
      <c r="A88" s="2">
        <v>71</v>
      </c>
      <c r="B88" s="15"/>
      <c r="C88" s="15"/>
      <c r="D88" s="2"/>
      <c r="F88" s="3"/>
      <c r="H88" s="4"/>
      <c r="I88" s="4"/>
      <c r="J88" s="4"/>
      <c r="K88" s="4"/>
      <c r="L88" s="4"/>
      <c r="M88" s="4"/>
      <c r="N88" s="4"/>
      <c r="P88" s="5"/>
      <c r="R88" s="7"/>
      <c r="S88" s="7"/>
      <c r="T88" s="7"/>
    </row>
    <row r="89" spans="1:20">
      <c r="A89" s="2">
        <v>72</v>
      </c>
      <c r="B89" s="15"/>
      <c r="C89" s="15"/>
      <c r="D89" s="2"/>
      <c r="F89" s="3"/>
      <c r="H89" s="4"/>
      <c r="I89" s="4"/>
      <c r="J89" s="4"/>
      <c r="K89" s="4"/>
      <c r="L89" s="4"/>
      <c r="M89" s="4"/>
      <c r="N89" s="4"/>
      <c r="P89" s="5"/>
      <c r="R89" s="7"/>
      <c r="S89" s="7"/>
      <c r="T89" s="7"/>
    </row>
    <row r="90" spans="1:20">
      <c r="A90" s="2">
        <v>73</v>
      </c>
      <c r="B90" s="15"/>
      <c r="C90" s="15"/>
      <c r="D90" s="2"/>
      <c r="F90" s="3"/>
      <c r="H90" s="4"/>
      <c r="I90" s="4"/>
      <c r="J90" s="4"/>
      <c r="K90" s="4"/>
      <c r="L90" s="4"/>
      <c r="M90" s="4"/>
      <c r="N90" s="4"/>
      <c r="P90" s="5"/>
      <c r="R90" s="7"/>
      <c r="S90" s="7"/>
      <c r="T90" s="7"/>
    </row>
    <row r="91" spans="1:20">
      <c r="A91" s="2">
        <v>74</v>
      </c>
      <c r="B91" s="15"/>
      <c r="C91" s="15"/>
      <c r="D91" s="2"/>
      <c r="F91" s="3"/>
      <c r="H91" s="4"/>
      <c r="I91" s="4"/>
      <c r="J91" s="4"/>
      <c r="K91" s="4"/>
      <c r="L91" s="4"/>
      <c r="M91" s="4"/>
      <c r="N91" s="4"/>
      <c r="P91" s="5"/>
      <c r="R91" s="7"/>
      <c r="S91" s="7"/>
      <c r="T91" s="7"/>
    </row>
    <row r="92" spans="1:20">
      <c r="A92" s="2">
        <v>75</v>
      </c>
      <c r="B92" s="15"/>
      <c r="C92" s="15"/>
      <c r="D92" s="2"/>
      <c r="F92" s="3"/>
      <c r="H92" s="4"/>
      <c r="I92" s="4"/>
      <c r="J92" s="4"/>
      <c r="K92" s="4"/>
      <c r="L92" s="4"/>
      <c r="M92" s="4"/>
      <c r="N92" s="4"/>
      <c r="P92" s="5"/>
      <c r="R92" s="7"/>
      <c r="S92" s="7"/>
      <c r="T92" s="7"/>
    </row>
    <row r="93" spans="1:20">
      <c r="A93" s="2">
        <v>76</v>
      </c>
      <c r="B93" s="15"/>
      <c r="C93" s="15"/>
      <c r="D93" s="2"/>
      <c r="F93" s="3"/>
      <c r="H93" s="4"/>
      <c r="I93" s="4"/>
      <c r="J93" s="4"/>
      <c r="K93" s="4"/>
      <c r="L93" s="4"/>
      <c r="M93" s="4"/>
      <c r="N93" s="4"/>
      <c r="P93" s="5"/>
      <c r="R93" s="7"/>
      <c r="S93" s="7"/>
      <c r="T93" s="7"/>
    </row>
    <row r="94" spans="1:20">
      <c r="A94" s="2">
        <v>77</v>
      </c>
      <c r="B94" s="15"/>
      <c r="C94" s="15"/>
      <c r="D94" s="2"/>
      <c r="F94" s="3"/>
      <c r="H94" s="4"/>
      <c r="I94" s="4"/>
      <c r="J94" s="4"/>
      <c r="K94" s="4"/>
      <c r="L94" s="4"/>
      <c r="M94" s="4"/>
      <c r="N94" s="4"/>
      <c r="P94" s="5"/>
      <c r="R94" s="7"/>
      <c r="S94" s="7"/>
      <c r="T94" s="7"/>
    </row>
    <row r="95" spans="1:20">
      <c r="A95" s="2">
        <v>78</v>
      </c>
      <c r="B95" s="15"/>
      <c r="C95" s="15"/>
      <c r="D95" s="2"/>
      <c r="F95" s="3"/>
      <c r="H95" s="4"/>
      <c r="I95" s="4"/>
      <c r="J95" s="4"/>
      <c r="K95" s="4"/>
      <c r="L95" s="4"/>
      <c r="M95" s="4"/>
      <c r="N95" s="4"/>
      <c r="P95" s="5"/>
      <c r="R95" s="7"/>
      <c r="S95" s="7"/>
      <c r="T95" s="7"/>
    </row>
    <row r="96" spans="1:20">
      <c r="A96" s="2">
        <v>79</v>
      </c>
      <c r="B96" s="15"/>
      <c r="C96" s="15"/>
      <c r="D96" s="2"/>
      <c r="F96" s="3"/>
      <c r="H96" s="4"/>
      <c r="I96" s="4"/>
      <c r="J96" s="4"/>
      <c r="K96" s="4"/>
      <c r="L96" s="4"/>
      <c r="M96" s="4"/>
      <c r="N96" s="4"/>
      <c r="P96" s="5"/>
      <c r="R96" s="7"/>
      <c r="S96" s="7"/>
      <c r="T96" s="7"/>
    </row>
    <row r="97" spans="1:20">
      <c r="A97" s="2">
        <v>80</v>
      </c>
      <c r="B97" s="15"/>
      <c r="C97" s="15"/>
      <c r="D97" s="2"/>
      <c r="F97" s="3"/>
      <c r="H97" s="4"/>
      <c r="I97" s="4"/>
      <c r="J97" s="4"/>
      <c r="K97" s="4"/>
      <c r="L97" s="4"/>
      <c r="M97" s="4"/>
      <c r="N97" s="4"/>
      <c r="P97" s="5"/>
      <c r="R97" s="7"/>
      <c r="S97" s="7"/>
      <c r="T97" s="7"/>
    </row>
    <row r="109" spans="1:20">
      <c r="B109" s="2" t="s">
        <v>190</v>
      </c>
      <c r="H109" s="2" t="s">
        <v>217</v>
      </c>
      <c r="I109" s="2" t="s">
        <v>218</v>
      </c>
      <c r="J109" s="2" t="s">
        <v>219</v>
      </c>
      <c r="K109" s="2" t="s">
        <v>220</v>
      </c>
      <c r="L109" s="2" t="s">
        <v>219</v>
      </c>
      <c r="M109" s="2" t="s">
        <v>221</v>
      </c>
      <c r="N109" s="2"/>
      <c r="O109" s="2"/>
      <c r="P109" s="2"/>
      <c r="R109" s="2" t="s">
        <v>148</v>
      </c>
      <c r="S109" s="2" t="s">
        <v>219</v>
      </c>
      <c r="T109" s="2" t="s">
        <v>148</v>
      </c>
    </row>
    <row r="110" spans="1:20">
      <c r="B110" s="2" t="s">
        <v>222</v>
      </c>
      <c r="H110" s="7">
        <v>2.2000000000000002</v>
      </c>
      <c r="I110" s="7">
        <f>0.95/12</f>
        <v>7.9166666666666663E-2</v>
      </c>
      <c r="J110" s="4">
        <f>119/1000</f>
        <v>0.11899999999999999</v>
      </c>
      <c r="K110" s="7">
        <v>0.06</v>
      </c>
      <c r="L110" s="4">
        <f>14.26/50</f>
        <v>0.28520000000000001</v>
      </c>
      <c r="M110" s="4">
        <f>14.09/100</f>
        <v>0.1409</v>
      </c>
      <c r="N110" s="7">
        <v>5.6219999999999999</v>
      </c>
      <c r="R110" s="7">
        <v>1.5</v>
      </c>
      <c r="S110" s="7">
        <v>0.1</v>
      </c>
      <c r="T110" s="7">
        <v>0.06</v>
      </c>
    </row>
    <row r="115" spans="4:118">
      <c r="D115">
        <v>70</v>
      </c>
      <c r="E115" s="2">
        <v>20</v>
      </c>
      <c r="H115" s="2" t="s">
        <v>300</v>
      </c>
      <c r="I115" s="2" t="s">
        <v>301</v>
      </c>
    </row>
    <row r="116" spans="4:118">
      <c r="D116">
        <v>69</v>
      </c>
      <c r="E116" s="2">
        <v>19.5</v>
      </c>
      <c r="H116" s="2">
        <v>44</v>
      </c>
      <c r="I116" s="2">
        <v>70</v>
      </c>
    </row>
    <row r="117" spans="4:118">
      <c r="D117">
        <v>68</v>
      </c>
      <c r="E117" s="2">
        <v>19</v>
      </c>
      <c r="H117" s="2">
        <v>92</v>
      </c>
      <c r="I117" s="2">
        <v>48</v>
      </c>
    </row>
    <row r="118" spans="4:118">
      <c r="D118">
        <v>67</v>
      </c>
      <c r="E118" s="2">
        <v>18.5</v>
      </c>
      <c r="R118" s="2" t="s">
        <v>302</v>
      </c>
      <c r="S118" s="2"/>
      <c r="T118" s="2" t="s">
        <v>303</v>
      </c>
      <c r="U118" s="2"/>
      <c r="AC118" t="s">
        <v>304</v>
      </c>
    </row>
    <row r="119" spans="4:118">
      <c r="D119">
        <v>66</v>
      </c>
      <c r="E119" s="2">
        <v>18</v>
      </c>
      <c r="R119" s="2" t="s">
        <v>300</v>
      </c>
      <c r="S119" s="2" t="s">
        <v>305</v>
      </c>
      <c r="T119" s="2" t="s">
        <v>300</v>
      </c>
      <c r="U119" s="2" t="s">
        <v>305</v>
      </c>
      <c r="AB119" s="2" t="s">
        <v>300</v>
      </c>
      <c r="AC119" s="2" t="s">
        <v>306</v>
      </c>
      <c r="AD119" s="2" t="s">
        <v>307</v>
      </c>
      <c r="AE119" s="2" t="s">
        <v>308</v>
      </c>
      <c r="AF119" s="2" t="s">
        <v>309</v>
      </c>
      <c r="AG119" s="2" t="s">
        <v>310</v>
      </c>
      <c r="AH119" s="2" t="s">
        <v>311</v>
      </c>
      <c r="AI119" s="2" t="s">
        <v>312</v>
      </c>
      <c r="AJ119" s="2" t="s">
        <v>313</v>
      </c>
      <c r="AK119" s="2" t="s">
        <v>314</v>
      </c>
      <c r="AL119" s="2" t="s">
        <v>315</v>
      </c>
      <c r="AM119" s="2" t="s">
        <v>316</v>
      </c>
      <c r="AN119" s="2" t="s">
        <v>317</v>
      </c>
      <c r="AO119" s="2" t="s">
        <v>318</v>
      </c>
      <c r="AP119" s="2" t="s">
        <v>319</v>
      </c>
      <c r="AQ119" s="2" t="s">
        <v>320</v>
      </c>
      <c r="AR119" s="2" t="s">
        <v>321</v>
      </c>
      <c r="AS119" s="2" t="s">
        <v>322</v>
      </c>
      <c r="AT119" s="2" t="s">
        <v>323</v>
      </c>
      <c r="AU119" s="2" t="s">
        <v>324</v>
      </c>
      <c r="AV119" s="2" t="s">
        <v>325</v>
      </c>
      <c r="AW119" s="2">
        <v>80</v>
      </c>
      <c r="AX119" s="2">
        <v>79</v>
      </c>
      <c r="AY119" s="2">
        <v>78</v>
      </c>
      <c r="AZ119" s="2">
        <v>77</v>
      </c>
      <c r="BA119" s="2">
        <v>76</v>
      </c>
      <c r="BB119" s="2">
        <v>75</v>
      </c>
      <c r="BC119" s="2">
        <v>74</v>
      </c>
      <c r="BD119" s="2">
        <v>73</v>
      </c>
      <c r="BE119" s="2">
        <v>72</v>
      </c>
      <c r="BF119" s="2">
        <v>71</v>
      </c>
      <c r="BG119" s="2">
        <v>70</v>
      </c>
      <c r="BH119" s="2">
        <v>69</v>
      </c>
      <c r="BI119" s="2">
        <v>68</v>
      </c>
      <c r="BJ119" s="2">
        <v>67</v>
      </c>
      <c r="BK119" s="2">
        <v>66</v>
      </c>
      <c r="BL119" s="2">
        <v>65</v>
      </c>
      <c r="BM119" s="2">
        <v>64</v>
      </c>
      <c r="BN119" s="2">
        <v>63</v>
      </c>
      <c r="BO119" s="2">
        <v>62</v>
      </c>
      <c r="BP119" s="2">
        <v>61</v>
      </c>
      <c r="BQ119" s="2">
        <v>60</v>
      </c>
      <c r="BR119" s="2">
        <v>59</v>
      </c>
      <c r="BS119" s="2">
        <v>58</v>
      </c>
      <c r="BT119" s="2">
        <v>57</v>
      </c>
      <c r="BU119" s="2">
        <v>56</v>
      </c>
      <c r="BV119" s="2">
        <v>55</v>
      </c>
      <c r="BW119" s="2">
        <v>54</v>
      </c>
      <c r="BX119" s="2">
        <v>53</v>
      </c>
      <c r="BY119" s="2">
        <v>52</v>
      </c>
      <c r="BZ119" s="2">
        <v>51</v>
      </c>
      <c r="CA119" s="2">
        <v>50</v>
      </c>
      <c r="CB119" s="2">
        <v>49</v>
      </c>
      <c r="CC119" s="2" t="s">
        <v>326</v>
      </c>
      <c r="CD119" s="2" t="s">
        <v>327</v>
      </c>
      <c r="CE119" s="2">
        <v>47</v>
      </c>
      <c r="CF119" s="2">
        <v>46</v>
      </c>
      <c r="CG119" s="2">
        <v>45</v>
      </c>
      <c r="CH119" s="2">
        <v>44</v>
      </c>
      <c r="CI119" s="2">
        <v>43</v>
      </c>
      <c r="CJ119" s="2">
        <v>42</v>
      </c>
      <c r="CK119" s="2">
        <v>41</v>
      </c>
      <c r="CL119" s="2">
        <v>40</v>
      </c>
      <c r="CM119" s="2">
        <v>39</v>
      </c>
      <c r="CN119" s="2">
        <v>38</v>
      </c>
      <c r="CO119" s="2">
        <v>37</v>
      </c>
      <c r="CP119" s="2">
        <v>36</v>
      </c>
      <c r="CQ119" s="2">
        <v>35</v>
      </c>
      <c r="CR119" s="2">
        <v>34</v>
      </c>
      <c r="CS119" s="2">
        <v>33</v>
      </c>
      <c r="CT119" s="2">
        <v>32</v>
      </c>
      <c r="CU119" s="2">
        <v>31</v>
      </c>
      <c r="CV119" s="2">
        <v>30</v>
      </c>
      <c r="CW119" s="2">
        <v>29</v>
      </c>
      <c r="CX119" s="2">
        <v>28</v>
      </c>
      <c r="CY119" s="2">
        <v>27</v>
      </c>
      <c r="CZ119" s="2">
        <v>26</v>
      </c>
      <c r="DA119" s="2">
        <v>25</v>
      </c>
      <c r="DB119" s="2">
        <v>24</v>
      </c>
      <c r="DC119" s="2">
        <v>23</v>
      </c>
      <c r="DD119" s="2">
        <v>22</v>
      </c>
      <c r="DE119" s="2">
        <v>21</v>
      </c>
      <c r="DF119" s="2">
        <v>20</v>
      </c>
      <c r="DG119" s="2">
        <v>19</v>
      </c>
      <c r="DH119" s="2">
        <v>18</v>
      </c>
      <c r="DI119" s="2">
        <v>17</v>
      </c>
      <c r="DJ119" s="2">
        <v>16</v>
      </c>
      <c r="DK119" s="2">
        <v>15</v>
      </c>
      <c r="DL119" s="2">
        <v>14</v>
      </c>
      <c r="DM119" s="2">
        <v>13</v>
      </c>
      <c r="DN119" s="2">
        <v>12</v>
      </c>
    </row>
    <row r="120" spans="4:118">
      <c r="D120">
        <v>65</v>
      </c>
      <c r="E120" s="2">
        <v>17.5</v>
      </c>
      <c r="R120" s="2">
        <v>1</v>
      </c>
      <c r="S120" s="2">
        <f>R120+4</f>
        <v>5</v>
      </c>
      <c r="T120" s="2">
        <v>1</v>
      </c>
      <c r="U120" s="2">
        <f>T120+4</f>
        <v>5</v>
      </c>
      <c r="AB120">
        <v>92</v>
      </c>
      <c r="AC120" s="2" t="s">
        <v>113</v>
      </c>
      <c r="AD120" s="2" t="s">
        <v>113</v>
      </c>
      <c r="AE120" s="2" t="s">
        <v>113</v>
      </c>
      <c r="AF120" s="2" t="s">
        <v>113</v>
      </c>
      <c r="AG120" s="2" t="s">
        <v>113</v>
      </c>
      <c r="AH120" s="2" t="s">
        <v>113</v>
      </c>
      <c r="AI120" s="2" t="s">
        <v>113</v>
      </c>
      <c r="AJ120" s="2" t="s">
        <v>113</v>
      </c>
      <c r="AK120" s="2" t="s">
        <v>113</v>
      </c>
      <c r="AL120" s="2" t="s">
        <v>113</v>
      </c>
      <c r="AM120" s="2" t="s">
        <v>113</v>
      </c>
      <c r="AN120" s="2" t="s">
        <v>113</v>
      </c>
      <c r="AO120" s="2" t="s">
        <v>113</v>
      </c>
      <c r="AP120" s="2" t="s">
        <v>113</v>
      </c>
      <c r="AQ120" s="2" t="s">
        <v>113</v>
      </c>
      <c r="AR120" s="2" t="s">
        <v>113</v>
      </c>
      <c r="AS120" s="2" t="s">
        <v>113</v>
      </c>
      <c r="AT120" s="2" t="s">
        <v>113</v>
      </c>
      <c r="AU120" s="2" t="s">
        <v>113</v>
      </c>
      <c r="AV120" s="2" t="s">
        <v>113</v>
      </c>
      <c r="AW120" s="2" t="s">
        <v>113</v>
      </c>
      <c r="AX120" s="2" t="s">
        <v>113</v>
      </c>
      <c r="AY120" s="2" t="s">
        <v>113</v>
      </c>
      <c r="AZ120" s="2" t="s">
        <v>113</v>
      </c>
      <c r="BA120" s="2" t="s">
        <v>113</v>
      </c>
      <c r="BB120" s="2" t="s">
        <v>113</v>
      </c>
      <c r="BC120" s="2" t="s">
        <v>113</v>
      </c>
      <c r="BD120" s="2" t="s">
        <v>113</v>
      </c>
      <c r="BE120" s="2" t="s">
        <v>113</v>
      </c>
      <c r="BF120" s="2" t="s">
        <v>113</v>
      </c>
      <c r="BG120" s="2" t="s">
        <v>113</v>
      </c>
      <c r="BH120" s="2" t="s">
        <v>113</v>
      </c>
      <c r="BI120" s="2" t="s">
        <v>113</v>
      </c>
      <c r="BJ120" s="2" t="s">
        <v>113</v>
      </c>
      <c r="BK120" s="2" t="s">
        <v>113</v>
      </c>
      <c r="BL120" s="2" t="s">
        <v>113</v>
      </c>
      <c r="BM120" s="2" t="s">
        <v>113</v>
      </c>
      <c r="BN120" s="2" t="s">
        <v>113</v>
      </c>
      <c r="BO120" s="2" t="s">
        <v>113</v>
      </c>
      <c r="BP120" s="2" t="s">
        <v>113</v>
      </c>
      <c r="BQ120" s="2" t="s">
        <v>113</v>
      </c>
      <c r="BR120" s="2" t="s">
        <v>113</v>
      </c>
      <c r="BS120" s="2" t="s">
        <v>113</v>
      </c>
      <c r="BT120" s="2" t="s">
        <v>113</v>
      </c>
      <c r="BU120" s="2" t="s">
        <v>113</v>
      </c>
      <c r="BV120" s="2" t="s">
        <v>113</v>
      </c>
      <c r="BW120" s="2" t="s">
        <v>113</v>
      </c>
      <c r="BX120" s="2" t="s">
        <v>113</v>
      </c>
      <c r="BY120" s="2" t="s">
        <v>113</v>
      </c>
      <c r="BZ120" s="2" t="s">
        <v>113</v>
      </c>
      <c r="CA120" s="2" t="s">
        <v>113</v>
      </c>
      <c r="CB120" s="2" t="s">
        <v>113</v>
      </c>
      <c r="CC120" s="2">
        <v>9</v>
      </c>
      <c r="CD120" s="2">
        <v>15</v>
      </c>
    </row>
    <row r="121" spans="4:118">
      <c r="D121">
        <v>64</v>
      </c>
      <c r="E121" s="2">
        <v>17</v>
      </c>
      <c r="H121" s="2">
        <v>48</v>
      </c>
      <c r="I121" s="2">
        <v>48</v>
      </c>
      <c r="J121" s="2">
        <f>B12/2</f>
        <v>8.8800000000000008</v>
      </c>
      <c r="R121" s="2">
        <v>1.5</v>
      </c>
      <c r="S121" s="2">
        <f t="shared" ref="S121:U184" si="8">R121+4</f>
        <v>5.5</v>
      </c>
      <c r="T121" s="2">
        <v>1.5</v>
      </c>
      <c r="U121" s="2">
        <f t="shared" si="8"/>
        <v>5.5</v>
      </c>
      <c r="AB121">
        <v>91.5</v>
      </c>
      <c r="AC121" s="2" t="s">
        <v>113</v>
      </c>
      <c r="AD121" s="2" t="s">
        <v>113</v>
      </c>
      <c r="AE121" s="2" t="s">
        <v>113</v>
      </c>
      <c r="AF121" s="2" t="s">
        <v>113</v>
      </c>
      <c r="AG121" s="2" t="s">
        <v>113</v>
      </c>
      <c r="AH121" s="2" t="s">
        <v>113</v>
      </c>
      <c r="AI121" s="2" t="s">
        <v>113</v>
      </c>
      <c r="AJ121" s="2" t="s">
        <v>113</v>
      </c>
      <c r="AK121" s="2" t="s">
        <v>113</v>
      </c>
      <c r="AL121" s="2" t="s">
        <v>113</v>
      </c>
      <c r="AM121" s="2" t="s">
        <v>113</v>
      </c>
      <c r="AN121" s="2" t="s">
        <v>113</v>
      </c>
      <c r="AO121" s="2" t="s">
        <v>113</v>
      </c>
      <c r="AP121" s="2" t="s">
        <v>113</v>
      </c>
      <c r="AQ121" s="2" t="s">
        <v>113</v>
      </c>
      <c r="AR121" s="2" t="s">
        <v>113</v>
      </c>
      <c r="AS121" s="2" t="s">
        <v>113</v>
      </c>
      <c r="AT121" s="2" t="s">
        <v>113</v>
      </c>
      <c r="AU121" s="2" t="s">
        <v>113</v>
      </c>
      <c r="AV121" s="2" t="s">
        <v>113</v>
      </c>
      <c r="AW121" s="2" t="s">
        <v>113</v>
      </c>
      <c r="AX121" s="2" t="s">
        <v>113</v>
      </c>
      <c r="AY121" s="2" t="s">
        <v>113</v>
      </c>
      <c r="AZ121" s="2" t="s">
        <v>113</v>
      </c>
      <c r="BA121" s="2" t="s">
        <v>113</v>
      </c>
      <c r="BB121" s="2" t="s">
        <v>113</v>
      </c>
      <c r="BC121" s="2" t="s">
        <v>113</v>
      </c>
      <c r="BD121" s="2" t="s">
        <v>113</v>
      </c>
      <c r="BE121" s="2" t="s">
        <v>113</v>
      </c>
      <c r="BF121" s="2" t="s">
        <v>113</v>
      </c>
      <c r="BG121" s="2" t="s">
        <v>113</v>
      </c>
      <c r="BH121" s="2" t="s">
        <v>113</v>
      </c>
      <c r="BI121" s="2" t="s">
        <v>113</v>
      </c>
      <c r="BJ121" s="2" t="s">
        <v>113</v>
      </c>
      <c r="BK121" s="2" t="s">
        <v>113</v>
      </c>
      <c r="BL121" s="2" t="s">
        <v>113</v>
      </c>
      <c r="BM121" s="2" t="s">
        <v>113</v>
      </c>
      <c r="BN121" s="2" t="s">
        <v>113</v>
      </c>
      <c r="BO121" s="2" t="s">
        <v>113</v>
      </c>
      <c r="BP121" s="2" t="s">
        <v>113</v>
      </c>
      <c r="BQ121" s="2" t="s">
        <v>113</v>
      </c>
      <c r="BR121" s="2" t="s">
        <v>113</v>
      </c>
      <c r="BS121" s="2" t="s">
        <v>113</v>
      </c>
      <c r="BT121" s="2" t="s">
        <v>113</v>
      </c>
      <c r="BU121" s="2" t="s">
        <v>113</v>
      </c>
      <c r="BV121" s="2" t="s">
        <v>113</v>
      </c>
      <c r="BW121" s="2" t="s">
        <v>113</v>
      </c>
      <c r="BX121" s="2" t="s">
        <v>113</v>
      </c>
      <c r="BY121" s="2" t="s">
        <v>113</v>
      </c>
      <c r="BZ121" s="2" t="s">
        <v>113</v>
      </c>
      <c r="CA121" s="2" t="s">
        <v>113</v>
      </c>
      <c r="CB121" s="2" t="s">
        <v>113</v>
      </c>
      <c r="CC121" s="2">
        <v>9</v>
      </c>
      <c r="CD121" s="2">
        <v>15</v>
      </c>
    </row>
    <row r="122" spans="4:118">
      <c r="D122">
        <v>63</v>
      </c>
      <c r="E122" s="2">
        <v>16.5</v>
      </c>
      <c r="R122" s="2">
        <v>2</v>
      </c>
      <c r="S122" s="2">
        <f t="shared" si="8"/>
        <v>6</v>
      </c>
      <c r="T122" s="2">
        <v>2</v>
      </c>
      <c r="U122" s="2">
        <f t="shared" si="8"/>
        <v>6</v>
      </c>
      <c r="AB122">
        <v>91</v>
      </c>
      <c r="AC122" s="2" t="s">
        <v>113</v>
      </c>
      <c r="AD122" s="2" t="s">
        <v>113</v>
      </c>
      <c r="AE122" s="2" t="s">
        <v>113</v>
      </c>
      <c r="AF122" s="2" t="s">
        <v>113</v>
      </c>
      <c r="AG122" s="2" t="s">
        <v>113</v>
      </c>
      <c r="AH122" s="2" t="s">
        <v>113</v>
      </c>
      <c r="AI122" s="2" t="s">
        <v>113</v>
      </c>
      <c r="AJ122" s="2" t="s">
        <v>113</v>
      </c>
      <c r="AK122" s="2" t="s">
        <v>113</v>
      </c>
      <c r="AL122" s="2" t="s">
        <v>113</v>
      </c>
      <c r="AM122" s="2" t="s">
        <v>113</v>
      </c>
      <c r="AN122" s="2" t="s">
        <v>113</v>
      </c>
      <c r="AO122" s="2" t="s">
        <v>113</v>
      </c>
      <c r="AP122" s="2" t="s">
        <v>113</v>
      </c>
      <c r="AQ122" s="2" t="s">
        <v>113</v>
      </c>
      <c r="AR122" s="2" t="s">
        <v>113</v>
      </c>
      <c r="AS122" s="2" t="s">
        <v>113</v>
      </c>
      <c r="AT122" s="2" t="s">
        <v>113</v>
      </c>
      <c r="AU122" s="2" t="s">
        <v>113</v>
      </c>
      <c r="AV122" s="2" t="s">
        <v>113</v>
      </c>
      <c r="AW122" s="2" t="s">
        <v>113</v>
      </c>
      <c r="AX122" s="2" t="s">
        <v>113</v>
      </c>
      <c r="AY122" s="2" t="s">
        <v>113</v>
      </c>
      <c r="AZ122" s="2" t="s">
        <v>113</v>
      </c>
      <c r="BA122" s="2" t="s">
        <v>113</v>
      </c>
      <c r="BB122" s="2" t="s">
        <v>113</v>
      </c>
      <c r="BC122" s="2" t="s">
        <v>113</v>
      </c>
      <c r="BD122" s="2" t="s">
        <v>113</v>
      </c>
      <c r="BE122" s="2" t="s">
        <v>113</v>
      </c>
      <c r="BF122" s="2" t="s">
        <v>113</v>
      </c>
      <c r="BG122" s="2" t="s">
        <v>113</v>
      </c>
      <c r="BH122" s="2" t="s">
        <v>113</v>
      </c>
      <c r="BI122" s="2" t="s">
        <v>113</v>
      </c>
      <c r="BJ122" s="2" t="s">
        <v>113</v>
      </c>
      <c r="BK122" s="2" t="s">
        <v>113</v>
      </c>
      <c r="BL122" s="2" t="s">
        <v>113</v>
      </c>
      <c r="BM122" s="2" t="s">
        <v>113</v>
      </c>
      <c r="BN122" s="2" t="s">
        <v>113</v>
      </c>
      <c r="BO122" s="2" t="s">
        <v>113</v>
      </c>
      <c r="BP122" s="2" t="s">
        <v>113</v>
      </c>
      <c r="BQ122" s="2" t="s">
        <v>113</v>
      </c>
      <c r="BR122" s="2" t="s">
        <v>113</v>
      </c>
      <c r="BS122" s="2" t="s">
        <v>113</v>
      </c>
      <c r="BT122" s="2" t="s">
        <v>113</v>
      </c>
      <c r="BU122" s="2" t="s">
        <v>113</v>
      </c>
      <c r="BV122" s="2" t="s">
        <v>113</v>
      </c>
      <c r="BW122" s="2" t="s">
        <v>113</v>
      </c>
      <c r="BX122" s="2" t="s">
        <v>113</v>
      </c>
      <c r="BY122" s="2" t="s">
        <v>113</v>
      </c>
      <c r="BZ122" s="2" t="s">
        <v>113</v>
      </c>
      <c r="CA122" s="2" t="s">
        <v>113</v>
      </c>
      <c r="CB122" s="2" t="s">
        <v>113</v>
      </c>
      <c r="CC122" s="2">
        <v>9</v>
      </c>
      <c r="CD122" s="2">
        <v>15</v>
      </c>
    </row>
    <row r="123" spans="4:118">
      <c r="D123">
        <v>62</v>
      </c>
      <c r="E123" s="2">
        <v>16</v>
      </c>
      <c r="R123" s="2">
        <v>2.5</v>
      </c>
      <c r="S123" s="2">
        <f t="shared" si="8"/>
        <v>6.5</v>
      </c>
      <c r="T123" s="2">
        <v>2.5</v>
      </c>
      <c r="U123" s="2">
        <f t="shared" si="8"/>
        <v>6.5</v>
      </c>
      <c r="AB123">
        <v>90.5</v>
      </c>
      <c r="AC123" s="2" t="s">
        <v>113</v>
      </c>
      <c r="AD123" s="2" t="s">
        <v>113</v>
      </c>
      <c r="AE123" s="2" t="s">
        <v>113</v>
      </c>
      <c r="AF123" s="2" t="s">
        <v>113</v>
      </c>
      <c r="AG123" s="2" t="s">
        <v>113</v>
      </c>
      <c r="AH123" s="2" t="s">
        <v>113</v>
      </c>
      <c r="AI123" s="2" t="s">
        <v>113</v>
      </c>
      <c r="AJ123" s="2" t="s">
        <v>113</v>
      </c>
      <c r="AK123" s="2" t="s">
        <v>113</v>
      </c>
      <c r="AL123" s="2" t="s">
        <v>113</v>
      </c>
      <c r="AM123" s="2" t="s">
        <v>113</v>
      </c>
      <c r="AN123" s="2" t="s">
        <v>113</v>
      </c>
      <c r="AO123" s="2" t="s">
        <v>113</v>
      </c>
      <c r="AP123" s="2" t="s">
        <v>113</v>
      </c>
      <c r="AQ123" s="2" t="s">
        <v>113</v>
      </c>
      <c r="AR123" s="2" t="s">
        <v>113</v>
      </c>
      <c r="AS123" s="2" t="s">
        <v>113</v>
      </c>
      <c r="AT123" s="2" t="s">
        <v>113</v>
      </c>
      <c r="AU123" s="2" t="s">
        <v>113</v>
      </c>
      <c r="AV123" s="2" t="s">
        <v>113</v>
      </c>
      <c r="AW123" s="2" t="s">
        <v>113</v>
      </c>
      <c r="AX123" s="2" t="s">
        <v>113</v>
      </c>
      <c r="AY123" s="2" t="s">
        <v>113</v>
      </c>
      <c r="AZ123" s="2" t="s">
        <v>113</v>
      </c>
      <c r="BA123" s="2" t="s">
        <v>113</v>
      </c>
      <c r="BB123" s="2" t="s">
        <v>113</v>
      </c>
      <c r="BC123" s="2" t="s">
        <v>113</v>
      </c>
      <c r="BD123" s="2" t="s">
        <v>113</v>
      </c>
      <c r="BE123" s="2" t="s">
        <v>113</v>
      </c>
      <c r="BF123" s="2" t="s">
        <v>113</v>
      </c>
      <c r="BG123" s="2" t="s">
        <v>113</v>
      </c>
      <c r="BH123" s="2" t="s">
        <v>113</v>
      </c>
      <c r="BI123" s="2" t="s">
        <v>113</v>
      </c>
      <c r="BJ123" s="2" t="s">
        <v>113</v>
      </c>
      <c r="BK123" s="2" t="s">
        <v>113</v>
      </c>
      <c r="BL123" s="2" t="s">
        <v>113</v>
      </c>
      <c r="BM123" s="2" t="s">
        <v>113</v>
      </c>
      <c r="BN123" s="2" t="s">
        <v>113</v>
      </c>
      <c r="BO123" s="2" t="s">
        <v>113</v>
      </c>
      <c r="BP123" s="2" t="s">
        <v>113</v>
      </c>
      <c r="BQ123" s="2" t="s">
        <v>113</v>
      </c>
      <c r="BR123" s="2" t="s">
        <v>113</v>
      </c>
      <c r="BS123" s="2" t="s">
        <v>113</v>
      </c>
      <c r="BT123" s="2" t="s">
        <v>113</v>
      </c>
      <c r="BU123" s="2" t="s">
        <v>113</v>
      </c>
      <c r="BV123" s="2" t="s">
        <v>113</v>
      </c>
      <c r="BW123" s="2" t="s">
        <v>113</v>
      </c>
      <c r="BX123" s="2" t="s">
        <v>113</v>
      </c>
      <c r="BY123" s="2" t="s">
        <v>113</v>
      </c>
      <c r="BZ123" s="2" t="s">
        <v>113</v>
      </c>
      <c r="CA123" s="2" t="s">
        <v>113</v>
      </c>
      <c r="CB123" s="2" t="s">
        <v>113</v>
      </c>
      <c r="CC123" s="2">
        <v>9</v>
      </c>
      <c r="CD123" s="2">
        <v>15</v>
      </c>
    </row>
    <row r="124" spans="4:118">
      <c r="D124">
        <v>61</v>
      </c>
      <c r="E124" s="2">
        <v>15.5</v>
      </c>
      <c r="R124" s="2">
        <v>3</v>
      </c>
      <c r="S124" s="2">
        <f t="shared" si="8"/>
        <v>7</v>
      </c>
      <c r="T124" s="2">
        <v>3</v>
      </c>
      <c r="U124" s="2">
        <f t="shared" si="8"/>
        <v>7</v>
      </c>
      <c r="AB124">
        <v>90</v>
      </c>
      <c r="AC124" s="2" t="s">
        <v>113</v>
      </c>
      <c r="AD124" s="2" t="s">
        <v>113</v>
      </c>
      <c r="AE124" s="2" t="s">
        <v>113</v>
      </c>
      <c r="AF124" s="2" t="s">
        <v>113</v>
      </c>
      <c r="AG124" s="2" t="s">
        <v>113</v>
      </c>
      <c r="AH124" s="2" t="s">
        <v>113</v>
      </c>
      <c r="AI124" s="2" t="s">
        <v>113</v>
      </c>
      <c r="AJ124" s="2" t="s">
        <v>113</v>
      </c>
      <c r="AK124" s="2" t="s">
        <v>113</v>
      </c>
      <c r="AL124" s="2" t="s">
        <v>113</v>
      </c>
      <c r="AM124" s="2" t="s">
        <v>113</v>
      </c>
      <c r="AN124" s="2" t="s">
        <v>113</v>
      </c>
      <c r="AO124" s="2" t="s">
        <v>113</v>
      </c>
      <c r="AP124" s="2" t="s">
        <v>113</v>
      </c>
      <c r="AQ124" s="2" t="s">
        <v>113</v>
      </c>
      <c r="AR124" s="2" t="s">
        <v>113</v>
      </c>
      <c r="AS124" s="2" t="s">
        <v>113</v>
      </c>
      <c r="AT124" s="2" t="s">
        <v>113</v>
      </c>
      <c r="AU124" s="2" t="s">
        <v>113</v>
      </c>
      <c r="AV124" s="2" t="s">
        <v>113</v>
      </c>
      <c r="AW124" s="2" t="s">
        <v>113</v>
      </c>
      <c r="AX124" s="2" t="s">
        <v>113</v>
      </c>
      <c r="AY124" s="2" t="s">
        <v>113</v>
      </c>
      <c r="AZ124" s="2" t="s">
        <v>113</v>
      </c>
      <c r="BA124" s="2" t="s">
        <v>113</v>
      </c>
      <c r="BB124" s="2" t="s">
        <v>113</v>
      </c>
      <c r="BC124" s="2" t="s">
        <v>113</v>
      </c>
      <c r="BD124" s="2" t="s">
        <v>113</v>
      </c>
      <c r="BE124" s="2" t="s">
        <v>113</v>
      </c>
      <c r="BF124" s="2" t="s">
        <v>113</v>
      </c>
      <c r="BG124" s="2" t="s">
        <v>113</v>
      </c>
      <c r="BH124" s="2" t="s">
        <v>113</v>
      </c>
      <c r="BI124" s="2" t="s">
        <v>113</v>
      </c>
      <c r="BJ124" s="2" t="s">
        <v>113</v>
      </c>
      <c r="BK124" s="2" t="s">
        <v>113</v>
      </c>
      <c r="BL124" s="2" t="s">
        <v>113</v>
      </c>
      <c r="BM124" s="2" t="s">
        <v>113</v>
      </c>
      <c r="BN124" s="2" t="s">
        <v>113</v>
      </c>
      <c r="BO124" s="2" t="s">
        <v>113</v>
      </c>
      <c r="BP124" s="2" t="s">
        <v>113</v>
      </c>
      <c r="BQ124" s="2" t="s">
        <v>113</v>
      </c>
      <c r="BR124" s="2" t="s">
        <v>113</v>
      </c>
      <c r="BS124" s="2" t="s">
        <v>113</v>
      </c>
      <c r="BT124" s="2" t="s">
        <v>113</v>
      </c>
      <c r="BU124" s="2" t="s">
        <v>113</v>
      </c>
      <c r="BV124" s="2" t="s">
        <v>113</v>
      </c>
      <c r="BW124" s="2" t="s">
        <v>113</v>
      </c>
      <c r="BX124" s="2" t="s">
        <v>113</v>
      </c>
      <c r="BY124" s="2" t="s">
        <v>113</v>
      </c>
      <c r="BZ124" s="2" t="s">
        <v>113</v>
      </c>
      <c r="CA124" s="2" t="s">
        <v>113</v>
      </c>
      <c r="CB124" s="2" t="s">
        <v>113</v>
      </c>
      <c r="CC124" s="2">
        <v>9</v>
      </c>
      <c r="CD124" s="2">
        <v>15</v>
      </c>
    </row>
    <row r="125" spans="4:118">
      <c r="D125">
        <v>60</v>
      </c>
      <c r="E125" s="2">
        <v>15</v>
      </c>
      <c r="R125" s="2">
        <v>3.5</v>
      </c>
      <c r="S125" s="2">
        <f t="shared" si="8"/>
        <v>7.5</v>
      </c>
      <c r="T125" s="2">
        <v>3.5</v>
      </c>
      <c r="U125" s="2">
        <f t="shared" si="8"/>
        <v>7.5</v>
      </c>
      <c r="AB125">
        <v>89.5</v>
      </c>
      <c r="AC125" s="2" t="s">
        <v>113</v>
      </c>
      <c r="AD125" s="2" t="s">
        <v>113</v>
      </c>
      <c r="AE125" s="2" t="s">
        <v>113</v>
      </c>
      <c r="AF125" s="2" t="s">
        <v>113</v>
      </c>
      <c r="AG125" s="2" t="s">
        <v>113</v>
      </c>
      <c r="AH125" s="2" t="s">
        <v>113</v>
      </c>
      <c r="AI125" s="2" t="s">
        <v>113</v>
      </c>
      <c r="AJ125" s="2" t="s">
        <v>113</v>
      </c>
      <c r="AK125" s="2" t="s">
        <v>113</v>
      </c>
      <c r="AL125" s="2" t="s">
        <v>113</v>
      </c>
      <c r="AM125" s="2" t="s">
        <v>113</v>
      </c>
      <c r="AN125" s="2" t="s">
        <v>113</v>
      </c>
      <c r="AO125" s="2" t="s">
        <v>113</v>
      </c>
      <c r="AP125" s="2" t="s">
        <v>113</v>
      </c>
      <c r="AQ125" s="2" t="s">
        <v>113</v>
      </c>
      <c r="AR125" s="2" t="s">
        <v>113</v>
      </c>
      <c r="AS125" s="2" t="s">
        <v>113</v>
      </c>
      <c r="AT125" s="2" t="s">
        <v>113</v>
      </c>
      <c r="AU125" s="2" t="s">
        <v>113</v>
      </c>
      <c r="AV125" s="2" t="s">
        <v>113</v>
      </c>
      <c r="AW125" s="2" t="s">
        <v>113</v>
      </c>
      <c r="AX125" s="2" t="s">
        <v>113</v>
      </c>
      <c r="AY125" s="2" t="s">
        <v>113</v>
      </c>
      <c r="AZ125" s="2" t="s">
        <v>113</v>
      </c>
      <c r="BA125" s="2" t="s">
        <v>113</v>
      </c>
      <c r="BB125" s="2" t="s">
        <v>113</v>
      </c>
      <c r="BC125" s="2" t="s">
        <v>113</v>
      </c>
      <c r="BD125" s="2" t="s">
        <v>113</v>
      </c>
      <c r="BE125" s="2" t="s">
        <v>113</v>
      </c>
      <c r="BF125" s="2" t="s">
        <v>113</v>
      </c>
      <c r="BG125" s="2" t="s">
        <v>113</v>
      </c>
      <c r="BH125" s="2" t="s">
        <v>113</v>
      </c>
      <c r="BI125" s="2" t="s">
        <v>113</v>
      </c>
      <c r="BJ125" s="2" t="s">
        <v>113</v>
      </c>
      <c r="BK125" s="2" t="s">
        <v>113</v>
      </c>
      <c r="BL125" s="2" t="s">
        <v>113</v>
      </c>
      <c r="BM125" s="2" t="s">
        <v>113</v>
      </c>
      <c r="BN125" s="2" t="s">
        <v>113</v>
      </c>
      <c r="BO125" s="2" t="s">
        <v>113</v>
      </c>
      <c r="BP125" s="2" t="s">
        <v>113</v>
      </c>
      <c r="BQ125" s="2" t="s">
        <v>113</v>
      </c>
      <c r="BR125" s="2" t="s">
        <v>113</v>
      </c>
      <c r="BS125" s="2" t="s">
        <v>113</v>
      </c>
      <c r="BT125" s="2" t="s">
        <v>113</v>
      </c>
      <c r="BU125" s="2" t="s">
        <v>113</v>
      </c>
      <c r="BV125" s="2" t="s">
        <v>113</v>
      </c>
      <c r="BW125" s="2" t="s">
        <v>113</v>
      </c>
      <c r="BX125" s="2" t="s">
        <v>113</v>
      </c>
      <c r="BY125" s="2" t="s">
        <v>113</v>
      </c>
      <c r="BZ125" s="2" t="s">
        <v>113</v>
      </c>
      <c r="CA125" s="2" t="s">
        <v>113</v>
      </c>
      <c r="CB125" s="2" t="s">
        <v>113</v>
      </c>
      <c r="CC125" s="2">
        <v>9</v>
      </c>
      <c r="CD125" s="2">
        <v>15</v>
      </c>
    </row>
    <row r="126" spans="4:118">
      <c r="D126">
        <v>59</v>
      </c>
      <c r="E126" s="2">
        <v>14.5</v>
      </c>
      <c r="R126" s="2">
        <v>4</v>
      </c>
      <c r="S126" s="2">
        <f t="shared" si="8"/>
        <v>8</v>
      </c>
      <c r="T126" s="2">
        <v>4</v>
      </c>
      <c r="U126" s="2">
        <f t="shared" si="8"/>
        <v>8</v>
      </c>
      <c r="AB126">
        <v>89</v>
      </c>
      <c r="AC126" s="2" t="s">
        <v>113</v>
      </c>
      <c r="AD126" s="2" t="s">
        <v>113</v>
      </c>
      <c r="AE126" s="2" t="s">
        <v>113</v>
      </c>
      <c r="AF126" s="2" t="s">
        <v>113</v>
      </c>
      <c r="AG126" s="2" t="s">
        <v>113</v>
      </c>
      <c r="AH126" s="2" t="s">
        <v>113</v>
      </c>
      <c r="AI126" s="2" t="s">
        <v>113</v>
      </c>
      <c r="AJ126" s="2" t="s">
        <v>113</v>
      </c>
      <c r="AK126" s="2" t="s">
        <v>113</v>
      </c>
      <c r="AL126" s="2" t="s">
        <v>113</v>
      </c>
      <c r="AM126" s="2" t="s">
        <v>113</v>
      </c>
      <c r="AN126" s="2" t="s">
        <v>113</v>
      </c>
      <c r="AO126" s="2" t="s">
        <v>113</v>
      </c>
      <c r="AP126" s="2" t="s">
        <v>113</v>
      </c>
      <c r="AQ126" s="2" t="s">
        <v>113</v>
      </c>
      <c r="AR126" s="2" t="s">
        <v>113</v>
      </c>
      <c r="AS126" s="2" t="s">
        <v>113</v>
      </c>
      <c r="AT126" s="2" t="s">
        <v>113</v>
      </c>
      <c r="AU126" s="2" t="s">
        <v>113</v>
      </c>
      <c r="AV126" s="2" t="s">
        <v>113</v>
      </c>
      <c r="AW126" s="2" t="s">
        <v>113</v>
      </c>
      <c r="AX126" s="2" t="s">
        <v>113</v>
      </c>
      <c r="AY126" s="2" t="s">
        <v>113</v>
      </c>
      <c r="AZ126" s="2" t="s">
        <v>113</v>
      </c>
      <c r="BA126" s="2" t="s">
        <v>113</v>
      </c>
      <c r="BB126" s="2" t="s">
        <v>113</v>
      </c>
      <c r="BC126" s="2" t="s">
        <v>113</v>
      </c>
      <c r="BD126" s="2" t="s">
        <v>113</v>
      </c>
      <c r="BE126" s="2" t="s">
        <v>113</v>
      </c>
      <c r="BF126" s="2" t="s">
        <v>113</v>
      </c>
      <c r="BG126" s="2" t="s">
        <v>113</v>
      </c>
      <c r="BH126" s="2" t="s">
        <v>113</v>
      </c>
      <c r="BI126" s="2" t="s">
        <v>113</v>
      </c>
      <c r="BJ126" s="2" t="s">
        <v>113</v>
      </c>
      <c r="BK126" s="2" t="s">
        <v>113</v>
      </c>
      <c r="BL126" s="2" t="s">
        <v>113</v>
      </c>
      <c r="BM126" s="2" t="s">
        <v>113</v>
      </c>
      <c r="BN126" s="2" t="s">
        <v>113</v>
      </c>
      <c r="BO126" s="2" t="s">
        <v>113</v>
      </c>
      <c r="BP126" s="2" t="s">
        <v>113</v>
      </c>
      <c r="BQ126" s="2" t="s">
        <v>113</v>
      </c>
      <c r="BR126" s="2" t="s">
        <v>113</v>
      </c>
      <c r="BS126" s="2" t="s">
        <v>113</v>
      </c>
      <c r="BT126" s="2" t="s">
        <v>113</v>
      </c>
      <c r="BU126" s="2" t="s">
        <v>113</v>
      </c>
      <c r="BV126" s="2" t="s">
        <v>113</v>
      </c>
      <c r="BW126" s="2" t="s">
        <v>113</v>
      </c>
      <c r="BX126" s="2" t="s">
        <v>113</v>
      </c>
      <c r="BY126" s="2" t="s">
        <v>113</v>
      </c>
      <c r="BZ126" s="2" t="s">
        <v>113</v>
      </c>
      <c r="CA126" s="2" t="s">
        <v>113</v>
      </c>
      <c r="CB126" s="2" t="s">
        <v>113</v>
      </c>
      <c r="CC126" s="2">
        <v>9</v>
      </c>
      <c r="CD126" s="2">
        <v>15</v>
      </c>
    </row>
    <row r="127" spans="4:118">
      <c r="D127">
        <v>58</v>
      </c>
      <c r="E127" s="2">
        <v>14</v>
      </c>
      <c r="R127" s="2">
        <v>4.5</v>
      </c>
      <c r="S127" s="2">
        <f t="shared" si="8"/>
        <v>8.5</v>
      </c>
      <c r="T127" s="2">
        <v>4.5</v>
      </c>
      <c r="U127" s="2">
        <f t="shared" si="8"/>
        <v>8.5</v>
      </c>
      <c r="AB127">
        <v>88.5</v>
      </c>
      <c r="AC127" s="2" t="s">
        <v>113</v>
      </c>
      <c r="AD127" s="2" t="s">
        <v>113</v>
      </c>
      <c r="AE127" s="2" t="s">
        <v>113</v>
      </c>
      <c r="AF127" s="2" t="s">
        <v>113</v>
      </c>
      <c r="AG127" s="2" t="s">
        <v>113</v>
      </c>
      <c r="AH127" s="2" t="s">
        <v>113</v>
      </c>
      <c r="AI127" s="2" t="s">
        <v>113</v>
      </c>
      <c r="AJ127" s="2" t="s">
        <v>113</v>
      </c>
      <c r="AK127" s="2" t="s">
        <v>113</v>
      </c>
      <c r="AL127" s="2" t="s">
        <v>113</v>
      </c>
      <c r="AM127" s="2" t="s">
        <v>113</v>
      </c>
      <c r="AN127" s="2" t="s">
        <v>113</v>
      </c>
      <c r="AO127" s="2" t="s">
        <v>113</v>
      </c>
      <c r="AP127" s="2" t="s">
        <v>113</v>
      </c>
      <c r="AQ127" s="2" t="s">
        <v>113</v>
      </c>
      <c r="AR127" s="2" t="s">
        <v>113</v>
      </c>
      <c r="AS127" s="2" t="s">
        <v>113</v>
      </c>
      <c r="AT127" s="2" t="s">
        <v>113</v>
      </c>
      <c r="AU127" s="2" t="s">
        <v>113</v>
      </c>
      <c r="AV127" s="2" t="s">
        <v>113</v>
      </c>
      <c r="AW127" s="2" t="s">
        <v>113</v>
      </c>
      <c r="AX127" s="2" t="s">
        <v>113</v>
      </c>
      <c r="AY127" s="2" t="s">
        <v>113</v>
      </c>
      <c r="AZ127" s="2" t="s">
        <v>113</v>
      </c>
      <c r="BA127" s="2" t="s">
        <v>113</v>
      </c>
      <c r="BB127" s="2" t="s">
        <v>113</v>
      </c>
      <c r="BC127" s="2" t="s">
        <v>113</v>
      </c>
      <c r="BD127" s="2" t="s">
        <v>113</v>
      </c>
      <c r="BE127" s="2" t="s">
        <v>113</v>
      </c>
      <c r="BF127" s="2" t="s">
        <v>113</v>
      </c>
      <c r="BG127" s="2" t="s">
        <v>113</v>
      </c>
      <c r="BH127" s="2" t="s">
        <v>113</v>
      </c>
      <c r="BI127" s="2" t="s">
        <v>113</v>
      </c>
      <c r="BJ127" s="2" t="s">
        <v>113</v>
      </c>
      <c r="BK127" s="2" t="s">
        <v>113</v>
      </c>
      <c r="BL127" s="2" t="s">
        <v>113</v>
      </c>
      <c r="BM127" s="2" t="s">
        <v>113</v>
      </c>
      <c r="BN127" s="2" t="s">
        <v>113</v>
      </c>
      <c r="BO127" s="2" t="s">
        <v>113</v>
      </c>
      <c r="BP127" s="2" t="s">
        <v>113</v>
      </c>
      <c r="BQ127" s="2" t="s">
        <v>113</v>
      </c>
      <c r="BR127" s="2" t="s">
        <v>113</v>
      </c>
      <c r="BS127" s="2" t="s">
        <v>113</v>
      </c>
      <c r="BT127" s="2" t="s">
        <v>113</v>
      </c>
      <c r="BU127" s="2" t="s">
        <v>113</v>
      </c>
      <c r="BV127" s="2" t="s">
        <v>113</v>
      </c>
      <c r="BW127" s="2" t="s">
        <v>113</v>
      </c>
      <c r="BX127" s="2" t="s">
        <v>113</v>
      </c>
      <c r="BY127" s="2" t="s">
        <v>113</v>
      </c>
      <c r="BZ127" s="2" t="s">
        <v>113</v>
      </c>
      <c r="CA127" s="2" t="s">
        <v>113</v>
      </c>
      <c r="CB127" s="2" t="s">
        <v>113</v>
      </c>
      <c r="CC127" s="2">
        <v>9</v>
      </c>
      <c r="CD127" s="2">
        <v>15</v>
      </c>
    </row>
    <row r="128" spans="4:118">
      <c r="D128">
        <v>57</v>
      </c>
      <c r="E128" s="2">
        <v>13.5</v>
      </c>
      <c r="R128" s="2">
        <v>5</v>
      </c>
      <c r="S128" s="2">
        <f t="shared" si="8"/>
        <v>9</v>
      </c>
      <c r="T128" s="2">
        <v>5</v>
      </c>
      <c r="U128" s="2">
        <f t="shared" si="8"/>
        <v>9</v>
      </c>
      <c r="AB128">
        <v>88</v>
      </c>
      <c r="AC128" s="2" t="s">
        <v>113</v>
      </c>
      <c r="AD128" s="2" t="s">
        <v>113</v>
      </c>
      <c r="AE128" s="2" t="s">
        <v>113</v>
      </c>
      <c r="AF128" s="2" t="s">
        <v>113</v>
      </c>
      <c r="AG128" s="2" t="s">
        <v>113</v>
      </c>
      <c r="AH128" s="2" t="s">
        <v>113</v>
      </c>
      <c r="AI128" s="2" t="s">
        <v>113</v>
      </c>
      <c r="AJ128" s="2" t="s">
        <v>113</v>
      </c>
      <c r="AK128" s="2" t="s">
        <v>113</v>
      </c>
      <c r="AL128" s="2" t="s">
        <v>113</v>
      </c>
      <c r="AM128" s="2" t="s">
        <v>113</v>
      </c>
      <c r="AN128" s="2" t="s">
        <v>113</v>
      </c>
      <c r="AO128" s="2" t="s">
        <v>113</v>
      </c>
      <c r="AP128" s="2" t="s">
        <v>113</v>
      </c>
      <c r="AQ128" s="2" t="s">
        <v>113</v>
      </c>
      <c r="AR128" s="2" t="s">
        <v>113</v>
      </c>
      <c r="AS128" s="2" t="s">
        <v>113</v>
      </c>
      <c r="AT128" s="2" t="s">
        <v>113</v>
      </c>
      <c r="AU128" s="2" t="s">
        <v>113</v>
      </c>
      <c r="AV128" s="2" t="s">
        <v>113</v>
      </c>
      <c r="AW128" s="2" t="s">
        <v>113</v>
      </c>
      <c r="AX128" s="2" t="s">
        <v>113</v>
      </c>
      <c r="AY128" s="2" t="s">
        <v>113</v>
      </c>
      <c r="AZ128" s="2" t="s">
        <v>113</v>
      </c>
      <c r="BA128" s="2" t="s">
        <v>113</v>
      </c>
      <c r="BB128" s="2" t="s">
        <v>113</v>
      </c>
      <c r="BC128" s="2" t="s">
        <v>113</v>
      </c>
      <c r="BD128" s="2" t="s">
        <v>113</v>
      </c>
      <c r="BE128" s="2" t="s">
        <v>113</v>
      </c>
      <c r="BF128" s="2" t="s">
        <v>113</v>
      </c>
      <c r="BG128" s="2" t="s">
        <v>113</v>
      </c>
      <c r="BH128" s="2" t="s">
        <v>113</v>
      </c>
      <c r="BI128" s="2" t="s">
        <v>113</v>
      </c>
      <c r="BJ128" s="2" t="s">
        <v>113</v>
      </c>
      <c r="BK128" s="2" t="s">
        <v>113</v>
      </c>
      <c r="BL128" s="2" t="s">
        <v>113</v>
      </c>
      <c r="BM128" s="2" t="s">
        <v>113</v>
      </c>
      <c r="BN128" s="2" t="s">
        <v>113</v>
      </c>
      <c r="BO128" s="2" t="s">
        <v>113</v>
      </c>
      <c r="BP128" s="2" t="s">
        <v>113</v>
      </c>
      <c r="BQ128" s="2" t="s">
        <v>113</v>
      </c>
      <c r="BR128" s="2" t="s">
        <v>113</v>
      </c>
      <c r="BS128" s="2" t="s">
        <v>113</v>
      </c>
      <c r="BT128" s="2" t="s">
        <v>113</v>
      </c>
      <c r="BU128" s="2" t="s">
        <v>113</v>
      </c>
      <c r="BV128" s="2" t="s">
        <v>113</v>
      </c>
      <c r="BW128" s="2" t="s">
        <v>113</v>
      </c>
      <c r="BX128" s="2" t="s">
        <v>113</v>
      </c>
      <c r="BY128" s="2" t="s">
        <v>113</v>
      </c>
      <c r="BZ128" s="2" t="s">
        <v>113</v>
      </c>
      <c r="CA128" s="2" t="s">
        <v>113</v>
      </c>
      <c r="CB128" s="2" t="s">
        <v>113</v>
      </c>
      <c r="CC128" s="2">
        <v>9</v>
      </c>
      <c r="CD128" s="2">
        <v>15</v>
      </c>
    </row>
    <row r="129" spans="4:82">
      <c r="D129">
        <v>56</v>
      </c>
      <c r="E129" s="2">
        <v>13</v>
      </c>
      <c r="R129" s="2">
        <v>5.5</v>
      </c>
      <c r="S129" s="2">
        <f t="shared" si="8"/>
        <v>9.5</v>
      </c>
      <c r="T129" s="2">
        <v>5.5</v>
      </c>
      <c r="U129" s="2">
        <f t="shared" si="8"/>
        <v>9.5</v>
      </c>
      <c r="AB129">
        <v>87.5</v>
      </c>
      <c r="AC129" s="2" t="s">
        <v>113</v>
      </c>
      <c r="AD129" s="2" t="s">
        <v>113</v>
      </c>
      <c r="AE129" s="2" t="s">
        <v>113</v>
      </c>
      <c r="AF129" s="2" t="s">
        <v>113</v>
      </c>
      <c r="AG129" s="2" t="s">
        <v>113</v>
      </c>
      <c r="AH129" s="2" t="s">
        <v>113</v>
      </c>
      <c r="AI129" s="2" t="s">
        <v>113</v>
      </c>
      <c r="AJ129" s="2" t="s">
        <v>113</v>
      </c>
      <c r="AK129" s="2" t="s">
        <v>113</v>
      </c>
      <c r="AL129" s="2" t="s">
        <v>113</v>
      </c>
      <c r="AM129" s="2" t="s">
        <v>113</v>
      </c>
      <c r="AN129" s="2" t="s">
        <v>113</v>
      </c>
      <c r="AO129" s="2" t="s">
        <v>113</v>
      </c>
      <c r="AP129" s="2" t="s">
        <v>113</v>
      </c>
      <c r="AQ129" s="2" t="s">
        <v>113</v>
      </c>
      <c r="AR129" s="2" t="s">
        <v>113</v>
      </c>
      <c r="AS129" s="2" t="s">
        <v>113</v>
      </c>
      <c r="AT129" s="2" t="s">
        <v>113</v>
      </c>
      <c r="AU129" s="2" t="s">
        <v>113</v>
      </c>
      <c r="AV129" s="2" t="s">
        <v>113</v>
      </c>
      <c r="AW129" s="2" t="s">
        <v>113</v>
      </c>
      <c r="AX129" s="2" t="s">
        <v>113</v>
      </c>
      <c r="AY129" s="2" t="s">
        <v>113</v>
      </c>
      <c r="AZ129" s="2" t="s">
        <v>113</v>
      </c>
      <c r="BA129" s="2" t="s">
        <v>113</v>
      </c>
      <c r="BB129" s="2" t="s">
        <v>113</v>
      </c>
      <c r="BC129" s="2" t="s">
        <v>113</v>
      </c>
      <c r="BD129" s="2" t="s">
        <v>113</v>
      </c>
      <c r="BE129" s="2" t="s">
        <v>113</v>
      </c>
      <c r="BF129" s="2" t="s">
        <v>113</v>
      </c>
      <c r="BG129" s="2" t="s">
        <v>113</v>
      </c>
      <c r="BH129" s="2" t="s">
        <v>113</v>
      </c>
      <c r="BI129" s="2" t="s">
        <v>113</v>
      </c>
      <c r="BJ129" s="2" t="s">
        <v>113</v>
      </c>
      <c r="BK129" s="2" t="s">
        <v>113</v>
      </c>
      <c r="BL129" s="2" t="s">
        <v>113</v>
      </c>
      <c r="BM129" s="2" t="s">
        <v>113</v>
      </c>
      <c r="BN129" s="2" t="s">
        <v>113</v>
      </c>
      <c r="BO129" s="2" t="s">
        <v>113</v>
      </c>
      <c r="BP129" s="2" t="s">
        <v>113</v>
      </c>
      <c r="BQ129" s="2" t="s">
        <v>113</v>
      </c>
      <c r="BR129" s="2" t="s">
        <v>113</v>
      </c>
      <c r="BS129" s="2" t="s">
        <v>113</v>
      </c>
      <c r="BT129" s="2" t="s">
        <v>113</v>
      </c>
      <c r="BU129" s="2" t="s">
        <v>113</v>
      </c>
      <c r="BV129" s="2" t="s">
        <v>113</v>
      </c>
      <c r="BW129" s="2" t="s">
        <v>113</v>
      </c>
      <c r="BX129" s="2" t="s">
        <v>113</v>
      </c>
      <c r="BY129" s="2" t="s">
        <v>113</v>
      </c>
      <c r="BZ129" s="2" t="s">
        <v>113</v>
      </c>
      <c r="CA129" s="2" t="s">
        <v>113</v>
      </c>
      <c r="CB129" s="2" t="s">
        <v>113</v>
      </c>
      <c r="CC129" s="2">
        <v>9</v>
      </c>
      <c r="CD129" s="2">
        <v>15</v>
      </c>
    </row>
    <row r="130" spans="4:82">
      <c r="D130">
        <v>55</v>
      </c>
      <c r="E130" s="2">
        <v>12.5</v>
      </c>
      <c r="R130" s="2">
        <v>6</v>
      </c>
      <c r="S130" s="2">
        <f t="shared" si="8"/>
        <v>10</v>
      </c>
      <c r="T130" s="2">
        <v>6</v>
      </c>
      <c r="U130" s="2">
        <f t="shared" si="8"/>
        <v>10</v>
      </c>
      <c r="AB130">
        <v>87</v>
      </c>
      <c r="AC130" s="2" t="s">
        <v>113</v>
      </c>
      <c r="AD130" s="2" t="s">
        <v>113</v>
      </c>
      <c r="AE130" s="2" t="s">
        <v>113</v>
      </c>
      <c r="AF130" s="2" t="s">
        <v>113</v>
      </c>
      <c r="AG130" s="2" t="s">
        <v>113</v>
      </c>
      <c r="AH130" s="2" t="s">
        <v>113</v>
      </c>
      <c r="AI130" s="2" t="s">
        <v>113</v>
      </c>
      <c r="AJ130" s="2" t="s">
        <v>113</v>
      </c>
      <c r="AK130" s="2" t="s">
        <v>113</v>
      </c>
      <c r="AL130" s="2" t="s">
        <v>113</v>
      </c>
      <c r="AM130" s="2" t="s">
        <v>113</v>
      </c>
      <c r="AN130" s="2" t="s">
        <v>113</v>
      </c>
      <c r="AO130" s="2" t="s">
        <v>113</v>
      </c>
      <c r="AP130" s="2" t="s">
        <v>113</v>
      </c>
      <c r="AQ130" s="2" t="s">
        <v>113</v>
      </c>
      <c r="AR130" s="2" t="s">
        <v>113</v>
      </c>
      <c r="AS130" s="2" t="s">
        <v>113</v>
      </c>
      <c r="AT130" s="2" t="s">
        <v>113</v>
      </c>
      <c r="AU130" s="2" t="s">
        <v>113</v>
      </c>
      <c r="AV130" s="2" t="s">
        <v>113</v>
      </c>
      <c r="AW130" s="2" t="s">
        <v>113</v>
      </c>
      <c r="AX130" s="2" t="s">
        <v>113</v>
      </c>
      <c r="AY130" s="2" t="s">
        <v>113</v>
      </c>
      <c r="AZ130" s="2" t="s">
        <v>113</v>
      </c>
      <c r="BA130" s="2" t="s">
        <v>113</v>
      </c>
      <c r="BB130" s="2" t="s">
        <v>113</v>
      </c>
      <c r="BC130" s="2" t="s">
        <v>113</v>
      </c>
      <c r="BD130" s="2" t="s">
        <v>113</v>
      </c>
      <c r="BE130" s="2" t="s">
        <v>113</v>
      </c>
      <c r="BF130" s="2" t="s">
        <v>113</v>
      </c>
      <c r="BG130" s="2" t="s">
        <v>113</v>
      </c>
      <c r="BH130" s="2" t="s">
        <v>113</v>
      </c>
      <c r="BI130" s="2" t="s">
        <v>113</v>
      </c>
      <c r="BJ130" s="2" t="s">
        <v>113</v>
      </c>
      <c r="BK130" s="2" t="s">
        <v>113</v>
      </c>
      <c r="BL130" s="2" t="s">
        <v>113</v>
      </c>
      <c r="BM130" s="2" t="s">
        <v>113</v>
      </c>
      <c r="BN130" s="2" t="s">
        <v>113</v>
      </c>
      <c r="BO130" s="2" t="s">
        <v>113</v>
      </c>
      <c r="BP130" s="2" t="s">
        <v>113</v>
      </c>
      <c r="BQ130" s="2" t="s">
        <v>113</v>
      </c>
      <c r="BR130" s="2" t="s">
        <v>113</v>
      </c>
      <c r="BS130" s="2" t="s">
        <v>113</v>
      </c>
      <c r="BT130" s="2" t="s">
        <v>113</v>
      </c>
      <c r="BU130" s="2" t="s">
        <v>113</v>
      </c>
      <c r="BV130" s="2" t="s">
        <v>113</v>
      </c>
      <c r="BW130" s="2" t="s">
        <v>113</v>
      </c>
      <c r="BX130" s="2" t="s">
        <v>113</v>
      </c>
      <c r="BY130" s="2" t="s">
        <v>113</v>
      </c>
      <c r="BZ130" s="2" t="s">
        <v>113</v>
      </c>
      <c r="CA130" s="2" t="s">
        <v>113</v>
      </c>
      <c r="CB130" s="2" t="s">
        <v>113</v>
      </c>
      <c r="CC130" s="2">
        <v>9</v>
      </c>
      <c r="CD130" s="2">
        <v>15</v>
      </c>
    </row>
    <row r="131" spans="4:82">
      <c r="D131">
        <v>54</v>
      </c>
      <c r="E131" s="2">
        <v>12</v>
      </c>
      <c r="R131" s="2">
        <v>6.5</v>
      </c>
      <c r="S131" s="2">
        <f t="shared" si="8"/>
        <v>10.5</v>
      </c>
      <c r="T131" s="2">
        <v>6.5</v>
      </c>
      <c r="U131" s="2">
        <f t="shared" si="8"/>
        <v>10.5</v>
      </c>
      <c r="AB131">
        <v>86.5</v>
      </c>
      <c r="AC131" s="2" t="s">
        <v>113</v>
      </c>
      <c r="AD131" s="2" t="s">
        <v>113</v>
      </c>
      <c r="AE131" s="2" t="s">
        <v>113</v>
      </c>
      <c r="AF131" s="2" t="s">
        <v>113</v>
      </c>
      <c r="AG131" s="2" t="s">
        <v>113</v>
      </c>
      <c r="AH131" s="2" t="s">
        <v>113</v>
      </c>
      <c r="AI131" s="2" t="s">
        <v>113</v>
      </c>
      <c r="AJ131" s="2" t="s">
        <v>113</v>
      </c>
      <c r="AK131" s="2" t="s">
        <v>113</v>
      </c>
      <c r="AL131" s="2" t="s">
        <v>113</v>
      </c>
      <c r="AM131" s="2" t="s">
        <v>113</v>
      </c>
      <c r="AN131" s="2" t="s">
        <v>113</v>
      </c>
      <c r="AO131" s="2" t="s">
        <v>113</v>
      </c>
      <c r="AP131" s="2" t="s">
        <v>113</v>
      </c>
      <c r="AQ131" s="2" t="s">
        <v>113</v>
      </c>
      <c r="AR131" s="2" t="s">
        <v>113</v>
      </c>
      <c r="AS131" s="2" t="s">
        <v>113</v>
      </c>
      <c r="AT131" s="2" t="s">
        <v>113</v>
      </c>
      <c r="AU131" s="2" t="s">
        <v>113</v>
      </c>
      <c r="AV131" s="2" t="s">
        <v>113</v>
      </c>
      <c r="AW131" s="2" t="s">
        <v>113</v>
      </c>
      <c r="AX131" s="2" t="s">
        <v>113</v>
      </c>
      <c r="AY131" s="2" t="s">
        <v>113</v>
      </c>
      <c r="AZ131" s="2" t="s">
        <v>113</v>
      </c>
      <c r="BA131" s="2" t="s">
        <v>113</v>
      </c>
      <c r="BB131" s="2" t="s">
        <v>113</v>
      </c>
      <c r="BC131" s="2" t="s">
        <v>113</v>
      </c>
      <c r="BD131" s="2" t="s">
        <v>113</v>
      </c>
      <c r="BE131" s="2" t="s">
        <v>113</v>
      </c>
      <c r="BF131" s="2" t="s">
        <v>113</v>
      </c>
      <c r="BG131" s="2" t="s">
        <v>113</v>
      </c>
      <c r="BH131" s="2" t="s">
        <v>113</v>
      </c>
      <c r="BI131" s="2" t="s">
        <v>113</v>
      </c>
      <c r="BJ131" s="2" t="s">
        <v>113</v>
      </c>
      <c r="BK131" s="2" t="s">
        <v>113</v>
      </c>
      <c r="BL131" s="2" t="s">
        <v>113</v>
      </c>
      <c r="BM131" s="2" t="s">
        <v>113</v>
      </c>
      <c r="BN131" s="2" t="s">
        <v>113</v>
      </c>
      <c r="BO131" s="2" t="s">
        <v>113</v>
      </c>
      <c r="BP131" s="2" t="s">
        <v>113</v>
      </c>
      <c r="BQ131" s="2" t="s">
        <v>113</v>
      </c>
      <c r="BR131" s="2" t="s">
        <v>113</v>
      </c>
      <c r="BS131" s="2" t="s">
        <v>113</v>
      </c>
      <c r="BT131" s="2" t="s">
        <v>113</v>
      </c>
      <c r="BU131" s="2" t="s">
        <v>113</v>
      </c>
      <c r="BV131" s="2" t="s">
        <v>113</v>
      </c>
      <c r="BW131" s="2" t="s">
        <v>113</v>
      </c>
      <c r="BX131" s="2" t="s">
        <v>113</v>
      </c>
      <c r="BY131" s="2" t="s">
        <v>113</v>
      </c>
      <c r="BZ131" s="2" t="s">
        <v>113</v>
      </c>
      <c r="CA131" s="2" t="s">
        <v>113</v>
      </c>
      <c r="CB131" s="2" t="s">
        <v>113</v>
      </c>
      <c r="CC131" s="2">
        <v>9</v>
      </c>
      <c r="CD131" s="2">
        <v>15</v>
      </c>
    </row>
    <row r="132" spans="4:82">
      <c r="D132">
        <v>53</v>
      </c>
      <c r="E132" s="2">
        <v>11.5</v>
      </c>
      <c r="R132" s="2">
        <v>7</v>
      </c>
      <c r="S132" s="2">
        <f t="shared" si="8"/>
        <v>11</v>
      </c>
      <c r="T132" s="2">
        <v>7</v>
      </c>
      <c r="U132" s="2">
        <f t="shared" si="8"/>
        <v>11</v>
      </c>
      <c r="AB132">
        <v>86</v>
      </c>
      <c r="AC132" s="2" t="s">
        <v>113</v>
      </c>
      <c r="AD132" s="2" t="s">
        <v>113</v>
      </c>
      <c r="AE132" s="2" t="s">
        <v>113</v>
      </c>
      <c r="AF132" s="2" t="s">
        <v>113</v>
      </c>
      <c r="AG132" s="2" t="s">
        <v>113</v>
      </c>
      <c r="AH132" s="2" t="s">
        <v>113</v>
      </c>
      <c r="AI132" s="2" t="s">
        <v>113</v>
      </c>
      <c r="AJ132" s="2" t="s">
        <v>113</v>
      </c>
      <c r="AK132" s="2" t="s">
        <v>113</v>
      </c>
      <c r="AL132" s="2" t="s">
        <v>113</v>
      </c>
      <c r="AM132" s="2" t="s">
        <v>113</v>
      </c>
      <c r="AN132" s="2" t="s">
        <v>113</v>
      </c>
      <c r="AO132" s="2" t="s">
        <v>113</v>
      </c>
      <c r="AP132" s="2" t="s">
        <v>113</v>
      </c>
      <c r="AQ132" s="2" t="s">
        <v>113</v>
      </c>
      <c r="AR132" s="2" t="s">
        <v>113</v>
      </c>
      <c r="AS132" s="2" t="s">
        <v>113</v>
      </c>
      <c r="AT132" s="2" t="s">
        <v>113</v>
      </c>
      <c r="AU132" s="2" t="s">
        <v>113</v>
      </c>
      <c r="AV132" s="2" t="s">
        <v>113</v>
      </c>
      <c r="AW132" s="2" t="s">
        <v>113</v>
      </c>
      <c r="AX132" s="2" t="s">
        <v>113</v>
      </c>
      <c r="AY132" s="2" t="s">
        <v>113</v>
      </c>
      <c r="AZ132" s="2" t="s">
        <v>113</v>
      </c>
      <c r="BA132" s="2" t="s">
        <v>113</v>
      </c>
      <c r="BB132" s="2" t="s">
        <v>113</v>
      </c>
      <c r="BC132" s="2" t="s">
        <v>113</v>
      </c>
      <c r="BD132" s="2" t="s">
        <v>113</v>
      </c>
      <c r="BE132" s="2" t="s">
        <v>113</v>
      </c>
      <c r="BF132" s="2" t="s">
        <v>113</v>
      </c>
      <c r="BG132" s="2" t="s">
        <v>113</v>
      </c>
      <c r="BH132" s="2" t="s">
        <v>113</v>
      </c>
      <c r="BI132" s="2" t="s">
        <v>113</v>
      </c>
      <c r="BJ132" s="2" t="s">
        <v>113</v>
      </c>
      <c r="BK132" s="2" t="s">
        <v>113</v>
      </c>
      <c r="BL132" s="2" t="s">
        <v>113</v>
      </c>
      <c r="BM132" s="2" t="s">
        <v>113</v>
      </c>
      <c r="BN132" s="2" t="s">
        <v>113</v>
      </c>
      <c r="BO132" s="2" t="s">
        <v>113</v>
      </c>
      <c r="BP132" s="2" t="s">
        <v>113</v>
      </c>
      <c r="BQ132" s="2" t="s">
        <v>113</v>
      </c>
      <c r="BR132" s="2" t="s">
        <v>113</v>
      </c>
      <c r="BS132" s="2" t="s">
        <v>113</v>
      </c>
      <c r="BT132" s="2" t="s">
        <v>113</v>
      </c>
      <c r="BU132" s="2" t="s">
        <v>113</v>
      </c>
      <c r="BV132" s="2" t="s">
        <v>113</v>
      </c>
      <c r="BW132" s="2" t="s">
        <v>113</v>
      </c>
      <c r="BX132" s="2" t="s">
        <v>113</v>
      </c>
      <c r="BY132" s="2" t="s">
        <v>113</v>
      </c>
      <c r="BZ132" s="2" t="s">
        <v>113</v>
      </c>
      <c r="CA132" s="2" t="s">
        <v>113</v>
      </c>
      <c r="CB132" s="2" t="s">
        <v>113</v>
      </c>
      <c r="CC132" s="2">
        <v>9</v>
      </c>
      <c r="CD132" s="2">
        <v>15</v>
      </c>
    </row>
    <row r="133" spans="4:82">
      <c r="D133">
        <v>52</v>
      </c>
      <c r="E133" s="2">
        <v>11</v>
      </c>
      <c r="R133" s="2">
        <v>7.5</v>
      </c>
      <c r="S133" s="2">
        <f t="shared" si="8"/>
        <v>11.5</v>
      </c>
      <c r="T133" s="2">
        <v>7.5</v>
      </c>
      <c r="U133" s="2">
        <f t="shared" si="8"/>
        <v>11.5</v>
      </c>
      <c r="AB133">
        <v>85.5</v>
      </c>
      <c r="AC133" s="2" t="s">
        <v>113</v>
      </c>
      <c r="AD133" s="2" t="s">
        <v>113</v>
      </c>
      <c r="AE133" s="2" t="s">
        <v>113</v>
      </c>
      <c r="AF133" s="2" t="s">
        <v>113</v>
      </c>
      <c r="AG133" s="2" t="s">
        <v>113</v>
      </c>
      <c r="AH133" s="2" t="s">
        <v>113</v>
      </c>
      <c r="AI133" s="2" t="s">
        <v>113</v>
      </c>
      <c r="AJ133" s="2" t="s">
        <v>113</v>
      </c>
      <c r="AK133" s="2" t="s">
        <v>113</v>
      </c>
      <c r="AL133" s="2" t="s">
        <v>113</v>
      </c>
      <c r="AM133" s="2" t="s">
        <v>113</v>
      </c>
      <c r="AN133" s="2" t="s">
        <v>113</v>
      </c>
      <c r="AO133" s="2" t="s">
        <v>113</v>
      </c>
      <c r="AP133" s="2" t="s">
        <v>113</v>
      </c>
      <c r="AQ133" s="2" t="s">
        <v>113</v>
      </c>
      <c r="AR133" s="2" t="s">
        <v>113</v>
      </c>
      <c r="AS133" s="2" t="s">
        <v>113</v>
      </c>
      <c r="AT133" s="2" t="s">
        <v>113</v>
      </c>
      <c r="AU133" s="2" t="s">
        <v>113</v>
      </c>
      <c r="AV133" s="2" t="s">
        <v>113</v>
      </c>
      <c r="AW133" s="2" t="s">
        <v>113</v>
      </c>
      <c r="AX133" s="2" t="s">
        <v>113</v>
      </c>
      <c r="AY133" s="2" t="s">
        <v>113</v>
      </c>
      <c r="AZ133" s="2" t="s">
        <v>113</v>
      </c>
      <c r="BA133" s="2" t="s">
        <v>113</v>
      </c>
      <c r="BB133" s="2" t="s">
        <v>113</v>
      </c>
      <c r="BC133" s="2" t="s">
        <v>113</v>
      </c>
      <c r="BD133" s="2" t="s">
        <v>113</v>
      </c>
      <c r="BE133" s="2" t="s">
        <v>113</v>
      </c>
      <c r="BF133" s="2" t="s">
        <v>113</v>
      </c>
      <c r="BG133" s="2" t="s">
        <v>113</v>
      </c>
      <c r="BH133" s="2" t="s">
        <v>113</v>
      </c>
      <c r="BI133" s="2" t="s">
        <v>113</v>
      </c>
      <c r="BJ133" s="2" t="s">
        <v>113</v>
      </c>
      <c r="BK133" s="2" t="s">
        <v>113</v>
      </c>
      <c r="BL133" s="2" t="s">
        <v>113</v>
      </c>
      <c r="BM133" s="2" t="s">
        <v>113</v>
      </c>
      <c r="BN133" s="2" t="s">
        <v>113</v>
      </c>
      <c r="BO133" s="2" t="s">
        <v>113</v>
      </c>
      <c r="BP133" s="2" t="s">
        <v>113</v>
      </c>
      <c r="BQ133" s="2" t="s">
        <v>113</v>
      </c>
      <c r="BR133" s="2" t="s">
        <v>113</v>
      </c>
      <c r="BS133" s="2" t="s">
        <v>113</v>
      </c>
      <c r="BT133" s="2" t="s">
        <v>113</v>
      </c>
      <c r="BU133" s="2" t="s">
        <v>113</v>
      </c>
      <c r="BV133" s="2" t="s">
        <v>113</v>
      </c>
      <c r="BW133" s="2" t="s">
        <v>113</v>
      </c>
      <c r="BX133" s="2" t="s">
        <v>113</v>
      </c>
      <c r="BY133" s="2" t="s">
        <v>113</v>
      </c>
      <c r="BZ133" s="2" t="s">
        <v>113</v>
      </c>
      <c r="CA133" s="2" t="s">
        <v>113</v>
      </c>
      <c r="CB133" s="2" t="s">
        <v>113</v>
      </c>
      <c r="CC133" s="2">
        <v>9</v>
      </c>
      <c r="CD133" s="2">
        <v>15</v>
      </c>
    </row>
    <row r="134" spans="4:82">
      <c r="D134">
        <v>51</v>
      </c>
      <c r="E134" s="2">
        <v>10.5</v>
      </c>
      <c r="R134" s="2">
        <v>8</v>
      </c>
      <c r="S134" s="2">
        <f t="shared" si="8"/>
        <v>12</v>
      </c>
      <c r="T134" s="2">
        <v>8</v>
      </c>
      <c r="U134" s="2">
        <f t="shared" si="8"/>
        <v>12</v>
      </c>
      <c r="AB134">
        <v>85</v>
      </c>
      <c r="AC134" s="2" t="s">
        <v>113</v>
      </c>
      <c r="AD134" s="2" t="s">
        <v>113</v>
      </c>
      <c r="AE134" s="2" t="s">
        <v>113</v>
      </c>
      <c r="AF134" s="2" t="s">
        <v>113</v>
      </c>
      <c r="AG134" s="2" t="s">
        <v>113</v>
      </c>
      <c r="AH134" s="2" t="s">
        <v>113</v>
      </c>
      <c r="AI134" s="2" t="s">
        <v>113</v>
      </c>
      <c r="AJ134" s="2" t="s">
        <v>113</v>
      </c>
      <c r="AK134" s="2" t="s">
        <v>113</v>
      </c>
      <c r="AL134" s="2" t="s">
        <v>113</v>
      </c>
      <c r="AM134" s="2" t="s">
        <v>113</v>
      </c>
      <c r="AN134" s="2" t="s">
        <v>113</v>
      </c>
      <c r="AO134" s="2" t="s">
        <v>113</v>
      </c>
      <c r="AP134" s="2" t="s">
        <v>113</v>
      </c>
      <c r="AQ134" s="2" t="s">
        <v>113</v>
      </c>
      <c r="AR134" s="2" t="s">
        <v>113</v>
      </c>
      <c r="AS134" s="2" t="s">
        <v>113</v>
      </c>
      <c r="AT134" s="2" t="s">
        <v>113</v>
      </c>
      <c r="AU134" s="2" t="s">
        <v>113</v>
      </c>
      <c r="AV134" s="2" t="s">
        <v>113</v>
      </c>
      <c r="AW134" s="2" t="s">
        <v>113</v>
      </c>
      <c r="AX134" s="2" t="s">
        <v>113</v>
      </c>
      <c r="AY134" s="2" t="s">
        <v>113</v>
      </c>
      <c r="AZ134" s="2" t="s">
        <v>113</v>
      </c>
      <c r="BA134" s="2" t="s">
        <v>113</v>
      </c>
      <c r="BB134" s="2" t="s">
        <v>113</v>
      </c>
      <c r="BC134" s="2" t="s">
        <v>113</v>
      </c>
      <c r="BD134" s="2" t="s">
        <v>113</v>
      </c>
      <c r="BE134" s="2" t="s">
        <v>113</v>
      </c>
      <c r="BF134" s="2" t="s">
        <v>113</v>
      </c>
      <c r="BG134" s="2" t="s">
        <v>113</v>
      </c>
      <c r="BH134" s="2" t="s">
        <v>113</v>
      </c>
      <c r="BI134" s="2" t="s">
        <v>113</v>
      </c>
      <c r="BJ134" s="2" t="s">
        <v>113</v>
      </c>
      <c r="BK134" s="2" t="s">
        <v>113</v>
      </c>
      <c r="BL134" s="2" t="s">
        <v>113</v>
      </c>
      <c r="BM134" s="2" t="s">
        <v>113</v>
      </c>
      <c r="BN134" s="2" t="s">
        <v>113</v>
      </c>
      <c r="BO134" s="2" t="s">
        <v>113</v>
      </c>
      <c r="BP134" s="2" t="s">
        <v>113</v>
      </c>
      <c r="BQ134" s="2" t="s">
        <v>113</v>
      </c>
      <c r="BR134" s="2" t="s">
        <v>113</v>
      </c>
      <c r="BS134" s="2" t="s">
        <v>113</v>
      </c>
      <c r="BT134" s="2" t="s">
        <v>113</v>
      </c>
      <c r="BU134" s="2" t="s">
        <v>113</v>
      </c>
      <c r="BV134" s="2" t="s">
        <v>113</v>
      </c>
      <c r="BW134" s="2" t="s">
        <v>113</v>
      </c>
      <c r="BX134" s="2" t="s">
        <v>113</v>
      </c>
      <c r="BY134" s="2" t="s">
        <v>113</v>
      </c>
      <c r="BZ134" s="2" t="s">
        <v>113</v>
      </c>
      <c r="CA134" s="2" t="s">
        <v>113</v>
      </c>
      <c r="CB134" s="2" t="s">
        <v>113</v>
      </c>
      <c r="CC134" s="2">
        <v>9</v>
      </c>
      <c r="CD134" s="2">
        <v>15</v>
      </c>
    </row>
    <row r="135" spans="4:82">
      <c r="D135">
        <v>50</v>
      </c>
      <c r="E135" s="2">
        <v>10</v>
      </c>
      <c r="R135" s="2">
        <v>8.5</v>
      </c>
      <c r="S135" s="2">
        <f t="shared" si="8"/>
        <v>12.5</v>
      </c>
      <c r="T135" s="2">
        <v>8.5</v>
      </c>
      <c r="U135" s="2">
        <f t="shared" si="8"/>
        <v>12.5</v>
      </c>
      <c r="AB135">
        <v>84.5</v>
      </c>
      <c r="AC135" s="2" t="s">
        <v>113</v>
      </c>
      <c r="AD135" s="2" t="s">
        <v>113</v>
      </c>
      <c r="AE135" s="2" t="s">
        <v>113</v>
      </c>
      <c r="AF135" s="2" t="s">
        <v>113</v>
      </c>
      <c r="AG135" s="2" t="s">
        <v>113</v>
      </c>
      <c r="AH135" s="2" t="s">
        <v>113</v>
      </c>
      <c r="AI135" s="2" t="s">
        <v>113</v>
      </c>
      <c r="AJ135" s="2" t="s">
        <v>113</v>
      </c>
      <c r="AK135" s="2" t="s">
        <v>113</v>
      </c>
      <c r="AL135" s="2" t="s">
        <v>113</v>
      </c>
      <c r="AM135" s="2" t="s">
        <v>113</v>
      </c>
      <c r="AN135" s="2" t="s">
        <v>113</v>
      </c>
      <c r="AO135" s="2" t="s">
        <v>113</v>
      </c>
      <c r="AP135" s="2" t="s">
        <v>113</v>
      </c>
      <c r="AQ135" s="2" t="s">
        <v>113</v>
      </c>
      <c r="AR135" s="2" t="s">
        <v>113</v>
      </c>
      <c r="AS135" s="2" t="s">
        <v>113</v>
      </c>
      <c r="AT135" s="2" t="s">
        <v>113</v>
      </c>
      <c r="AU135" s="2" t="s">
        <v>113</v>
      </c>
      <c r="AV135" s="2" t="s">
        <v>113</v>
      </c>
      <c r="AW135" s="2" t="s">
        <v>113</v>
      </c>
      <c r="AX135" s="2" t="s">
        <v>113</v>
      </c>
      <c r="AY135" s="2" t="s">
        <v>113</v>
      </c>
      <c r="AZ135" s="2" t="s">
        <v>113</v>
      </c>
      <c r="BA135" s="2" t="s">
        <v>113</v>
      </c>
      <c r="BB135" s="2" t="s">
        <v>113</v>
      </c>
      <c r="BC135" s="2" t="s">
        <v>113</v>
      </c>
      <c r="BD135" s="2" t="s">
        <v>113</v>
      </c>
      <c r="BE135" s="2" t="s">
        <v>113</v>
      </c>
      <c r="BF135" s="2" t="s">
        <v>113</v>
      </c>
      <c r="BG135" s="2" t="s">
        <v>113</v>
      </c>
      <c r="BH135" s="2" t="s">
        <v>113</v>
      </c>
      <c r="BI135" s="2" t="s">
        <v>113</v>
      </c>
      <c r="BJ135" s="2" t="s">
        <v>113</v>
      </c>
      <c r="BK135" s="2" t="s">
        <v>113</v>
      </c>
      <c r="BL135" s="2" t="s">
        <v>113</v>
      </c>
      <c r="BM135" s="2" t="s">
        <v>113</v>
      </c>
      <c r="BN135" s="2" t="s">
        <v>113</v>
      </c>
      <c r="BO135" s="2" t="s">
        <v>113</v>
      </c>
      <c r="BP135" s="2" t="s">
        <v>113</v>
      </c>
      <c r="BQ135" s="2" t="s">
        <v>113</v>
      </c>
      <c r="BR135" s="2" t="s">
        <v>113</v>
      </c>
      <c r="BS135" s="2" t="s">
        <v>113</v>
      </c>
      <c r="BT135" s="2" t="s">
        <v>113</v>
      </c>
      <c r="BU135" s="2" t="s">
        <v>113</v>
      </c>
      <c r="BV135" s="2" t="s">
        <v>113</v>
      </c>
      <c r="BW135" s="2" t="s">
        <v>113</v>
      </c>
      <c r="BX135" s="2" t="s">
        <v>113</v>
      </c>
      <c r="BY135" s="2" t="s">
        <v>113</v>
      </c>
      <c r="BZ135" s="2" t="s">
        <v>113</v>
      </c>
      <c r="CA135" s="2" t="s">
        <v>113</v>
      </c>
      <c r="CB135" s="2" t="s">
        <v>113</v>
      </c>
      <c r="CC135" s="2">
        <v>9</v>
      </c>
      <c r="CD135" s="2">
        <v>15</v>
      </c>
    </row>
    <row r="136" spans="4:82">
      <c r="D136">
        <v>49</v>
      </c>
      <c r="E136" s="2">
        <v>9.5</v>
      </c>
      <c r="R136" s="2">
        <v>9</v>
      </c>
      <c r="S136" s="2">
        <f t="shared" si="8"/>
        <v>13</v>
      </c>
      <c r="T136" s="2">
        <v>9</v>
      </c>
      <c r="U136" s="2">
        <f t="shared" si="8"/>
        <v>13</v>
      </c>
      <c r="AB136">
        <v>84</v>
      </c>
      <c r="AC136" s="2" t="s">
        <v>113</v>
      </c>
      <c r="AD136" s="2" t="s">
        <v>113</v>
      </c>
      <c r="AE136" s="2" t="s">
        <v>113</v>
      </c>
      <c r="AF136" s="2" t="s">
        <v>113</v>
      </c>
      <c r="AG136" s="2" t="s">
        <v>113</v>
      </c>
      <c r="AH136" s="2" t="s">
        <v>113</v>
      </c>
      <c r="AI136" s="2" t="s">
        <v>113</v>
      </c>
      <c r="AJ136" s="2" t="s">
        <v>113</v>
      </c>
      <c r="AK136" s="2" t="s">
        <v>113</v>
      </c>
      <c r="AL136" s="2" t="s">
        <v>113</v>
      </c>
      <c r="AM136" s="2" t="s">
        <v>113</v>
      </c>
      <c r="AN136" s="2" t="s">
        <v>113</v>
      </c>
      <c r="AO136" s="2" t="s">
        <v>113</v>
      </c>
      <c r="AP136" s="2" t="s">
        <v>113</v>
      </c>
      <c r="AQ136" s="2" t="s">
        <v>113</v>
      </c>
      <c r="AR136" s="2" t="s">
        <v>113</v>
      </c>
      <c r="AS136" s="2" t="s">
        <v>113</v>
      </c>
      <c r="AT136" s="2" t="s">
        <v>113</v>
      </c>
      <c r="AU136" s="2" t="s">
        <v>113</v>
      </c>
      <c r="AV136" s="2" t="s">
        <v>113</v>
      </c>
      <c r="AW136" s="2" t="s">
        <v>113</v>
      </c>
      <c r="AX136" s="2" t="s">
        <v>113</v>
      </c>
      <c r="AY136" s="2" t="s">
        <v>113</v>
      </c>
      <c r="AZ136" s="2" t="s">
        <v>113</v>
      </c>
      <c r="BA136" s="2" t="s">
        <v>113</v>
      </c>
      <c r="BB136" s="2" t="s">
        <v>113</v>
      </c>
      <c r="BC136" s="2" t="s">
        <v>113</v>
      </c>
      <c r="BD136" s="2" t="s">
        <v>113</v>
      </c>
      <c r="BE136" s="2" t="s">
        <v>113</v>
      </c>
      <c r="BF136" s="2" t="s">
        <v>113</v>
      </c>
      <c r="BG136" s="2" t="s">
        <v>113</v>
      </c>
      <c r="BH136" s="2" t="s">
        <v>113</v>
      </c>
      <c r="BI136" s="2" t="s">
        <v>113</v>
      </c>
      <c r="BJ136" s="2" t="s">
        <v>113</v>
      </c>
      <c r="BK136" s="2" t="s">
        <v>113</v>
      </c>
      <c r="BL136" s="2" t="s">
        <v>113</v>
      </c>
      <c r="BM136" s="2" t="s">
        <v>113</v>
      </c>
      <c r="BN136" s="2" t="s">
        <v>113</v>
      </c>
      <c r="BO136" s="2" t="s">
        <v>113</v>
      </c>
      <c r="BP136" s="2" t="s">
        <v>113</v>
      </c>
      <c r="BQ136" s="2" t="s">
        <v>113</v>
      </c>
      <c r="BR136" s="2" t="s">
        <v>113</v>
      </c>
      <c r="BS136" s="2" t="s">
        <v>113</v>
      </c>
      <c r="BT136" s="2" t="s">
        <v>113</v>
      </c>
      <c r="BU136" s="2" t="s">
        <v>113</v>
      </c>
      <c r="BV136" s="2" t="s">
        <v>113</v>
      </c>
      <c r="BW136" s="2" t="s">
        <v>113</v>
      </c>
      <c r="BX136" s="2" t="s">
        <v>113</v>
      </c>
      <c r="BY136" s="2" t="s">
        <v>113</v>
      </c>
      <c r="BZ136" s="2" t="s">
        <v>113</v>
      </c>
      <c r="CA136" s="2" t="s">
        <v>113</v>
      </c>
      <c r="CB136" s="2" t="s">
        <v>113</v>
      </c>
      <c r="CC136" s="2">
        <v>9</v>
      </c>
      <c r="CD136" s="2">
        <v>15</v>
      </c>
    </row>
    <row r="137" spans="4:82">
      <c r="D137">
        <v>48</v>
      </c>
      <c r="E137" s="2">
        <v>9</v>
      </c>
      <c r="R137" s="2">
        <v>9.5</v>
      </c>
      <c r="S137" s="2">
        <f t="shared" si="8"/>
        <v>13.5</v>
      </c>
      <c r="T137" s="2">
        <v>9.5</v>
      </c>
      <c r="U137" s="2">
        <f t="shared" si="8"/>
        <v>13.5</v>
      </c>
      <c r="AB137">
        <v>83.5</v>
      </c>
      <c r="AC137" s="2" t="s">
        <v>113</v>
      </c>
      <c r="AD137" s="2" t="s">
        <v>113</v>
      </c>
      <c r="AE137" s="2" t="s">
        <v>113</v>
      </c>
      <c r="AF137" s="2" t="s">
        <v>113</v>
      </c>
      <c r="AG137" s="2" t="s">
        <v>113</v>
      </c>
      <c r="AH137" s="2" t="s">
        <v>113</v>
      </c>
      <c r="AI137" s="2" t="s">
        <v>113</v>
      </c>
      <c r="AJ137" s="2" t="s">
        <v>113</v>
      </c>
      <c r="AK137" s="2" t="s">
        <v>113</v>
      </c>
      <c r="AL137" s="2" t="s">
        <v>113</v>
      </c>
      <c r="AM137" s="2" t="s">
        <v>113</v>
      </c>
      <c r="AN137" s="2" t="s">
        <v>113</v>
      </c>
      <c r="AO137" s="2" t="s">
        <v>113</v>
      </c>
      <c r="AP137" s="2" t="s">
        <v>113</v>
      </c>
      <c r="AQ137" s="2" t="s">
        <v>113</v>
      </c>
      <c r="AR137" s="2" t="s">
        <v>113</v>
      </c>
      <c r="AS137" s="2" t="s">
        <v>113</v>
      </c>
      <c r="AT137" s="2" t="s">
        <v>113</v>
      </c>
      <c r="AU137" s="2" t="s">
        <v>113</v>
      </c>
      <c r="AV137" s="2" t="s">
        <v>113</v>
      </c>
      <c r="AW137" s="2" t="s">
        <v>113</v>
      </c>
      <c r="AX137" s="2" t="s">
        <v>113</v>
      </c>
      <c r="AY137" s="2" t="s">
        <v>113</v>
      </c>
      <c r="AZ137" s="2" t="s">
        <v>113</v>
      </c>
      <c r="BA137" s="2" t="s">
        <v>113</v>
      </c>
      <c r="BB137" s="2" t="s">
        <v>113</v>
      </c>
      <c r="BC137" s="2" t="s">
        <v>113</v>
      </c>
      <c r="BD137" s="2" t="s">
        <v>113</v>
      </c>
      <c r="BE137" s="2" t="s">
        <v>113</v>
      </c>
      <c r="BF137" s="2" t="s">
        <v>113</v>
      </c>
      <c r="BG137" s="2" t="s">
        <v>113</v>
      </c>
      <c r="BH137" s="2" t="s">
        <v>113</v>
      </c>
      <c r="BI137" s="2" t="s">
        <v>113</v>
      </c>
      <c r="BJ137" s="2" t="s">
        <v>113</v>
      </c>
      <c r="BK137" s="2" t="s">
        <v>113</v>
      </c>
      <c r="BL137" s="2" t="s">
        <v>113</v>
      </c>
      <c r="BM137" s="2" t="s">
        <v>113</v>
      </c>
      <c r="BN137" s="2" t="s">
        <v>113</v>
      </c>
      <c r="BO137" s="2" t="s">
        <v>113</v>
      </c>
      <c r="BP137" s="2" t="s">
        <v>113</v>
      </c>
      <c r="BQ137" s="2" t="s">
        <v>113</v>
      </c>
      <c r="BR137" s="2" t="s">
        <v>113</v>
      </c>
      <c r="BS137" s="2" t="s">
        <v>113</v>
      </c>
      <c r="BT137" s="2" t="s">
        <v>113</v>
      </c>
      <c r="BU137" s="2" t="s">
        <v>113</v>
      </c>
      <c r="BV137" s="2" t="s">
        <v>113</v>
      </c>
      <c r="BW137" s="2" t="s">
        <v>113</v>
      </c>
      <c r="BX137" s="2" t="s">
        <v>113</v>
      </c>
      <c r="BY137" s="2" t="s">
        <v>113</v>
      </c>
      <c r="BZ137" s="2" t="s">
        <v>113</v>
      </c>
      <c r="CA137" s="2" t="s">
        <v>113</v>
      </c>
      <c r="CB137" s="2" t="s">
        <v>113</v>
      </c>
      <c r="CC137" s="2">
        <v>9</v>
      </c>
      <c r="CD137" s="2">
        <v>15</v>
      </c>
    </row>
    <row r="138" spans="4:82">
      <c r="D138">
        <v>47</v>
      </c>
      <c r="E138" s="2">
        <v>8.5</v>
      </c>
      <c r="R138" s="2">
        <v>10</v>
      </c>
      <c r="S138" s="2">
        <f t="shared" si="8"/>
        <v>14</v>
      </c>
      <c r="T138" s="2">
        <v>10</v>
      </c>
      <c r="U138" s="2">
        <f t="shared" si="8"/>
        <v>14</v>
      </c>
      <c r="AB138">
        <v>83</v>
      </c>
      <c r="AC138" s="2" t="s">
        <v>113</v>
      </c>
      <c r="AD138" s="2" t="s">
        <v>113</v>
      </c>
      <c r="AE138" s="2" t="s">
        <v>113</v>
      </c>
      <c r="AF138" s="2" t="s">
        <v>113</v>
      </c>
      <c r="AG138" s="2" t="s">
        <v>113</v>
      </c>
      <c r="AH138" s="2" t="s">
        <v>113</v>
      </c>
      <c r="AI138" s="2" t="s">
        <v>113</v>
      </c>
      <c r="AJ138" s="2" t="s">
        <v>113</v>
      </c>
      <c r="AK138" s="2" t="s">
        <v>113</v>
      </c>
      <c r="AL138" s="2" t="s">
        <v>113</v>
      </c>
      <c r="AM138" s="2" t="s">
        <v>113</v>
      </c>
      <c r="AN138" s="2" t="s">
        <v>113</v>
      </c>
      <c r="AO138" s="2" t="s">
        <v>113</v>
      </c>
      <c r="AP138" s="2" t="s">
        <v>113</v>
      </c>
      <c r="AQ138" s="2" t="s">
        <v>113</v>
      </c>
      <c r="AR138" s="2" t="s">
        <v>113</v>
      </c>
      <c r="AS138" s="2" t="s">
        <v>113</v>
      </c>
      <c r="AT138" s="2" t="s">
        <v>113</v>
      </c>
      <c r="AU138" s="2" t="s">
        <v>113</v>
      </c>
      <c r="AV138" s="2" t="s">
        <v>113</v>
      </c>
      <c r="AW138" s="2" t="s">
        <v>113</v>
      </c>
      <c r="AX138" s="2" t="s">
        <v>113</v>
      </c>
      <c r="AY138" s="2" t="s">
        <v>113</v>
      </c>
      <c r="AZ138" s="2" t="s">
        <v>113</v>
      </c>
      <c r="BA138" s="2" t="s">
        <v>113</v>
      </c>
      <c r="BB138" s="2" t="s">
        <v>113</v>
      </c>
      <c r="BC138" s="2" t="s">
        <v>113</v>
      </c>
      <c r="BD138" s="2" t="s">
        <v>113</v>
      </c>
      <c r="BE138" s="2" t="s">
        <v>113</v>
      </c>
      <c r="BF138" s="2" t="s">
        <v>113</v>
      </c>
      <c r="BG138" s="2" t="s">
        <v>113</v>
      </c>
      <c r="BH138" s="2" t="s">
        <v>113</v>
      </c>
      <c r="BI138" s="2" t="s">
        <v>113</v>
      </c>
      <c r="BJ138" s="2" t="s">
        <v>113</v>
      </c>
      <c r="BK138" s="2" t="s">
        <v>113</v>
      </c>
      <c r="BL138" s="2" t="s">
        <v>113</v>
      </c>
      <c r="BM138" s="2" t="s">
        <v>113</v>
      </c>
      <c r="BN138" s="2" t="s">
        <v>113</v>
      </c>
      <c r="BO138" s="2" t="s">
        <v>113</v>
      </c>
      <c r="BP138" s="2" t="s">
        <v>113</v>
      </c>
      <c r="BQ138" s="2" t="s">
        <v>113</v>
      </c>
      <c r="BR138" s="2" t="s">
        <v>113</v>
      </c>
      <c r="BS138" s="2" t="s">
        <v>113</v>
      </c>
      <c r="BT138" s="2" t="s">
        <v>113</v>
      </c>
      <c r="BU138" s="2" t="s">
        <v>113</v>
      </c>
      <c r="BV138" s="2" t="s">
        <v>113</v>
      </c>
      <c r="BW138" s="2" t="s">
        <v>113</v>
      </c>
      <c r="BX138" s="2" t="s">
        <v>113</v>
      </c>
      <c r="BY138" s="2" t="s">
        <v>113</v>
      </c>
      <c r="BZ138" s="2" t="s">
        <v>113</v>
      </c>
      <c r="CA138" s="2" t="s">
        <v>113</v>
      </c>
      <c r="CB138" s="2" t="s">
        <v>113</v>
      </c>
      <c r="CC138" s="2">
        <v>9</v>
      </c>
      <c r="CD138" s="2">
        <v>15</v>
      </c>
    </row>
    <row r="139" spans="4:82">
      <c r="D139">
        <v>46</v>
      </c>
      <c r="E139" s="2">
        <v>8</v>
      </c>
      <c r="R139" s="2">
        <v>10.5</v>
      </c>
      <c r="S139" s="2">
        <f t="shared" si="8"/>
        <v>14.5</v>
      </c>
      <c r="T139" s="2">
        <v>10.5</v>
      </c>
      <c r="U139" s="2">
        <f t="shared" si="8"/>
        <v>14.5</v>
      </c>
      <c r="AB139">
        <v>82.5</v>
      </c>
      <c r="AC139" s="2" t="s">
        <v>113</v>
      </c>
      <c r="AD139" s="2" t="s">
        <v>113</v>
      </c>
      <c r="AE139" s="2" t="s">
        <v>113</v>
      </c>
      <c r="AF139" s="2" t="s">
        <v>113</v>
      </c>
      <c r="AG139" s="2" t="s">
        <v>113</v>
      </c>
      <c r="AH139" s="2" t="s">
        <v>113</v>
      </c>
      <c r="AI139" s="2" t="s">
        <v>113</v>
      </c>
      <c r="AJ139" s="2" t="s">
        <v>113</v>
      </c>
      <c r="AK139" s="2" t="s">
        <v>113</v>
      </c>
      <c r="AL139" s="2" t="s">
        <v>113</v>
      </c>
      <c r="AM139" s="2" t="s">
        <v>113</v>
      </c>
      <c r="AN139" s="2" t="s">
        <v>113</v>
      </c>
      <c r="AO139" s="2" t="s">
        <v>113</v>
      </c>
      <c r="AP139" s="2" t="s">
        <v>113</v>
      </c>
      <c r="AQ139" s="2" t="s">
        <v>113</v>
      </c>
      <c r="AR139" s="2" t="s">
        <v>113</v>
      </c>
      <c r="AS139" s="2" t="s">
        <v>113</v>
      </c>
      <c r="AT139" s="2" t="s">
        <v>113</v>
      </c>
      <c r="AU139" s="2" t="s">
        <v>113</v>
      </c>
      <c r="AV139" s="2" t="s">
        <v>113</v>
      </c>
      <c r="AW139" s="2" t="s">
        <v>113</v>
      </c>
      <c r="AX139" s="2" t="s">
        <v>113</v>
      </c>
      <c r="AY139" s="2" t="s">
        <v>113</v>
      </c>
      <c r="AZ139" s="2" t="s">
        <v>113</v>
      </c>
      <c r="BA139" s="2" t="s">
        <v>113</v>
      </c>
      <c r="BB139" s="2" t="s">
        <v>113</v>
      </c>
      <c r="BC139" s="2" t="s">
        <v>113</v>
      </c>
      <c r="BD139" s="2" t="s">
        <v>113</v>
      </c>
      <c r="BE139" s="2" t="s">
        <v>113</v>
      </c>
      <c r="BF139" s="2" t="s">
        <v>113</v>
      </c>
      <c r="BG139" s="2" t="s">
        <v>113</v>
      </c>
      <c r="BH139" s="2" t="s">
        <v>113</v>
      </c>
      <c r="BI139" s="2" t="s">
        <v>113</v>
      </c>
      <c r="BJ139" s="2" t="s">
        <v>113</v>
      </c>
      <c r="BK139" s="2" t="s">
        <v>113</v>
      </c>
      <c r="BL139" s="2" t="s">
        <v>113</v>
      </c>
      <c r="BM139" s="2" t="s">
        <v>113</v>
      </c>
      <c r="BN139" s="2" t="s">
        <v>113</v>
      </c>
      <c r="BO139" s="2" t="s">
        <v>113</v>
      </c>
      <c r="BP139" s="2" t="s">
        <v>113</v>
      </c>
      <c r="BQ139" s="2" t="s">
        <v>113</v>
      </c>
      <c r="BR139" s="2" t="s">
        <v>113</v>
      </c>
      <c r="BS139" s="2" t="s">
        <v>113</v>
      </c>
      <c r="BT139" s="2" t="s">
        <v>113</v>
      </c>
      <c r="BU139" s="2" t="s">
        <v>113</v>
      </c>
      <c r="BV139" s="2" t="s">
        <v>113</v>
      </c>
      <c r="BW139" s="2" t="s">
        <v>113</v>
      </c>
      <c r="BX139" s="2" t="s">
        <v>113</v>
      </c>
      <c r="BY139" s="2" t="s">
        <v>113</v>
      </c>
      <c r="BZ139" s="2" t="s">
        <v>113</v>
      </c>
      <c r="CA139" s="2" t="s">
        <v>113</v>
      </c>
      <c r="CB139" s="2" t="s">
        <v>113</v>
      </c>
      <c r="CC139" s="2">
        <v>9</v>
      </c>
      <c r="CD139" s="2">
        <v>15</v>
      </c>
    </row>
    <row r="140" spans="4:82">
      <c r="D140">
        <v>45</v>
      </c>
      <c r="E140" s="2">
        <v>7.5</v>
      </c>
      <c r="R140" s="2">
        <v>11</v>
      </c>
      <c r="S140" s="2">
        <f t="shared" si="8"/>
        <v>15</v>
      </c>
      <c r="T140" s="2">
        <v>11</v>
      </c>
      <c r="U140" s="2">
        <f t="shared" si="8"/>
        <v>15</v>
      </c>
      <c r="AB140">
        <v>82</v>
      </c>
      <c r="AC140" s="2" t="s">
        <v>113</v>
      </c>
      <c r="AD140" s="2" t="s">
        <v>113</v>
      </c>
      <c r="AE140" s="2" t="s">
        <v>113</v>
      </c>
      <c r="AF140" s="2" t="s">
        <v>113</v>
      </c>
      <c r="AG140" s="2" t="s">
        <v>113</v>
      </c>
      <c r="AH140" s="2" t="s">
        <v>113</v>
      </c>
      <c r="AI140" s="2" t="s">
        <v>113</v>
      </c>
      <c r="AJ140" s="2" t="s">
        <v>113</v>
      </c>
      <c r="AK140" s="2" t="s">
        <v>113</v>
      </c>
      <c r="AL140" s="2" t="s">
        <v>113</v>
      </c>
      <c r="AM140" s="2" t="s">
        <v>113</v>
      </c>
      <c r="AN140" s="2" t="s">
        <v>113</v>
      </c>
      <c r="AO140" s="2" t="s">
        <v>113</v>
      </c>
      <c r="AP140" s="2" t="s">
        <v>113</v>
      </c>
      <c r="AQ140" s="2" t="s">
        <v>113</v>
      </c>
      <c r="AR140" s="2" t="s">
        <v>113</v>
      </c>
      <c r="AS140" s="2" t="s">
        <v>113</v>
      </c>
      <c r="AT140" s="2" t="s">
        <v>113</v>
      </c>
      <c r="AU140" s="2" t="s">
        <v>113</v>
      </c>
      <c r="AV140" s="2" t="s">
        <v>113</v>
      </c>
      <c r="AW140" s="2" t="s">
        <v>113</v>
      </c>
      <c r="AX140" s="2" t="s">
        <v>113</v>
      </c>
      <c r="AY140" s="2" t="s">
        <v>113</v>
      </c>
      <c r="AZ140" s="2" t="s">
        <v>113</v>
      </c>
      <c r="BA140" s="2" t="s">
        <v>113</v>
      </c>
      <c r="BB140" s="2" t="s">
        <v>113</v>
      </c>
      <c r="BC140" s="2" t="s">
        <v>113</v>
      </c>
      <c r="BD140" s="2" t="s">
        <v>113</v>
      </c>
      <c r="BE140" s="2" t="s">
        <v>113</v>
      </c>
      <c r="BF140" s="2" t="s">
        <v>113</v>
      </c>
      <c r="BG140" s="2" t="s">
        <v>113</v>
      </c>
      <c r="BH140" s="2" t="s">
        <v>113</v>
      </c>
      <c r="BI140" s="2" t="s">
        <v>113</v>
      </c>
      <c r="BJ140" s="2" t="s">
        <v>113</v>
      </c>
      <c r="BK140" s="2" t="s">
        <v>113</v>
      </c>
      <c r="BL140" s="2" t="s">
        <v>113</v>
      </c>
      <c r="BM140" s="2" t="s">
        <v>113</v>
      </c>
      <c r="BN140" s="2" t="s">
        <v>113</v>
      </c>
      <c r="BO140" s="2" t="s">
        <v>113</v>
      </c>
      <c r="BP140" s="2" t="s">
        <v>113</v>
      </c>
      <c r="BQ140" s="2" t="s">
        <v>113</v>
      </c>
      <c r="BR140" s="2" t="s">
        <v>113</v>
      </c>
      <c r="BS140" s="2" t="s">
        <v>113</v>
      </c>
      <c r="BT140" s="2" t="s">
        <v>113</v>
      </c>
      <c r="BU140" s="2" t="s">
        <v>113</v>
      </c>
      <c r="BV140" s="2" t="s">
        <v>113</v>
      </c>
      <c r="BW140" s="2" t="s">
        <v>113</v>
      </c>
      <c r="BX140" s="2" t="s">
        <v>113</v>
      </c>
      <c r="BY140" s="2" t="s">
        <v>113</v>
      </c>
      <c r="BZ140" s="2" t="s">
        <v>113</v>
      </c>
      <c r="CA140" s="2" t="s">
        <v>113</v>
      </c>
      <c r="CB140" s="2" t="s">
        <v>113</v>
      </c>
      <c r="CC140" s="2">
        <v>9</v>
      </c>
      <c r="CD140" s="2">
        <v>15</v>
      </c>
    </row>
    <row r="141" spans="4:82">
      <c r="D141">
        <v>44</v>
      </c>
      <c r="E141" s="2">
        <v>7</v>
      </c>
      <c r="R141" s="2">
        <v>11.5</v>
      </c>
      <c r="S141" s="2">
        <f t="shared" si="8"/>
        <v>15.5</v>
      </c>
      <c r="T141" s="2">
        <v>11.5</v>
      </c>
      <c r="U141" s="2">
        <f t="shared" si="8"/>
        <v>15.5</v>
      </c>
      <c r="AB141">
        <v>81.5</v>
      </c>
      <c r="AC141" s="2" t="s">
        <v>113</v>
      </c>
      <c r="AD141" s="2" t="s">
        <v>113</v>
      </c>
      <c r="AE141" s="2" t="s">
        <v>113</v>
      </c>
      <c r="AF141" s="2" t="s">
        <v>113</v>
      </c>
      <c r="AG141" s="2" t="s">
        <v>113</v>
      </c>
      <c r="AH141" s="2" t="s">
        <v>113</v>
      </c>
      <c r="AI141" s="2" t="s">
        <v>113</v>
      </c>
      <c r="AJ141" s="2" t="s">
        <v>113</v>
      </c>
      <c r="AK141" s="2" t="s">
        <v>113</v>
      </c>
      <c r="AL141" s="2" t="s">
        <v>113</v>
      </c>
      <c r="AM141" s="2" t="s">
        <v>113</v>
      </c>
      <c r="AN141" s="2" t="s">
        <v>113</v>
      </c>
      <c r="AO141" s="2" t="s">
        <v>113</v>
      </c>
      <c r="AP141" s="2" t="s">
        <v>113</v>
      </c>
      <c r="AQ141" s="2" t="s">
        <v>113</v>
      </c>
      <c r="AR141" s="2" t="s">
        <v>113</v>
      </c>
      <c r="AS141" s="2" t="s">
        <v>113</v>
      </c>
      <c r="AT141" s="2" t="s">
        <v>113</v>
      </c>
      <c r="AU141" s="2" t="s">
        <v>113</v>
      </c>
      <c r="AV141" s="2" t="s">
        <v>113</v>
      </c>
      <c r="AW141" s="2" t="s">
        <v>113</v>
      </c>
      <c r="AX141" s="2" t="s">
        <v>113</v>
      </c>
      <c r="AY141" s="2" t="s">
        <v>113</v>
      </c>
      <c r="AZ141" s="2" t="s">
        <v>113</v>
      </c>
      <c r="BA141" s="2" t="s">
        <v>113</v>
      </c>
      <c r="BB141" s="2" t="s">
        <v>113</v>
      </c>
      <c r="BC141" s="2" t="s">
        <v>113</v>
      </c>
      <c r="BD141" s="2" t="s">
        <v>113</v>
      </c>
      <c r="BE141" s="2" t="s">
        <v>113</v>
      </c>
      <c r="BF141" s="2" t="s">
        <v>113</v>
      </c>
      <c r="BG141" s="2" t="s">
        <v>113</v>
      </c>
      <c r="BH141" s="2" t="s">
        <v>113</v>
      </c>
      <c r="BI141" s="2" t="s">
        <v>113</v>
      </c>
      <c r="BJ141" s="2" t="s">
        <v>113</v>
      </c>
      <c r="BK141" s="2" t="s">
        <v>113</v>
      </c>
      <c r="BL141" s="2" t="s">
        <v>113</v>
      </c>
      <c r="BM141" s="2" t="s">
        <v>113</v>
      </c>
      <c r="BN141" s="2" t="s">
        <v>113</v>
      </c>
      <c r="BO141" s="2" t="s">
        <v>113</v>
      </c>
      <c r="BP141" s="2" t="s">
        <v>113</v>
      </c>
      <c r="BQ141" s="2" t="s">
        <v>113</v>
      </c>
      <c r="BR141" s="2" t="s">
        <v>113</v>
      </c>
      <c r="BS141" s="2" t="s">
        <v>113</v>
      </c>
      <c r="BT141" s="2" t="s">
        <v>113</v>
      </c>
      <c r="BU141" s="2" t="s">
        <v>113</v>
      </c>
      <c r="BV141" s="2" t="s">
        <v>113</v>
      </c>
      <c r="BW141" s="2" t="s">
        <v>113</v>
      </c>
      <c r="BX141" s="2" t="s">
        <v>113</v>
      </c>
      <c r="BY141" s="2" t="s">
        <v>113</v>
      </c>
      <c r="BZ141" s="2" t="s">
        <v>113</v>
      </c>
      <c r="CA141" s="2" t="s">
        <v>113</v>
      </c>
      <c r="CB141" s="2" t="s">
        <v>113</v>
      </c>
      <c r="CC141" s="2">
        <v>9</v>
      </c>
      <c r="CD141" s="2">
        <v>15</v>
      </c>
    </row>
    <row r="142" spans="4:82">
      <c r="D142">
        <v>43</v>
      </c>
      <c r="E142" s="2">
        <v>6.5</v>
      </c>
      <c r="R142" s="2">
        <v>12</v>
      </c>
      <c r="S142" s="2">
        <f t="shared" si="8"/>
        <v>16</v>
      </c>
      <c r="T142" s="2">
        <v>12</v>
      </c>
      <c r="U142" s="2">
        <f t="shared" si="8"/>
        <v>16</v>
      </c>
      <c r="AB142">
        <v>81</v>
      </c>
      <c r="AC142" s="2" t="s">
        <v>113</v>
      </c>
      <c r="AD142" s="2" t="s">
        <v>113</v>
      </c>
      <c r="AE142" s="2" t="s">
        <v>113</v>
      </c>
      <c r="AF142" s="2" t="s">
        <v>113</v>
      </c>
      <c r="AG142" s="2" t="s">
        <v>113</v>
      </c>
      <c r="AH142" s="2" t="s">
        <v>113</v>
      </c>
      <c r="AI142" s="2" t="s">
        <v>113</v>
      </c>
      <c r="AJ142" s="2" t="s">
        <v>113</v>
      </c>
      <c r="AK142" s="2" t="s">
        <v>113</v>
      </c>
      <c r="AL142" s="2" t="s">
        <v>113</v>
      </c>
      <c r="AM142" s="2" t="s">
        <v>113</v>
      </c>
      <c r="AN142" s="2" t="s">
        <v>113</v>
      </c>
      <c r="AO142" s="2" t="s">
        <v>113</v>
      </c>
      <c r="AP142" s="2" t="s">
        <v>113</v>
      </c>
      <c r="AQ142" s="2" t="s">
        <v>113</v>
      </c>
      <c r="AR142" s="2" t="s">
        <v>113</v>
      </c>
      <c r="AS142" s="2" t="s">
        <v>113</v>
      </c>
      <c r="AT142" s="2" t="s">
        <v>113</v>
      </c>
      <c r="AU142" s="2" t="s">
        <v>113</v>
      </c>
      <c r="AV142" s="2" t="s">
        <v>113</v>
      </c>
      <c r="AW142" s="2" t="s">
        <v>113</v>
      </c>
      <c r="AX142" s="2" t="s">
        <v>113</v>
      </c>
      <c r="AY142" s="2" t="s">
        <v>113</v>
      </c>
      <c r="AZ142" s="2" t="s">
        <v>113</v>
      </c>
      <c r="BA142" s="2" t="s">
        <v>113</v>
      </c>
      <c r="BB142" s="2" t="s">
        <v>113</v>
      </c>
      <c r="BC142" s="2" t="s">
        <v>113</v>
      </c>
      <c r="BD142" s="2" t="s">
        <v>113</v>
      </c>
      <c r="BE142" s="2" t="s">
        <v>113</v>
      </c>
      <c r="BF142" s="2" t="s">
        <v>113</v>
      </c>
      <c r="BG142" s="2" t="s">
        <v>113</v>
      </c>
      <c r="BH142" s="2" t="s">
        <v>113</v>
      </c>
      <c r="BI142" s="2" t="s">
        <v>113</v>
      </c>
      <c r="BJ142" s="2" t="s">
        <v>113</v>
      </c>
      <c r="BK142" s="2" t="s">
        <v>113</v>
      </c>
      <c r="BL142" s="2" t="s">
        <v>113</v>
      </c>
      <c r="BM142" s="2" t="s">
        <v>113</v>
      </c>
      <c r="BN142" s="2" t="s">
        <v>113</v>
      </c>
      <c r="BO142" s="2" t="s">
        <v>113</v>
      </c>
      <c r="BP142" s="2" t="s">
        <v>113</v>
      </c>
      <c r="BQ142" s="2" t="s">
        <v>113</v>
      </c>
      <c r="BR142" s="2" t="s">
        <v>113</v>
      </c>
      <c r="BS142" s="2" t="s">
        <v>113</v>
      </c>
      <c r="BT142" s="2" t="s">
        <v>113</v>
      </c>
      <c r="BU142" s="2" t="s">
        <v>113</v>
      </c>
      <c r="BV142" s="2" t="s">
        <v>113</v>
      </c>
      <c r="BW142" s="2" t="s">
        <v>113</v>
      </c>
      <c r="BX142" s="2" t="s">
        <v>113</v>
      </c>
      <c r="BY142" s="2" t="s">
        <v>113</v>
      </c>
      <c r="BZ142" s="2" t="s">
        <v>113</v>
      </c>
      <c r="CA142" s="2" t="s">
        <v>113</v>
      </c>
      <c r="CB142" s="2" t="s">
        <v>113</v>
      </c>
      <c r="CC142" s="2">
        <v>9</v>
      </c>
      <c r="CD142" s="2">
        <v>15</v>
      </c>
    </row>
    <row r="143" spans="4:82">
      <c r="D143">
        <v>42</v>
      </c>
      <c r="E143" s="2">
        <v>6</v>
      </c>
      <c r="R143" s="2">
        <v>12.5</v>
      </c>
      <c r="S143" s="2">
        <f t="shared" si="8"/>
        <v>16.5</v>
      </c>
      <c r="T143" s="2">
        <v>12.5</v>
      </c>
      <c r="U143" s="2">
        <f t="shared" si="8"/>
        <v>16.5</v>
      </c>
      <c r="AB143">
        <v>80.5</v>
      </c>
      <c r="AC143" s="2" t="s">
        <v>113</v>
      </c>
      <c r="AD143" s="2" t="s">
        <v>113</v>
      </c>
      <c r="AE143" s="2" t="s">
        <v>113</v>
      </c>
      <c r="AF143" s="2" t="s">
        <v>113</v>
      </c>
      <c r="AG143" s="2" t="s">
        <v>113</v>
      </c>
      <c r="AH143" s="2" t="s">
        <v>113</v>
      </c>
      <c r="AI143" s="2" t="s">
        <v>113</v>
      </c>
      <c r="AJ143" s="2" t="s">
        <v>113</v>
      </c>
      <c r="AK143" s="2" t="s">
        <v>113</v>
      </c>
      <c r="AL143" s="2" t="s">
        <v>113</v>
      </c>
      <c r="AM143" s="2" t="s">
        <v>113</v>
      </c>
      <c r="AN143" s="2" t="s">
        <v>113</v>
      </c>
      <c r="AO143" s="2" t="s">
        <v>113</v>
      </c>
      <c r="AP143" s="2" t="s">
        <v>113</v>
      </c>
      <c r="AQ143" s="2" t="s">
        <v>113</v>
      </c>
      <c r="AR143" s="2" t="s">
        <v>113</v>
      </c>
      <c r="AS143" s="2" t="s">
        <v>113</v>
      </c>
      <c r="AT143" s="2" t="s">
        <v>113</v>
      </c>
      <c r="AU143" s="2" t="s">
        <v>113</v>
      </c>
      <c r="AV143" s="2" t="s">
        <v>113</v>
      </c>
      <c r="AW143" s="2" t="s">
        <v>113</v>
      </c>
      <c r="AX143" s="2" t="s">
        <v>113</v>
      </c>
      <c r="AY143" s="2" t="s">
        <v>113</v>
      </c>
      <c r="AZ143" s="2" t="s">
        <v>113</v>
      </c>
      <c r="BA143" s="2" t="s">
        <v>113</v>
      </c>
      <c r="BB143" s="2" t="s">
        <v>113</v>
      </c>
      <c r="BC143" s="2" t="s">
        <v>113</v>
      </c>
      <c r="BD143" s="2" t="s">
        <v>113</v>
      </c>
      <c r="BE143" s="2" t="s">
        <v>113</v>
      </c>
      <c r="BF143" s="2" t="s">
        <v>113</v>
      </c>
      <c r="BG143" s="2" t="s">
        <v>113</v>
      </c>
      <c r="BH143" s="2" t="s">
        <v>113</v>
      </c>
      <c r="BI143" s="2" t="s">
        <v>113</v>
      </c>
      <c r="BJ143" s="2" t="s">
        <v>113</v>
      </c>
      <c r="BK143" s="2" t="s">
        <v>113</v>
      </c>
      <c r="BL143" s="2" t="s">
        <v>113</v>
      </c>
      <c r="BM143" s="2" t="s">
        <v>113</v>
      </c>
      <c r="BN143" s="2" t="s">
        <v>113</v>
      </c>
      <c r="BO143" s="2" t="s">
        <v>113</v>
      </c>
      <c r="BP143" s="2" t="s">
        <v>113</v>
      </c>
      <c r="BQ143" s="2" t="s">
        <v>113</v>
      </c>
      <c r="BR143" s="2" t="s">
        <v>113</v>
      </c>
      <c r="BS143" s="2" t="s">
        <v>113</v>
      </c>
      <c r="BT143" s="2" t="s">
        <v>113</v>
      </c>
      <c r="BU143" s="2" t="s">
        <v>113</v>
      </c>
      <c r="BV143" s="2" t="s">
        <v>113</v>
      </c>
      <c r="BW143" s="2" t="s">
        <v>113</v>
      </c>
      <c r="BX143" s="2" t="s">
        <v>113</v>
      </c>
      <c r="BY143" s="2" t="s">
        <v>113</v>
      </c>
      <c r="BZ143" s="2" t="s">
        <v>113</v>
      </c>
      <c r="CA143" s="2" t="s">
        <v>113</v>
      </c>
      <c r="CB143" s="2" t="s">
        <v>113</v>
      </c>
      <c r="CC143" s="2">
        <v>9</v>
      </c>
      <c r="CD143" s="2">
        <v>15</v>
      </c>
    </row>
    <row r="144" spans="4:82">
      <c r="D144">
        <v>41</v>
      </c>
      <c r="E144" s="2">
        <v>5.5</v>
      </c>
      <c r="R144" s="2">
        <v>13</v>
      </c>
      <c r="S144" s="2">
        <f t="shared" si="8"/>
        <v>17</v>
      </c>
      <c r="T144" s="2">
        <v>13</v>
      </c>
      <c r="U144" s="2">
        <f t="shared" si="8"/>
        <v>17</v>
      </c>
      <c r="AB144">
        <v>80</v>
      </c>
      <c r="AC144" s="2" t="s">
        <v>113</v>
      </c>
      <c r="AD144" s="2" t="s">
        <v>113</v>
      </c>
      <c r="AE144" s="2" t="s">
        <v>113</v>
      </c>
      <c r="AF144" s="2" t="s">
        <v>113</v>
      </c>
      <c r="AG144" s="2" t="s">
        <v>113</v>
      </c>
      <c r="AH144" s="2" t="s">
        <v>113</v>
      </c>
      <c r="AI144" s="2" t="s">
        <v>113</v>
      </c>
      <c r="AJ144" s="2" t="s">
        <v>113</v>
      </c>
      <c r="AK144" s="2" t="s">
        <v>113</v>
      </c>
      <c r="AL144" s="2" t="s">
        <v>113</v>
      </c>
      <c r="AM144" s="2" t="s">
        <v>113</v>
      </c>
      <c r="AN144" s="2" t="s">
        <v>113</v>
      </c>
      <c r="AO144" s="2" t="s">
        <v>113</v>
      </c>
      <c r="AP144" s="2" t="s">
        <v>113</v>
      </c>
      <c r="AQ144" s="2" t="s">
        <v>113</v>
      </c>
      <c r="AR144" s="2" t="s">
        <v>113</v>
      </c>
      <c r="AS144" s="2" t="s">
        <v>113</v>
      </c>
      <c r="AT144" s="2" t="s">
        <v>113</v>
      </c>
      <c r="AU144" s="2" t="s">
        <v>113</v>
      </c>
      <c r="AV144" s="2" t="s">
        <v>113</v>
      </c>
      <c r="AW144" s="2" t="s">
        <v>113</v>
      </c>
      <c r="AX144" s="2" t="s">
        <v>113</v>
      </c>
      <c r="AY144" s="2" t="s">
        <v>113</v>
      </c>
      <c r="AZ144" s="2" t="s">
        <v>113</v>
      </c>
      <c r="BA144" s="2" t="s">
        <v>113</v>
      </c>
      <c r="BB144" s="2" t="s">
        <v>113</v>
      </c>
      <c r="BC144" s="2" t="s">
        <v>113</v>
      </c>
      <c r="BD144" s="2" t="s">
        <v>113</v>
      </c>
      <c r="BE144" s="2" t="s">
        <v>113</v>
      </c>
      <c r="BF144" s="2" t="s">
        <v>113</v>
      </c>
      <c r="BG144" s="2" t="s">
        <v>113</v>
      </c>
      <c r="BH144" s="2" t="s">
        <v>113</v>
      </c>
      <c r="BI144" s="2" t="s">
        <v>113</v>
      </c>
      <c r="BJ144" s="2" t="s">
        <v>113</v>
      </c>
      <c r="BK144" s="2" t="s">
        <v>113</v>
      </c>
      <c r="BL144" s="2" t="s">
        <v>113</v>
      </c>
      <c r="BM144" s="2" t="s">
        <v>113</v>
      </c>
      <c r="BN144" s="2" t="s">
        <v>113</v>
      </c>
      <c r="BO144" s="2" t="s">
        <v>113</v>
      </c>
      <c r="BP144" s="2" t="s">
        <v>113</v>
      </c>
      <c r="BQ144" s="2" t="s">
        <v>113</v>
      </c>
      <c r="BR144" s="2" t="s">
        <v>113</v>
      </c>
      <c r="BS144" s="2" t="s">
        <v>113</v>
      </c>
      <c r="BT144" s="2" t="s">
        <v>113</v>
      </c>
      <c r="BU144" s="2" t="s">
        <v>113</v>
      </c>
      <c r="BV144" s="2" t="s">
        <v>113</v>
      </c>
      <c r="BW144" s="2" t="s">
        <v>113</v>
      </c>
      <c r="BX144" s="2" t="s">
        <v>113</v>
      </c>
      <c r="BY144" s="2" t="s">
        <v>113</v>
      </c>
      <c r="BZ144" s="2" t="s">
        <v>113</v>
      </c>
      <c r="CA144" s="2" t="s">
        <v>113</v>
      </c>
      <c r="CB144" s="2" t="s">
        <v>113</v>
      </c>
      <c r="CC144" s="2">
        <v>9</v>
      </c>
      <c r="CD144" s="2">
        <v>15</v>
      </c>
    </row>
    <row r="145" spans="4:82">
      <c r="D145">
        <v>40</v>
      </c>
      <c r="E145" s="2">
        <v>5</v>
      </c>
      <c r="R145" s="2">
        <v>13.5</v>
      </c>
      <c r="S145" s="2">
        <f t="shared" si="8"/>
        <v>17.5</v>
      </c>
      <c r="T145" s="2">
        <v>13.5</v>
      </c>
      <c r="U145" s="2">
        <f t="shared" si="8"/>
        <v>17.5</v>
      </c>
      <c r="AB145">
        <v>79.5</v>
      </c>
      <c r="AC145" s="2" t="s">
        <v>113</v>
      </c>
      <c r="AD145" s="2" t="s">
        <v>113</v>
      </c>
      <c r="AE145" s="2" t="s">
        <v>113</v>
      </c>
      <c r="AF145" s="2" t="s">
        <v>113</v>
      </c>
      <c r="AG145" s="2" t="s">
        <v>113</v>
      </c>
      <c r="AH145" s="2" t="s">
        <v>113</v>
      </c>
      <c r="AI145" s="2" t="s">
        <v>113</v>
      </c>
      <c r="AJ145" s="2" t="s">
        <v>113</v>
      </c>
      <c r="AK145" s="2" t="s">
        <v>113</v>
      </c>
      <c r="AL145" s="2" t="s">
        <v>113</v>
      </c>
      <c r="AM145" s="2" t="s">
        <v>113</v>
      </c>
      <c r="AN145" s="2" t="s">
        <v>113</v>
      </c>
      <c r="AO145" s="2" t="s">
        <v>113</v>
      </c>
      <c r="AP145" s="2" t="s">
        <v>113</v>
      </c>
      <c r="AQ145" s="2" t="s">
        <v>113</v>
      </c>
      <c r="AR145" s="2" t="s">
        <v>113</v>
      </c>
      <c r="AS145" s="2" t="s">
        <v>113</v>
      </c>
      <c r="AT145" s="2" t="s">
        <v>113</v>
      </c>
      <c r="AU145" s="2" t="s">
        <v>113</v>
      </c>
      <c r="AV145" s="2" t="s">
        <v>113</v>
      </c>
      <c r="AW145" s="2" t="s">
        <v>113</v>
      </c>
      <c r="AX145" s="2" t="s">
        <v>113</v>
      </c>
      <c r="AY145" s="2" t="s">
        <v>113</v>
      </c>
      <c r="AZ145" s="2" t="s">
        <v>113</v>
      </c>
      <c r="BA145" s="2" t="s">
        <v>113</v>
      </c>
      <c r="BB145" s="2" t="s">
        <v>113</v>
      </c>
      <c r="BC145" s="2" t="s">
        <v>113</v>
      </c>
      <c r="BD145" s="2" t="s">
        <v>113</v>
      </c>
      <c r="BE145" s="2" t="s">
        <v>113</v>
      </c>
      <c r="BF145" s="2" t="s">
        <v>113</v>
      </c>
      <c r="BG145" s="2" t="s">
        <v>113</v>
      </c>
      <c r="BH145" s="2" t="s">
        <v>113</v>
      </c>
      <c r="BI145" s="2" t="s">
        <v>113</v>
      </c>
      <c r="BJ145" s="2" t="s">
        <v>113</v>
      </c>
      <c r="BK145" s="2" t="s">
        <v>113</v>
      </c>
      <c r="BL145" s="2" t="s">
        <v>113</v>
      </c>
      <c r="BM145" s="2" t="s">
        <v>113</v>
      </c>
      <c r="BN145" s="2" t="s">
        <v>113</v>
      </c>
      <c r="BO145" s="2" t="s">
        <v>113</v>
      </c>
      <c r="BP145" s="2" t="s">
        <v>113</v>
      </c>
      <c r="BQ145" s="2" t="s">
        <v>113</v>
      </c>
      <c r="BR145" s="2" t="s">
        <v>113</v>
      </c>
      <c r="BS145" s="2" t="s">
        <v>113</v>
      </c>
      <c r="BT145" s="2" t="s">
        <v>113</v>
      </c>
      <c r="BU145" s="2" t="s">
        <v>113</v>
      </c>
      <c r="BV145" s="2" t="s">
        <v>113</v>
      </c>
      <c r="BW145" s="2" t="s">
        <v>113</v>
      </c>
      <c r="BX145" s="2" t="s">
        <v>113</v>
      </c>
      <c r="BY145" s="2" t="s">
        <v>113</v>
      </c>
      <c r="BZ145" s="2" t="s">
        <v>113</v>
      </c>
      <c r="CA145" s="2" t="s">
        <v>113</v>
      </c>
      <c r="CB145" s="2" t="s">
        <v>113</v>
      </c>
      <c r="CC145" s="2">
        <v>9</v>
      </c>
      <c r="CD145" s="2">
        <v>15</v>
      </c>
    </row>
    <row r="146" spans="4:82">
      <c r="D146">
        <v>39</v>
      </c>
      <c r="E146" s="2">
        <v>4.5</v>
      </c>
      <c r="R146" s="2">
        <v>14</v>
      </c>
      <c r="S146" s="2">
        <f t="shared" si="8"/>
        <v>18</v>
      </c>
      <c r="T146" s="2">
        <v>14</v>
      </c>
      <c r="U146" s="2">
        <f t="shared" si="8"/>
        <v>18</v>
      </c>
      <c r="AB146">
        <v>79</v>
      </c>
      <c r="AC146" s="2" t="s">
        <v>113</v>
      </c>
      <c r="AD146" s="2" t="s">
        <v>113</v>
      </c>
      <c r="AE146" s="2" t="s">
        <v>113</v>
      </c>
      <c r="AF146" s="2" t="s">
        <v>113</v>
      </c>
      <c r="AG146" s="2" t="s">
        <v>113</v>
      </c>
      <c r="AH146" s="2" t="s">
        <v>113</v>
      </c>
      <c r="AI146" s="2" t="s">
        <v>113</v>
      </c>
      <c r="AJ146" s="2" t="s">
        <v>113</v>
      </c>
      <c r="AK146" s="2" t="s">
        <v>113</v>
      </c>
      <c r="AL146" s="2" t="s">
        <v>113</v>
      </c>
      <c r="AM146" s="2" t="s">
        <v>113</v>
      </c>
      <c r="AN146" s="2" t="s">
        <v>113</v>
      </c>
      <c r="AO146" s="2" t="s">
        <v>113</v>
      </c>
      <c r="AP146" s="2" t="s">
        <v>113</v>
      </c>
      <c r="AQ146" s="2" t="s">
        <v>113</v>
      </c>
      <c r="AR146" s="2" t="s">
        <v>113</v>
      </c>
      <c r="AS146" s="2" t="s">
        <v>113</v>
      </c>
      <c r="AT146" s="2" t="s">
        <v>113</v>
      </c>
      <c r="AU146" s="2" t="s">
        <v>113</v>
      </c>
      <c r="AV146" s="2" t="s">
        <v>113</v>
      </c>
      <c r="AW146" s="2" t="s">
        <v>113</v>
      </c>
      <c r="AX146" s="2" t="s">
        <v>113</v>
      </c>
      <c r="AY146" s="2" t="s">
        <v>113</v>
      </c>
      <c r="AZ146" s="2" t="s">
        <v>113</v>
      </c>
      <c r="BA146" s="2" t="s">
        <v>113</v>
      </c>
      <c r="BB146" s="2" t="s">
        <v>113</v>
      </c>
      <c r="BC146" s="2" t="s">
        <v>113</v>
      </c>
      <c r="BD146" s="2" t="s">
        <v>113</v>
      </c>
      <c r="BE146" s="2" t="s">
        <v>113</v>
      </c>
      <c r="BF146" s="2" t="s">
        <v>113</v>
      </c>
      <c r="BG146" s="2" t="s">
        <v>113</v>
      </c>
      <c r="BH146" s="2" t="s">
        <v>113</v>
      </c>
      <c r="BI146" s="2" t="s">
        <v>113</v>
      </c>
      <c r="BJ146" s="2" t="s">
        <v>113</v>
      </c>
      <c r="BK146" s="2" t="s">
        <v>113</v>
      </c>
      <c r="BL146" s="2" t="s">
        <v>113</v>
      </c>
      <c r="BM146" s="2" t="s">
        <v>113</v>
      </c>
      <c r="BN146" s="2" t="s">
        <v>113</v>
      </c>
      <c r="BO146" s="2" t="s">
        <v>113</v>
      </c>
      <c r="BP146" s="2" t="s">
        <v>113</v>
      </c>
      <c r="BQ146" s="2" t="s">
        <v>113</v>
      </c>
      <c r="BR146" s="2" t="s">
        <v>113</v>
      </c>
      <c r="BS146" s="2" t="s">
        <v>113</v>
      </c>
      <c r="BT146" s="2" t="s">
        <v>113</v>
      </c>
      <c r="BU146" s="2" t="s">
        <v>113</v>
      </c>
      <c r="BV146" s="2" t="s">
        <v>113</v>
      </c>
      <c r="BW146" s="2" t="s">
        <v>113</v>
      </c>
      <c r="BX146" s="2" t="s">
        <v>113</v>
      </c>
      <c r="BY146" s="2" t="s">
        <v>113</v>
      </c>
      <c r="BZ146" s="2" t="s">
        <v>113</v>
      </c>
      <c r="CA146" s="2" t="s">
        <v>113</v>
      </c>
      <c r="CB146" s="2" t="s">
        <v>113</v>
      </c>
      <c r="CC146" s="2">
        <v>9</v>
      </c>
      <c r="CD146" s="2">
        <v>15</v>
      </c>
    </row>
    <row r="147" spans="4:82">
      <c r="D147">
        <v>38</v>
      </c>
      <c r="E147" s="2">
        <v>4</v>
      </c>
      <c r="R147" s="2">
        <v>14.5</v>
      </c>
      <c r="S147" s="2">
        <f t="shared" si="8"/>
        <v>18.5</v>
      </c>
      <c r="T147" s="2">
        <v>14.5</v>
      </c>
      <c r="U147" s="2">
        <f t="shared" si="8"/>
        <v>18.5</v>
      </c>
      <c r="AB147">
        <v>78.5</v>
      </c>
      <c r="AC147" s="2" t="s">
        <v>113</v>
      </c>
      <c r="AD147" s="2" t="s">
        <v>113</v>
      </c>
      <c r="AE147" s="2" t="s">
        <v>113</v>
      </c>
      <c r="AF147" s="2" t="s">
        <v>113</v>
      </c>
      <c r="AG147" s="2" t="s">
        <v>113</v>
      </c>
      <c r="AH147" s="2" t="s">
        <v>113</v>
      </c>
      <c r="AI147" s="2" t="s">
        <v>113</v>
      </c>
      <c r="AJ147" s="2" t="s">
        <v>113</v>
      </c>
      <c r="AK147" s="2" t="s">
        <v>113</v>
      </c>
      <c r="AL147" s="2" t="s">
        <v>113</v>
      </c>
      <c r="AM147" s="2" t="s">
        <v>113</v>
      </c>
      <c r="AN147" s="2" t="s">
        <v>113</v>
      </c>
      <c r="AO147" s="2" t="s">
        <v>113</v>
      </c>
      <c r="AP147" s="2" t="s">
        <v>113</v>
      </c>
      <c r="AQ147" s="2" t="s">
        <v>113</v>
      </c>
      <c r="AR147" s="2" t="s">
        <v>113</v>
      </c>
      <c r="AS147" s="2" t="s">
        <v>113</v>
      </c>
      <c r="AT147" s="2" t="s">
        <v>113</v>
      </c>
      <c r="AU147" s="2" t="s">
        <v>113</v>
      </c>
      <c r="AV147" s="2" t="s">
        <v>113</v>
      </c>
      <c r="AW147" s="2" t="s">
        <v>113</v>
      </c>
      <c r="AX147" s="2" t="s">
        <v>113</v>
      </c>
      <c r="AY147" s="2" t="s">
        <v>113</v>
      </c>
      <c r="AZ147" s="2" t="s">
        <v>113</v>
      </c>
      <c r="BA147" s="2" t="s">
        <v>113</v>
      </c>
      <c r="BB147" s="2" t="s">
        <v>113</v>
      </c>
      <c r="BC147" s="2" t="s">
        <v>113</v>
      </c>
      <c r="BD147" s="2" t="s">
        <v>113</v>
      </c>
      <c r="BE147" s="2" t="s">
        <v>113</v>
      </c>
      <c r="BF147" s="2" t="s">
        <v>113</v>
      </c>
      <c r="BG147" s="2" t="s">
        <v>113</v>
      </c>
      <c r="BH147" s="2" t="s">
        <v>113</v>
      </c>
      <c r="BI147" s="2" t="s">
        <v>113</v>
      </c>
      <c r="BJ147" s="2" t="s">
        <v>113</v>
      </c>
      <c r="BK147" s="2" t="s">
        <v>113</v>
      </c>
      <c r="BL147" s="2" t="s">
        <v>113</v>
      </c>
      <c r="BM147" s="2" t="s">
        <v>113</v>
      </c>
      <c r="BN147" s="2" t="s">
        <v>113</v>
      </c>
      <c r="BO147" s="2" t="s">
        <v>113</v>
      </c>
      <c r="BP147" s="2" t="s">
        <v>113</v>
      </c>
      <c r="BQ147" s="2" t="s">
        <v>113</v>
      </c>
      <c r="BR147" s="2" t="s">
        <v>113</v>
      </c>
      <c r="BS147" s="2" t="s">
        <v>113</v>
      </c>
      <c r="BT147" s="2" t="s">
        <v>113</v>
      </c>
      <c r="BU147" s="2" t="s">
        <v>113</v>
      </c>
      <c r="BV147" s="2" t="s">
        <v>113</v>
      </c>
      <c r="BW147" s="2" t="s">
        <v>113</v>
      </c>
      <c r="BX147" s="2" t="s">
        <v>113</v>
      </c>
      <c r="BY147" s="2" t="s">
        <v>113</v>
      </c>
      <c r="BZ147" s="2" t="s">
        <v>113</v>
      </c>
      <c r="CA147" s="2" t="s">
        <v>113</v>
      </c>
      <c r="CB147" s="2" t="s">
        <v>113</v>
      </c>
      <c r="CC147" s="2">
        <v>9</v>
      </c>
      <c r="CD147" s="2">
        <v>15</v>
      </c>
    </row>
    <row r="148" spans="4:82">
      <c r="D148">
        <v>37</v>
      </c>
      <c r="E148" s="2">
        <v>3.5</v>
      </c>
      <c r="R148" s="2">
        <v>15</v>
      </c>
      <c r="S148" s="2">
        <f t="shared" si="8"/>
        <v>19</v>
      </c>
      <c r="T148" s="2">
        <v>15</v>
      </c>
      <c r="U148" s="2">
        <f t="shared" si="8"/>
        <v>19</v>
      </c>
      <c r="AB148">
        <v>78</v>
      </c>
      <c r="AC148" s="2" t="s">
        <v>113</v>
      </c>
      <c r="AD148" s="2" t="s">
        <v>113</v>
      </c>
      <c r="AE148" s="2" t="s">
        <v>113</v>
      </c>
      <c r="AF148" s="2" t="s">
        <v>113</v>
      </c>
      <c r="AG148" s="2" t="s">
        <v>113</v>
      </c>
      <c r="AH148" s="2" t="s">
        <v>113</v>
      </c>
      <c r="AI148" s="2" t="s">
        <v>113</v>
      </c>
      <c r="AJ148" s="2" t="s">
        <v>113</v>
      </c>
      <c r="AK148" s="2" t="s">
        <v>113</v>
      </c>
      <c r="AL148" s="2" t="s">
        <v>113</v>
      </c>
      <c r="AM148" s="2" t="s">
        <v>113</v>
      </c>
      <c r="AN148" s="2" t="s">
        <v>113</v>
      </c>
      <c r="AO148" s="2" t="s">
        <v>113</v>
      </c>
      <c r="AP148" s="2" t="s">
        <v>113</v>
      </c>
      <c r="AQ148" s="2" t="s">
        <v>113</v>
      </c>
      <c r="AR148" s="2" t="s">
        <v>113</v>
      </c>
      <c r="AS148" s="2" t="s">
        <v>113</v>
      </c>
      <c r="AT148" s="2" t="s">
        <v>113</v>
      </c>
      <c r="AU148" s="2" t="s">
        <v>113</v>
      </c>
      <c r="AV148" s="2" t="s">
        <v>113</v>
      </c>
      <c r="AW148" s="2" t="s">
        <v>113</v>
      </c>
      <c r="AX148" s="2" t="s">
        <v>113</v>
      </c>
      <c r="AY148" s="2" t="s">
        <v>113</v>
      </c>
      <c r="AZ148" s="2" t="s">
        <v>113</v>
      </c>
      <c r="BA148" s="2" t="s">
        <v>113</v>
      </c>
      <c r="BB148" s="2" t="s">
        <v>113</v>
      </c>
      <c r="BC148" s="2" t="s">
        <v>113</v>
      </c>
      <c r="BD148" s="2" t="s">
        <v>113</v>
      </c>
      <c r="BE148" s="2" t="s">
        <v>113</v>
      </c>
      <c r="BF148" s="2" t="s">
        <v>113</v>
      </c>
      <c r="BG148" s="2" t="s">
        <v>113</v>
      </c>
      <c r="BH148" s="2" t="s">
        <v>113</v>
      </c>
      <c r="BI148" s="2" t="s">
        <v>113</v>
      </c>
      <c r="BJ148" s="2" t="s">
        <v>113</v>
      </c>
      <c r="BK148" s="2" t="s">
        <v>113</v>
      </c>
      <c r="BL148" s="2" t="s">
        <v>113</v>
      </c>
      <c r="BM148" s="2" t="s">
        <v>113</v>
      </c>
      <c r="BN148" s="2" t="s">
        <v>113</v>
      </c>
      <c r="BO148" s="2" t="s">
        <v>113</v>
      </c>
      <c r="BP148" s="2" t="s">
        <v>113</v>
      </c>
      <c r="BQ148" s="2" t="s">
        <v>113</v>
      </c>
      <c r="BR148" s="2" t="s">
        <v>113</v>
      </c>
      <c r="BS148" s="2" t="s">
        <v>113</v>
      </c>
      <c r="BT148" s="2" t="s">
        <v>113</v>
      </c>
      <c r="BU148" s="2" t="s">
        <v>113</v>
      </c>
      <c r="BV148" s="2" t="s">
        <v>113</v>
      </c>
      <c r="BW148" s="2" t="s">
        <v>113</v>
      </c>
      <c r="BX148" s="2" t="s">
        <v>113</v>
      </c>
      <c r="BY148" s="2" t="s">
        <v>113</v>
      </c>
      <c r="BZ148" s="2" t="s">
        <v>113</v>
      </c>
      <c r="CA148" s="2" t="s">
        <v>113</v>
      </c>
      <c r="CB148" s="2" t="s">
        <v>113</v>
      </c>
      <c r="CC148" s="2">
        <v>9</v>
      </c>
      <c r="CD148" s="2">
        <v>15</v>
      </c>
    </row>
    <row r="149" spans="4:82">
      <c r="D149">
        <v>36</v>
      </c>
      <c r="E149" s="2">
        <v>3</v>
      </c>
      <c r="R149" s="2">
        <v>15.5</v>
      </c>
      <c r="S149" s="2">
        <f t="shared" si="8"/>
        <v>19.5</v>
      </c>
      <c r="T149" s="2">
        <v>15.5</v>
      </c>
      <c r="U149" s="2">
        <f t="shared" si="8"/>
        <v>19.5</v>
      </c>
      <c r="AB149">
        <v>77.5</v>
      </c>
      <c r="AC149" s="2" t="s">
        <v>113</v>
      </c>
      <c r="AD149" s="2" t="s">
        <v>113</v>
      </c>
      <c r="AE149" s="2" t="s">
        <v>113</v>
      </c>
      <c r="AF149" s="2" t="s">
        <v>113</v>
      </c>
      <c r="AG149" s="2" t="s">
        <v>113</v>
      </c>
      <c r="AH149" s="2" t="s">
        <v>113</v>
      </c>
      <c r="AI149" s="2" t="s">
        <v>113</v>
      </c>
      <c r="AJ149" s="2" t="s">
        <v>113</v>
      </c>
      <c r="AK149" s="2" t="s">
        <v>113</v>
      </c>
      <c r="AL149" s="2" t="s">
        <v>113</v>
      </c>
      <c r="AM149" s="2" t="s">
        <v>113</v>
      </c>
      <c r="AN149" s="2" t="s">
        <v>113</v>
      </c>
      <c r="AO149" s="2" t="s">
        <v>113</v>
      </c>
      <c r="AP149" s="2" t="s">
        <v>113</v>
      </c>
      <c r="AQ149" s="2" t="s">
        <v>113</v>
      </c>
      <c r="AR149" s="2" t="s">
        <v>113</v>
      </c>
      <c r="AS149" s="2" t="s">
        <v>113</v>
      </c>
      <c r="AT149" s="2" t="s">
        <v>113</v>
      </c>
      <c r="AU149" s="2" t="s">
        <v>113</v>
      </c>
      <c r="AV149" s="2" t="s">
        <v>113</v>
      </c>
      <c r="AW149" s="2" t="s">
        <v>113</v>
      </c>
      <c r="AX149" s="2" t="s">
        <v>113</v>
      </c>
      <c r="AY149" s="2" t="s">
        <v>113</v>
      </c>
      <c r="AZ149" s="2" t="s">
        <v>113</v>
      </c>
      <c r="BA149" s="2" t="s">
        <v>113</v>
      </c>
      <c r="BB149" s="2" t="s">
        <v>113</v>
      </c>
      <c r="BC149" s="2" t="s">
        <v>113</v>
      </c>
      <c r="BD149" s="2" t="s">
        <v>113</v>
      </c>
      <c r="BE149" s="2" t="s">
        <v>113</v>
      </c>
      <c r="BF149" s="2" t="s">
        <v>113</v>
      </c>
      <c r="BG149" s="2" t="s">
        <v>113</v>
      </c>
      <c r="BH149" s="2" t="s">
        <v>113</v>
      </c>
      <c r="BI149" s="2" t="s">
        <v>113</v>
      </c>
      <c r="BJ149" s="2" t="s">
        <v>113</v>
      </c>
      <c r="BK149" s="2" t="s">
        <v>113</v>
      </c>
      <c r="BL149" s="2" t="s">
        <v>113</v>
      </c>
      <c r="BM149" s="2" t="s">
        <v>113</v>
      </c>
      <c r="BN149" s="2" t="s">
        <v>113</v>
      </c>
      <c r="BO149" s="2" t="s">
        <v>113</v>
      </c>
      <c r="BP149" s="2" t="s">
        <v>113</v>
      </c>
      <c r="BQ149" s="2" t="s">
        <v>113</v>
      </c>
      <c r="BR149" s="2" t="s">
        <v>113</v>
      </c>
      <c r="BS149" s="2" t="s">
        <v>113</v>
      </c>
      <c r="BT149" s="2" t="s">
        <v>113</v>
      </c>
      <c r="BU149" s="2" t="s">
        <v>113</v>
      </c>
      <c r="BV149" s="2" t="s">
        <v>113</v>
      </c>
      <c r="BW149" s="2" t="s">
        <v>113</v>
      </c>
      <c r="BX149" s="2" t="s">
        <v>113</v>
      </c>
      <c r="BY149" s="2" t="s">
        <v>113</v>
      </c>
      <c r="BZ149" s="2" t="s">
        <v>113</v>
      </c>
      <c r="CA149" s="2" t="s">
        <v>113</v>
      </c>
      <c r="CB149" s="2" t="s">
        <v>113</v>
      </c>
      <c r="CC149" s="2">
        <v>9</v>
      </c>
      <c r="CD149" s="2">
        <v>15</v>
      </c>
    </row>
    <row r="150" spans="4:82">
      <c r="D150">
        <v>35</v>
      </c>
      <c r="E150" s="2">
        <v>2.5</v>
      </c>
      <c r="R150" s="2">
        <v>16</v>
      </c>
      <c r="S150" s="2">
        <f t="shared" si="8"/>
        <v>20</v>
      </c>
      <c r="T150" s="2">
        <v>16</v>
      </c>
      <c r="U150" s="2">
        <f t="shared" si="8"/>
        <v>20</v>
      </c>
      <c r="AB150">
        <v>77</v>
      </c>
      <c r="AC150" s="2" t="s">
        <v>113</v>
      </c>
      <c r="AD150" s="2" t="s">
        <v>113</v>
      </c>
      <c r="AE150" s="2" t="s">
        <v>113</v>
      </c>
      <c r="AF150" s="2" t="s">
        <v>113</v>
      </c>
      <c r="AG150" s="2" t="s">
        <v>113</v>
      </c>
      <c r="AH150" s="2" t="s">
        <v>113</v>
      </c>
      <c r="AI150" s="2" t="s">
        <v>113</v>
      </c>
      <c r="AJ150" s="2" t="s">
        <v>113</v>
      </c>
      <c r="AK150" s="2" t="s">
        <v>113</v>
      </c>
      <c r="AL150" s="2" t="s">
        <v>113</v>
      </c>
      <c r="AM150" s="2" t="s">
        <v>113</v>
      </c>
      <c r="AN150" s="2" t="s">
        <v>113</v>
      </c>
      <c r="AO150" s="2" t="s">
        <v>113</v>
      </c>
      <c r="AP150" s="2" t="s">
        <v>113</v>
      </c>
      <c r="AQ150" s="2" t="s">
        <v>113</v>
      </c>
      <c r="AR150" s="2" t="s">
        <v>113</v>
      </c>
      <c r="AS150" s="2" t="s">
        <v>113</v>
      </c>
      <c r="AT150" s="2" t="s">
        <v>113</v>
      </c>
      <c r="AU150" s="2" t="s">
        <v>113</v>
      </c>
      <c r="AV150" s="2" t="s">
        <v>113</v>
      </c>
      <c r="AW150" s="2" t="s">
        <v>113</v>
      </c>
      <c r="AX150" s="2" t="s">
        <v>113</v>
      </c>
      <c r="AY150" s="2" t="s">
        <v>113</v>
      </c>
      <c r="AZ150" s="2" t="s">
        <v>113</v>
      </c>
      <c r="BA150" s="2" t="s">
        <v>113</v>
      </c>
      <c r="BB150" s="2" t="s">
        <v>113</v>
      </c>
      <c r="BC150" s="2" t="s">
        <v>113</v>
      </c>
      <c r="BD150" s="2" t="s">
        <v>113</v>
      </c>
      <c r="BE150" s="2" t="s">
        <v>113</v>
      </c>
      <c r="BF150" s="2" t="s">
        <v>113</v>
      </c>
      <c r="BG150" s="2" t="s">
        <v>113</v>
      </c>
      <c r="BH150" s="2" t="s">
        <v>113</v>
      </c>
      <c r="BI150" s="2" t="s">
        <v>113</v>
      </c>
      <c r="BJ150" s="2" t="s">
        <v>113</v>
      </c>
      <c r="BK150" s="2" t="s">
        <v>113</v>
      </c>
      <c r="BL150" s="2" t="s">
        <v>113</v>
      </c>
      <c r="BM150" s="2" t="s">
        <v>113</v>
      </c>
      <c r="BN150" s="2" t="s">
        <v>113</v>
      </c>
      <c r="BO150" s="2" t="s">
        <v>113</v>
      </c>
      <c r="BP150" s="2" t="s">
        <v>113</v>
      </c>
      <c r="BQ150" s="2" t="s">
        <v>113</v>
      </c>
      <c r="BR150" s="2" t="s">
        <v>113</v>
      </c>
      <c r="BS150" s="2" t="s">
        <v>113</v>
      </c>
      <c r="BT150" s="2" t="s">
        <v>113</v>
      </c>
      <c r="BU150" s="2" t="s">
        <v>113</v>
      </c>
      <c r="BV150" s="2" t="s">
        <v>113</v>
      </c>
      <c r="BW150" s="2" t="s">
        <v>113</v>
      </c>
      <c r="BX150" s="2" t="s">
        <v>113</v>
      </c>
      <c r="BY150" s="2" t="s">
        <v>113</v>
      </c>
      <c r="BZ150" s="2" t="s">
        <v>113</v>
      </c>
      <c r="CA150" s="2" t="s">
        <v>113</v>
      </c>
      <c r="CB150" s="2" t="s">
        <v>113</v>
      </c>
      <c r="CC150" s="2">
        <v>9</v>
      </c>
      <c r="CD150" s="2">
        <v>15</v>
      </c>
    </row>
    <row r="151" spans="4:82">
      <c r="D151">
        <v>34</v>
      </c>
      <c r="E151" s="2">
        <v>2</v>
      </c>
      <c r="R151" s="2">
        <v>16.5</v>
      </c>
      <c r="S151" s="2">
        <f t="shared" si="8"/>
        <v>20.5</v>
      </c>
      <c r="T151" s="2">
        <v>16.5</v>
      </c>
      <c r="U151" s="2">
        <f t="shared" si="8"/>
        <v>20.5</v>
      </c>
      <c r="AB151">
        <v>76.5</v>
      </c>
      <c r="AC151" s="2" t="s">
        <v>113</v>
      </c>
      <c r="AD151" s="2" t="s">
        <v>113</v>
      </c>
      <c r="AE151" s="2" t="s">
        <v>113</v>
      </c>
      <c r="AF151" s="2" t="s">
        <v>113</v>
      </c>
      <c r="AG151" s="2" t="s">
        <v>113</v>
      </c>
      <c r="AH151" s="2" t="s">
        <v>113</v>
      </c>
      <c r="AI151" s="2" t="s">
        <v>113</v>
      </c>
      <c r="AJ151" s="2" t="s">
        <v>113</v>
      </c>
      <c r="AK151" s="2" t="s">
        <v>113</v>
      </c>
      <c r="AL151" s="2" t="s">
        <v>113</v>
      </c>
      <c r="AM151" s="2" t="s">
        <v>113</v>
      </c>
      <c r="AN151" s="2" t="s">
        <v>113</v>
      </c>
      <c r="AO151" s="2" t="s">
        <v>113</v>
      </c>
      <c r="AP151" s="2" t="s">
        <v>113</v>
      </c>
      <c r="AQ151" s="2" t="s">
        <v>113</v>
      </c>
      <c r="AR151" s="2" t="s">
        <v>113</v>
      </c>
      <c r="AS151" s="2" t="s">
        <v>113</v>
      </c>
      <c r="AT151" s="2" t="s">
        <v>113</v>
      </c>
      <c r="AU151" s="2" t="s">
        <v>113</v>
      </c>
      <c r="AV151" s="2" t="s">
        <v>113</v>
      </c>
      <c r="AW151" s="2" t="s">
        <v>113</v>
      </c>
      <c r="AX151" s="2" t="s">
        <v>113</v>
      </c>
      <c r="AY151" s="2" t="s">
        <v>113</v>
      </c>
      <c r="AZ151" s="2" t="s">
        <v>113</v>
      </c>
      <c r="BA151" s="2" t="s">
        <v>113</v>
      </c>
      <c r="BB151" s="2" t="s">
        <v>113</v>
      </c>
      <c r="BC151" s="2" t="s">
        <v>113</v>
      </c>
      <c r="BD151" s="2" t="s">
        <v>113</v>
      </c>
      <c r="BE151" s="2" t="s">
        <v>113</v>
      </c>
      <c r="BF151" s="2" t="s">
        <v>113</v>
      </c>
      <c r="BG151" s="2" t="s">
        <v>113</v>
      </c>
      <c r="BH151" s="2" t="s">
        <v>113</v>
      </c>
      <c r="BI151" s="2" t="s">
        <v>113</v>
      </c>
      <c r="BJ151" s="2" t="s">
        <v>113</v>
      </c>
      <c r="BK151" s="2" t="s">
        <v>113</v>
      </c>
      <c r="BL151" s="2" t="s">
        <v>113</v>
      </c>
      <c r="BM151" s="2" t="s">
        <v>113</v>
      </c>
      <c r="BN151" s="2" t="s">
        <v>113</v>
      </c>
      <c r="BO151" s="2" t="s">
        <v>113</v>
      </c>
      <c r="BP151" s="2" t="s">
        <v>113</v>
      </c>
      <c r="BQ151" s="2" t="s">
        <v>113</v>
      </c>
      <c r="BR151" s="2" t="s">
        <v>113</v>
      </c>
      <c r="BS151" s="2" t="s">
        <v>113</v>
      </c>
      <c r="BT151" s="2" t="s">
        <v>113</v>
      </c>
      <c r="BU151" s="2" t="s">
        <v>113</v>
      </c>
      <c r="BV151" s="2" t="s">
        <v>113</v>
      </c>
      <c r="BW151" s="2" t="s">
        <v>113</v>
      </c>
      <c r="BX151" s="2" t="s">
        <v>113</v>
      </c>
      <c r="BY151" s="2" t="s">
        <v>113</v>
      </c>
      <c r="BZ151" s="2" t="s">
        <v>113</v>
      </c>
      <c r="CA151" s="2" t="s">
        <v>113</v>
      </c>
      <c r="CB151" s="2" t="s">
        <v>113</v>
      </c>
      <c r="CC151" s="2">
        <v>9</v>
      </c>
      <c r="CD151" s="2">
        <v>15</v>
      </c>
    </row>
    <row r="152" spans="4:82">
      <c r="D152">
        <v>33</v>
      </c>
      <c r="E152" s="2">
        <v>2</v>
      </c>
      <c r="F152" s="2">
        <v>14.5</v>
      </c>
      <c r="R152" s="2">
        <v>17</v>
      </c>
      <c r="S152" s="2">
        <f t="shared" si="8"/>
        <v>21</v>
      </c>
      <c r="T152" s="2">
        <v>17</v>
      </c>
      <c r="U152" s="2">
        <f t="shared" si="8"/>
        <v>21</v>
      </c>
      <c r="AB152">
        <v>76</v>
      </c>
      <c r="AC152" s="2" t="s">
        <v>113</v>
      </c>
      <c r="AD152" s="2" t="s">
        <v>113</v>
      </c>
      <c r="AE152" s="2" t="s">
        <v>113</v>
      </c>
      <c r="AF152" s="2" t="s">
        <v>113</v>
      </c>
      <c r="AG152" s="2" t="s">
        <v>113</v>
      </c>
      <c r="AH152" s="2" t="s">
        <v>113</v>
      </c>
      <c r="AI152" s="2" t="s">
        <v>113</v>
      </c>
      <c r="AJ152" s="2" t="s">
        <v>113</v>
      </c>
      <c r="AK152" s="2" t="s">
        <v>113</v>
      </c>
      <c r="AL152" s="2" t="s">
        <v>113</v>
      </c>
      <c r="AM152" s="2" t="s">
        <v>113</v>
      </c>
      <c r="AN152" s="2" t="s">
        <v>113</v>
      </c>
      <c r="AO152" s="2" t="s">
        <v>113</v>
      </c>
      <c r="AP152" s="2" t="s">
        <v>113</v>
      </c>
      <c r="AQ152" s="2" t="s">
        <v>113</v>
      </c>
      <c r="AR152" s="2" t="s">
        <v>113</v>
      </c>
      <c r="AS152" s="2" t="s">
        <v>113</v>
      </c>
      <c r="AT152" s="2" t="s">
        <v>113</v>
      </c>
      <c r="AU152" s="2" t="s">
        <v>113</v>
      </c>
      <c r="AV152" s="2" t="s">
        <v>113</v>
      </c>
      <c r="AW152" s="2" t="s">
        <v>113</v>
      </c>
      <c r="AX152" s="2" t="s">
        <v>113</v>
      </c>
      <c r="AY152" s="2" t="s">
        <v>113</v>
      </c>
      <c r="AZ152" s="2" t="s">
        <v>113</v>
      </c>
      <c r="BA152" s="2" t="s">
        <v>113</v>
      </c>
      <c r="BB152" s="2" t="s">
        <v>113</v>
      </c>
      <c r="BC152" s="2" t="s">
        <v>113</v>
      </c>
      <c r="BD152" s="2" t="s">
        <v>113</v>
      </c>
      <c r="BE152" s="2" t="s">
        <v>113</v>
      </c>
      <c r="BF152" s="2" t="s">
        <v>113</v>
      </c>
      <c r="BG152" s="2" t="s">
        <v>113</v>
      </c>
      <c r="BH152" s="2" t="s">
        <v>113</v>
      </c>
      <c r="BI152" s="2" t="s">
        <v>113</v>
      </c>
      <c r="BJ152" s="2" t="s">
        <v>113</v>
      </c>
      <c r="BK152" s="2" t="s">
        <v>113</v>
      </c>
      <c r="BL152" s="2" t="s">
        <v>113</v>
      </c>
      <c r="BM152" s="2" t="s">
        <v>113</v>
      </c>
      <c r="BN152" s="2" t="s">
        <v>113</v>
      </c>
      <c r="BO152" s="2" t="s">
        <v>113</v>
      </c>
      <c r="BP152" s="2" t="s">
        <v>113</v>
      </c>
      <c r="BQ152" s="2" t="s">
        <v>113</v>
      </c>
      <c r="BR152" s="2" t="s">
        <v>113</v>
      </c>
      <c r="BS152" s="2" t="s">
        <v>113</v>
      </c>
      <c r="BT152" s="2" t="s">
        <v>113</v>
      </c>
      <c r="BU152" s="2" t="s">
        <v>113</v>
      </c>
      <c r="BV152" s="2" t="s">
        <v>113</v>
      </c>
      <c r="BW152" s="2" t="s">
        <v>113</v>
      </c>
      <c r="BX152" s="2" t="s">
        <v>113</v>
      </c>
      <c r="BY152" s="2" t="s">
        <v>113</v>
      </c>
      <c r="BZ152" s="2" t="s">
        <v>113</v>
      </c>
      <c r="CA152" s="2" t="s">
        <v>113</v>
      </c>
      <c r="CB152" s="2" t="s">
        <v>113</v>
      </c>
      <c r="CC152" s="2">
        <v>9</v>
      </c>
      <c r="CD152" s="2">
        <v>15</v>
      </c>
    </row>
    <row r="153" spans="4:82">
      <c r="D153">
        <v>32</v>
      </c>
      <c r="E153" s="2">
        <v>2</v>
      </c>
      <c r="F153" s="2">
        <v>14</v>
      </c>
      <c r="R153" s="2">
        <v>17.5</v>
      </c>
      <c r="S153" s="2">
        <f t="shared" si="8"/>
        <v>21.5</v>
      </c>
      <c r="T153" s="2">
        <v>17.5</v>
      </c>
      <c r="U153" s="2">
        <f t="shared" si="8"/>
        <v>21.5</v>
      </c>
      <c r="AB153">
        <v>75.5</v>
      </c>
      <c r="AC153" s="2" t="s">
        <v>113</v>
      </c>
      <c r="AD153" s="2" t="s">
        <v>113</v>
      </c>
      <c r="AE153" s="2" t="s">
        <v>113</v>
      </c>
      <c r="AF153" s="2" t="s">
        <v>113</v>
      </c>
      <c r="AG153" s="2" t="s">
        <v>113</v>
      </c>
      <c r="AH153" s="2" t="s">
        <v>113</v>
      </c>
      <c r="AI153" s="2" t="s">
        <v>113</v>
      </c>
      <c r="AJ153" s="2" t="s">
        <v>113</v>
      </c>
      <c r="AK153" s="2" t="s">
        <v>113</v>
      </c>
      <c r="AL153" s="2" t="s">
        <v>113</v>
      </c>
      <c r="AM153" s="2" t="s">
        <v>113</v>
      </c>
      <c r="AN153" s="2" t="s">
        <v>113</v>
      </c>
      <c r="AO153" s="2" t="s">
        <v>113</v>
      </c>
      <c r="AP153" s="2" t="s">
        <v>113</v>
      </c>
      <c r="AQ153" s="2" t="s">
        <v>113</v>
      </c>
      <c r="AR153" s="2" t="s">
        <v>113</v>
      </c>
      <c r="AS153" s="2" t="s">
        <v>113</v>
      </c>
      <c r="AT153" s="2" t="s">
        <v>113</v>
      </c>
      <c r="AU153" s="2" t="s">
        <v>113</v>
      </c>
      <c r="AV153" s="2" t="s">
        <v>113</v>
      </c>
      <c r="AW153" s="2" t="s">
        <v>113</v>
      </c>
      <c r="AX153" s="2" t="s">
        <v>113</v>
      </c>
      <c r="AY153" s="2" t="s">
        <v>113</v>
      </c>
      <c r="AZ153" s="2" t="s">
        <v>113</v>
      </c>
      <c r="BA153" s="2" t="s">
        <v>113</v>
      </c>
      <c r="BB153" s="2" t="s">
        <v>113</v>
      </c>
      <c r="BC153" s="2" t="s">
        <v>113</v>
      </c>
      <c r="BD153" s="2" t="s">
        <v>113</v>
      </c>
      <c r="BE153" s="2" t="s">
        <v>113</v>
      </c>
      <c r="BF153" s="2" t="s">
        <v>113</v>
      </c>
      <c r="BG153" s="2" t="s">
        <v>113</v>
      </c>
      <c r="BH153" s="2" t="s">
        <v>113</v>
      </c>
      <c r="BI153" s="2" t="s">
        <v>113</v>
      </c>
      <c r="BJ153" s="2" t="s">
        <v>113</v>
      </c>
      <c r="BK153" s="2" t="s">
        <v>113</v>
      </c>
      <c r="BL153" s="2" t="s">
        <v>113</v>
      </c>
      <c r="BM153" s="2" t="s">
        <v>113</v>
      </c>
      <c r="BN153" s="2" t="s">
        <v>113</v>
      </c>
      <c r="BO153" s="2" t="s">
        <v>113</v>
      </c>
      <c r="BP153" s="2" t="s">
        <v>113</v>
      </c>
      <c r="BQ153" s="2" t="s">
        <v>113</v>
      </c>
      <c r="BR153" s="2" t="s">
        <v>113</v>
      </c>
      <c r="BS153" s="2" t="s">
        <v>113</v>
      </c>
      <c r="BT153" s="2" t="s">
        <v>113</v>
      </c>
      <c r="BU153" s="2" t="s">
        <v>113</v>
      </c>
      <c r="BV153" s="2" t="s">
        <v>113</v>
      </c>
      <c r="BW153" s="2" t="s">
        <v>113</v>
      </c>
      <c r="BX153" s="2" t="s">
        <v>113</v>
      </c>
      <c r="BY153" s="2" t="s">
        <v>113</v>
      </c>
      <c r="BZ153" s="2" t="s">
        <v>113</v>
      </c>
      <c r="CA153" s="2" t="s">
        <v>113</v>
      </c>
      <c r="CB153" s="2" t="s">
        <v>113</v>
      </c>
      <c r="CC153" s="2">
        <v>9</v>
      </c>
      <c r="CD153" s="2">
        <v>15</v>
      </c>
    </row>
    <row r="154" spans="4:82">
      <c r="D154">
        <v>31</v>
      </c>
      <c r="E154" s="2">
        <v>2</v>
      </c>
      <c r="F154" s="2">
        <v>13.5</v>
      </c>
      <c r="R154" s="2">
        <v>18</v>
      </c>
      <c r="S154" s="2">
        <f t="shared" si="8"/>
        <v>22</v>
      </c>
      <c r="T154" s="2">
        <v>18</v>
      </c>
      <c r="U154" s="2">
        <f t="shared" si="8"/>
        <v>22</v>
      </c>
      <c r="AB154">
        <v>75</v>
      </c>
      <c r="AC154" s="2" t="s">
        <v>113</v>
      </c>
      <c r="AD154" s="2" t="s">
        <v>113</v>
      </c>
      <c r="AE154" s="2" t="s">
        <v>113</v>
      </c>
      <c r="AF154" s="2" t="s">
        <v>113</v>
      </c>
      <c r="AG154" s="2" t="s">
        <v>113</v>
      </c>
      <c r="AH154" s="2" t="s">
        <v>113</v>
      </c>
      <c r="AI154" s="2" t="s">
        <v>113</v>
      </c>
      <c r="AJ154" s="2" t="s">
        <v>113</v>
      </c>
      <c r="AK154" s="2" t="s">
        <v>113</v>
      </c>
      <c r="AL154" s="2" t="s">
        <v>113</v>
      </c>
      <c r="AM154" s="2" t="s">
        <v>113</v>
      </c>
      <c r="AN154" s="2" t="s">
        <v>113</v>
      </c>
      <c r="AO154" s="2" t="s">
        <v>113</v>
      </c>
      <c r="AP154" s="2" t="s">
        <v>113</v>
      </c>
      <c r="AQ154" s="2" t="s">
        <v>113</v>
      </c>
      <c r="AR154" s="2" t="s">
        <v>113</v>
      </c>
      <c r="AS154" s="2" t="s">
        <v>113</v>
      </c>
      <c r="AT154" s="2" t="s">
        <v>113</v>
      </c>
      <c r="AU154" s="2" t="s">
        <v>113</v>
      </c>
      <c r="AV154" s="2" t="s">
        <v>113</v>
      </c>
      <c r="AW154" s="2" t="s">
        <v>113</v>
      </c>
      <c r="AX154" s="2" t="s">
        <v>113</v>
      </c>
      <c r="AY154" s="2" t="s">
        <v>113</v>
      </c>
      <c r="AZ154" s="2" t="s">
        <v>113</v>
      </c>
      <c r="BA154" s="2" t="s">
        <v>113</v>
      </c>
      <c r="BB154" s="2" t="s">
        <v>113</v>
      </c>
      <c r="BC154" s="2" t="s">
        <v>113</v>
      </c>
      <c r="BD154" s="2" t="s">
        <v>113</v>
      </c>
      <c r="BE154" s="2" t="s">
        <v>113</v>
      </c>
      <c r="BF154" s="2" t="s">
        <v>113</v>
      </c>
      <c r="BG154" s="2" t="s">
        <v>113</v>
      </c>
      <c r="BH154" s="2" t="s">
        <v>113</v>
      </c>
      <c r="BI154" s="2" t="s">
        <v>113</v>
      </c>
      <c r="BJ154" s="2" t="s">
        <v>113</v>
      </c>
      <c r="BK154" s="2" t="s">
        <v>113</v>
      </c>
      <c r="BL154" s="2" t="s">
        <v>113</v>
      </c>
      <c r="BM154" s="2" t="s">
        <v>113</v>
      </c>
      <c r="BN154" s="2" t="s">
        <v>113</v>
      </c>
      <c r="BO154" s="2" t="s">
        <v>113</v>
      </c>
      <c r="BP154" s="2" t="s">
        <v>113</v>
      </c>
      <c r="BQ154" s="2" t="s">
        <v>113</v>
      </c>
      <c r="BR154" s="2" t="s">
        <v>113</v>
      </c>
      <c r="BS154" s="2" t="s">
        <v>113</v>
      </c>
      <c r="BT154" s="2" t="s">
        <v>113</v>
      </c>
      <c r="BU154" s="2" t="s">
        <v>113</v>
      </c>
      <c r="BV154" s="2" t="s">
        <v>113</v>
      </c>
      <c r="BW154" s="2" t="s">
        <v>113</v>
      </c>
      <c r="BX154" s="2" t="s">
        <v>113</v>
      </c>
      <c r="BY154" s="2" t="s">
        <v>113</v>
      </c>
      <c r="BZ154" s="2" t="s">
        <v>113</v>
      </c>
      <c r="CA154" s="2" t="s">
        <v>113</v>
      </c>
      <c r="CB154" s="2" t="s">
        <v>113</v>
      </c>
      <c r="CC154" s="2">
        <v>9</v>
      </c>
      <c r="CD154" s="2">
        <v>15</v>
      </c>
    </row>
    <row r="155" spans="4:82">
      <c r="D155">
        <v>30</v>
      </c>
      <c r="E155" s="2">
        <v>2</v>
      </c>
      <c r="F155" s="2">
        <v>13</v>
      </c>
      <c r="R155" s="2">
        <v>18.5</v>
      </c>
      <c r="S155" s="2">
        <f t="shared" si="8"/>
        <v>22.5</v>
      </c>
      <c r="T155" s="2">
        <v>18.5</v>
      </c>
      <c r="U155" s="2">
        <f t="shared" si="8"/>
        <v>22.5</v>
      </c>
      <c r="AB155">
        <v>74.5</v>
      </c>
      <c r="AC155" s="2" t="s">
        <v>113</v>
      </c>
      <c r="AD155" s="2" t="s">
        <v>113</v>
      </c>
      <c r="AE155" s="2" t="s">
        <v>113</v>
      </c>
      <c r="AF155" s="2" t="s">
        <v>113</v>
      </c>
      <c r="AG155" s="2" t="s">
        <v>113</v>
      </c>
      <c r="AH155" s="2" t="s">
        <v>113</v>
      </c>
      <c r="AI155" s="2" t="s">
        <v>113</v>
      </c>
      <c r="AJ155" s="2" t="s">
        <v>113</v>
      </c>
      <c r="AK155" s="2" t="s">
        <v>113</v>
      </c>
      <c r="AL155" s="2" t="s">
        <v>113</v>
      </c>
      <c r="AM155" s="2" t="s">
        <v>113</v>
      </c>
      <c r="AN155" s="2" t="s">
        <v>113</v>
      </c>
      <c r="AO155" s="2" t="s">
        <v>113</v>
      </c>
      <c r="AP155" s="2" t="s">
        <v>113</v>
      </c>
      <c r="AQ155" s="2" t="s">
        <v>113</v>
      </c>
      <c r="AR155" s="2" t="s">
        <v>113</v>
      </c>
      <c r="AS155" s="2" t="s">
        <v>113</v>
      </c>
      <c r="AT155" s="2" t="s">
        <v>113</v>
      </c>
      <c r="AU155" s="2" t="s">
        <v>113</v>
      </c>
      <c r="AV155" s="2" t="s">
        <v>113</v>
      </c>
      <c r="AW155" s="2" t="s">
        <v>113</v>
      </c>
      <c r="AX155" s="2" t="s">
        <v>113</v>
      </c>
      <c r="AY155" s="2" t="s">
        <v>113</v>
      </c>
      <c r="AZ155" s="2" t="s">
        <v>113</v>
      </c>
      <c r="BA155" s="2" t="s">
        <v>113</v>
      </c>
      <c r="BB155" s="2" t="s">
        <v>113</v>
      </c>
      <c r="BC155" s="2" t="s">
        <v>113</v>
      </c>
      <c r="BD155" s="2" t="s">
        <v>113</v>
      </c>
      <c r="BE155" s="2" t="s">
        <v>113</v>
      </c>
      <c r="BF155" s="2" t="s">
        <v>113</v>
      </c>
      <c r="BG155" s="2" t="s">
        <v>113</v>
      </c>
      <c r="BH155" s="2" t="s">
        <v>113</v>
      </c>
      <c r="BI155" s="2" t="s">
        <v>113</v>
      </c>
      <c r="BJ155" s="2" t="s">
        <v>113</v>
      </c>
      <c r="BK155" s="2" t="s">
        <v>113</v>
      </c>
      <c r="BL155" s="2" t="s">
        <v>113</v>
      </c>
      <c r="BM155" s="2" t="s">
        <v>113</v>
      </c>
      <c r="BN155" s="2" t="s">
        <v>113</v>
      </c>
      <c r="BO155" s="2" t="s">
        <v>113</v>
      </c>
      <c r="BP155" s="2" t="s">
        <v>113</v>
      </c>
      <c r="BQ155" s="2" t="s">
        <v>113</v>
      </c>
      <c r="BR155" s="2" t="s">
        <v>113</v>
      </c>
      <c r="BS155" s="2" t="s">
        <v>113</v>
      </c>
      <c r="BT155" s="2" t="s">
        <v>113</v>
      </c>
      <c r="BU155" s="2" t="s">
        <v>113</v>
      </c>
      <c r="BV155" s="2" t="s">
        <v>113</v>
      </c>
      <c r="BW155" s="2" t="s">
        <v>113</v>
      </c>
      <c r="BX155" s="2" t="s">
        <v>113</v>
      </c>
      <c r="BY155" s="2" t="s">
        <v>113</v>
      </c>
      <c r="BZ155" s="2" t="s">
        <v>113</v>
      </c>
      <c r="CA155" s="2" t="s">
        <v>113</v>
      </c>
      <c r="CB155" s="2" t="s">
        <v>113</v>
      </c>
      <c r="CC155" s="2">
        <v>9</v>
      </c>
      <c r="CD155" s="2">
        <v>15</v>
      </c>
    </row>
    <row r="156" spans="4:82">
      <c r="D156">
        <v>29</v>
      </c>
      <c r="E156" s="2">
        <v>2</v>
      </c>
      <c r="F156" s="2">
        <v>12.5</v>
      </c>
      <c r="R156" s="2">
        <v>19</v>
      </c>
      <c r="S156" s="2">
        <f t="shared" si="8"/>
        <v>23</v>
      </c>
      <c r="T156" s="2">
        <v>19</v>
      </c>
      <c r="U156" s="2">
        <f t="shared" si="8"/>
        <v>23</v>
      </c>
      <c r="AB156">
        <v>74</v>
      </c>
      <c r="AC156" s="2" t="s">
        <v>113</v>
      </c>
      <c r="AD156" s="2" t="s">
        <v>113</v>
      </c>
      <c r="AE156" s="2" t="s">
        <v>113</v>
      </c>
      <c r="AF156" s="2" t="s">
        <v>113</v>
      </c>
      <c r="AG156" s="2" t="s">
        <v>113</v>
      </c>
      <c r="AH156" s="2" t="s">
        <v>113</v>
      </c>
      <c r="AI156" s="2" t="s">
        <v>113</v>
      </c>
      <c r="AJ156" s="2" t="s">
        <v>113</v>
      </c>
      <c r="AK156" s="2" t="s">
        <v>113</v>
      </c>
      <c r="AL156" s="2" t="s">
        <v>113</v>
      </c>
      <c r="AM156" s="2" t="s">
        <v>113</v>
      </c>
      <c r="AN156" s="2" t="s">
        <v>113</v>
      </c>
      <c r="AO156" s="2" t="s">
        <v>113</v>
      </c>
      <c r="AP156" s="2" t="s">
        <v>113</v>
      </c>
      <c r="AQ156" s="2" t="s">
        <v>113</v>
      </c>
      <c r="AR156" s="2" t="s">
        <v>113</v>
      </c>
      <c r="AS156" s="2" t="s">
        <v>113</v>
      </c>
      <c r="AT156" s="2" t="s">
        <v>113</v>
      </c>
      <c r="AU156" s="2" t="s">
        <v>113</v>
      </c>
      <c r="AV156" s="2" t="s">
        <v>113</v>
      </c>
      <c r="AW156" s="2" t="s">
        <v>113</v>
      </c>
      <c r="AX156" s="2" t="s">
        <v>113</v>
      </c>
      <c r="AY156" s="2" t="s">
        <v>113</v>
      </c>
      <c r="AZ156" s="2" t="s">
        <v>113</v>
      </c>
      <c r="BA156" s="2" t="s">
        <v>113</v>
      </c>
      <c r="BB156" s="2" t="s">
        <v>113</v>
      </c>
      <c r="BC156" s="2" t="s">
        <v>113</v>
      </c>
      <c r="BD156" s="2" t="s">
        <v>113</v>
      </c>
      <c r="BE156" s="2" t="s">
        <v>113</v>
      </c>
      <c r="BF156" s="2" t="s">
        <v>113</v>
      </c>
      <c r="BG156" s="2" t="s">
        <v>113</v>
      </c>
      <c r="BH156" s="2" t="s">
        <v>113</v>
      </c>
      <c r="BI156" s="2" t="s">
        <v>113</v>
      </c>
      <c r="BJ156" s="2" t="s">
        <v>113</v>
      </c>
      <c r="BK156" s="2" t="s">
        <v>113</v>
      </c>
      <c r="BL156" s="2" t="s">
        <v>113</v>
      </c>
      <c r="BM156" s="2" t="s">
        <v>113</v>
      </c>
      <c r="BN156" s="2" t="s">
        <v>113</v>
      </c>
      <c r="BO156" s="2" t="s">
        <v>113</v>
      </c>
      <c r="BP156" s="2" t="s">
        <v>113</v>
      </c>
      <c r="BQ156" s="2" t="s">
        <v>113</v>
      </c>
      <c r="BR156" s="2" t="s">
        <v>113</v>
      </c>
      <c r="BS156" s="2" t="s">
        <v>113</v>
      </c>
      <c r="BT156" s="2" t="s">
        <v>113</v>
      </c>
      <c r="BU156" s="2" t="s">
        <v>113</v>
      </c>
      <c r="BV156" s="2" t="s">
        <v>113</v>
      </c>
      <c r="BW156" s="2" t="s">
        <v>113</v>
      </c>
      <c r="BX156" s="2" t="s">
        <v>113</v>
      </c>
      <c r="BY156" s="2" t="s">
        <v>113</v>
      </c>
      <c r="BZ156" s="2" t="s">
        <v>113</v>
      </c>
      <c r="CA156" s="2" t="s">
        <v>113</v>
      </c>
      <c r="CB156" s="2" t="s">
        <v>113</v>
      </c>
      <c r="CC156" s="2">
        <v>9</v>
      </c>
      <c r="CD156" s="2">
        <v>15</v>
      </c>
    </row>
    <row r="157" spans="4:82">
      <c r="D157">
        <v>28</v>
      </c>
      <c r="E157" s="2">
        <v>2</v>
      </c>
      <c r="F157" s="2">
        <v>12</v>
      </c>
      <c r="R157" s="2">
        <v>19.5</v>
      </c>
      <c r="S157" s="2">
        <f t="shared" si="8"/>
        <v>23.5</v>
      </c>
      <c r="T157" s="2">
        <v>19.5</v>
      </c>
      <c r="U157" s="2">
        <f t="shared" si="8"/>
        <v>23.5</v>
      </c>
      <c r="AB157">
        <v>73.5</v>
      </c>
      <c r="AC157" s="2" t="s">
        <v>113</v>
      </c>
      <c r="AD157" s="2" t="s">
        <v>113</v>
      </c>
      <c r="AE157" s="2" t="s">
        <v>113</v>
      </c>
      <c r="AF157" s="2" t="s">
        <v>113</v>
      </c>
      <c r="AG157" s="2" t="s">
        <v>113</v>
      </c>
      <c r="AH157" s="2" t="s">
        <v>113</v>
      </c>
      <c r="AI157" s="2" t="s">
        <v>113</v>
      </c>
      <c r="AJ157" s="2" t="s">
        <v>113</v>
      </c>
      <c r="AK157" s="2" t="s">
        <v>113</v>
      </c>
      <c r="AL157" s="2" t="s">
        <v>113</v>
      </c>
      <c r="AM157" s="2" t="s">
        <v>113</v>
      </c>
      <c r="AN157" s="2" t="s">
        <v>113</v>
      </c>
      <c r="AO157" s="2" t="s">
        <v>113</v>
      </c>
      <c r="AP157" s="2" t="s">
        <v>113</v>
      </c>
      <c r="AQ157" s="2" t="s">
        <v>113</v>
      </c>
      <c r="AR157" s="2" t="s">
        <v>113</v>
      </c>
      <c r="AS157" s="2" t="s">
        <v>113</v>
      </c>
      <c r="AT157" s="2" t="s">
        <v>113</v>
      </c>
      <c r="AU157" s="2" t="s">
        <v>113</v>
      </c>
      <c r="AV157" s="2" t="s">
        <v>113</v>
      </c>
      <c r="AW157" s="2" t="s">
        <v>113</v>
      </c>
      <c r="AX157" s="2" t="s">
        <v>113</v>
      </c>
      <c r="AY157" s="2" t="s">
        <v>113</v>
      </c>
      <c r="AZ157" s="2" t="s">
        <v>113</v>
      </c>
      <c r="BA157" s="2" t="s">
        <v>113</v>
      </c>
      <c r="BB157" s="2" t="s">
        <v>113</v>
      </c>
      <c r="BC157" s="2" t="s">
        <v>113</v>
      </c>
      <c r="BD157" s="2" t="s">
        <v>113</v>
      </c>
      <c r="BE157" s="2" t="s">
        <v>113</v>
      </c>
      <c r="BF157" s="2" t="s">
        <v>113</v>
      </c>
      <c r="BG157" s="2" t="s">
        <v>113</v>
      </c>
      <c r="BH157" s="2" t="s">
        <v>113</v>
      </c>
      <c r="BI157" s="2" t="s">
        <v>113</v>
      </c>
      <c r="BJ157" s="2" t="s">
        <v>113</v>
      </c>
      <c r="BK157" s="2" t="s">
        <v>113</v>
      </c>
      <c r="BL157" s="2" t="s">
        <v>113</v>
      </c>
      <c r="BM157" s="2" t="s">
        <v>113</v>
      </c>
      <c r="BN157" s="2" t="s">
        <v>113</v>
      </c>
      <c r="BO157" s="2" t="s">
        <v>113</v>
      </c>
      <c r="BP157" s="2" t="s">
        <v>113</v>
      </c>
      <c r="BQ157" s="2" t="s">
        <v>113</v>
      </c>
      <c r="BR157" s="2" t="s">
        <v>113</v>
      </c>
      <c r="BS157" s="2" t="s">
        <v>113</v>
      </c>
      <c r="BT157" s="2" t="s">
        <v>113</v>
      </c>
      <c r="BU157" s="2" t="s">
        <v>113</v>
      </c>
      <c r="BV157" s="2" t="s">
        <v>113</v>
      </c>
      <c r="BW157" s="2" t="s">
        <v>113</v>
      </c>
      <c r="BX157" s="2" t="s">
        <v>113</v>
      </c>
      <c r="BY157" s="2" t="s">
        <v>113</v>
      </c>
      <c r="BZ157" s="2" t="s">
        <v>113</v>
      </c>
      <c r="CA157" s="2" t="s">
        <v>113</v>
      </c>
      <c r="CB157" s="2" t="s">
        <v>113</v>
      </c>
      <c r="CC157" s="2">
        <v>9</v>
      </c>
      <c r="CD157" s="2">
        <v>15</v>
      </c>
    </row>
    <row r="158" spans="4:82">
      <c r="D158">
        <v>27</v>
      </c>
      <c r="E158" s="2">
        <v>2</v>
      </c>
      <c r="F158" s="2">
        <v>11.5</v>
      </c>
      <c r="R158" s="2">
        <v>20</v>
      </c>
      <c r="S158" s="2">
        <f t="shared" si="8"/>
        <v>24</v>
      </c>
      <c r="T158" s="2">
        <v>20</v>
      </c>
      <c r="U158" s="2">
        <f t="shared" si="8"/>
        <v>24</v>
      </c>
      <c r="AB158">
        <v>73</v>
      </c>
      <c r="AC158" s="2" t="s">
        <v>113</v>
      </c>
      <c r="AD158" s="2" t="s">
        <v>113</v>
      </c>
      <c r="AE158" s="2" t="s">
        <v>113</v>
      </c>
      <c r="AF158" s="2" t="s">
        <v>113</v>
      </c>
      <c r="AG158" s="2" t="s">
        <v>113</v>
      </c>
      <c r="AH158" s="2" t="s">
        <v>113</v>
      </c>
      <c r="AI158" s="2" t="s">
        <v>113</v>
      </c>
      <c r="AJ158" s="2" t="s">
        <v>113</v>
      </c>
      <c r="AK158" s="2" t="s">
        <v>113</v>
      </c>
      <c r="AL158" s="2" t="s">
        <v>113</v>
      </c>
      <c r="AM158" s="2" t="s">
        <v>113</v>
      </c>
      <c r="AN158" s="2" t="s">
        <v>113</v>
      </c>
      <c r="AO158" s="2" t="s">
        <v>113</v>
      </c>
      <c r="AP158" s="2" t="s">
        <v>113</v>
      </c>
      <c r="AQ158" s="2" t="s">
        <v>113</v>
      </c>
      <c r="AR158" s="2" t="s">
        <v>113</v>
      </c>
      <c r="AS158" s="2" t="s">
        <v>113</v>
      </c>
      <c r="AT158" s="2" t="s">
        <v>113</v>
      </c>
      <c r="AU158" s="2" t="s">
        <v>113</v>
      </c>
      <c r="AV158" s="2" t="s">
        <v>113</v>
      </c>
      <c r="AW158" s="2" t="s">
        <v>113</v>
      </c>
      <c r="AX158" s="2" t="s">
        <v>113</v>
      </c>
      <c r="AY158" s="2" t="s">
        <v>113</v>
      </c>
      <c r="AZ158" s="2" t="s">
        <v>113</v>
      </c>
      <c r="BA158" s="2" t="s">
        <v>113</v>
      </c>
      <c r="BB158" s="2" t="s">
        <v>113</v>
      </c>
      <c r="BC158" s="2" t="s">
        <v>113</v>
      </c>
      <c r="BD158" s="2" t="s">
        <v>113</v>
      </c>
      <c r="BE158" s="2" t="s">
        <v>113</v>
      </c>
      <c r="BF158" s="2" t="s">
        <v>113</v>
      </c>
      <c r="BG158" s="2" t="s">
        <v>113</v>
      </c>
      <c r="BH158" s="2" t="s">
        <v>113</v>
      </c>
      <c r="BI158" s="2" t="s">
        <v>113</v>
      </c>
      <c r="BJ158" s="2" t="s">
        <v>113</v>
      </c>
      <c r="BK158" s="2" t="s">
        <v>113</v>
      </c>
      <c r="BL158" s="2" t="s">
        <v>113</v>
      </c>
      <c r="BM158" s="2" t="s">
        <v>113</v>
      </c>
      <c r="BN158" s="2" t="s">
        <v>113</v>
      </c>
      <c r="BO158" s="2" t="s">
        <v>113</v>
      </c>
      <c r="BP158" s="2" t="s">
        <v>113</v>
      </c>
      <c r="BQ158" s="2" t="s">
        <v>113</v>
      </c>
      <c r="BR158" s="2" t="s">
        <v>113</v>
      </c>
      <c r="BS158" s="2" t="s">
        <v>113</v>
      </c>
      <c r="BT158" s="2" t="s">
        <v>113</v>
      </c>
      <c r="BU158" s="2" t="s">
        <v>113</v>
      </c>
      <c r="BV158" s="2" t="s">
        <v>113</v>
      </c>
      <c r="BW158" s="2" t="s">
        <v>113</v>
      </c>
      <c r="BX158" s="2" t="s">
        <v>113</v>
      </c>
      <c r="BY158" s="2" t="s">
        <v>113</v>
      </c>
      <c r="BZ158" s="2" t="s">
        <v>113</v>
      </c>
      <c r="CA158" s="2" t="s">
        <v>113</v>
      </c>
      <c r="CB158" s="2" t="s">
        <v>113</v>
      </c>
      <c r="CC158" s="2">
        <v>9</v>
      </c>
      <c r="CD158" s="2">
        <v>15</v>
      </c>
    </row>
    <row r="159" spans="4:82">
      <c r="D159">
        <v>26</v>
      </c>
      <c r="E159" s="2">
        <v>2</v>
      </c>
      <c r="F159" s="2">
        <v>11</v>
      </c>
      <c r="R159" s="2">
        <v>20.5</v>
      </c>
      <c r="S159" s="2">
        <f t="shared" si="8"/>
        <v>24.5</v>
      </c>
      <c r="T159" s="2">
        <v>20.5</v>
      </c>
      <c r="U159" s="2">
        <f t="shared" si="8"/>
        <v>24.5</v>
      </c>
      <c r="AB159">
        <v>72.5</v>
      </c>
      <c r="AC159" s="2" t="s">
        <v>113</v>
      </c>
      <c r="AD159" s="2" t="s">
        <v>113</v>
      </c>
      <c r="AE159" s="2" t="s">
        <v>113</v>
      </c>
      <c r="AF159" s="2" t="s">
        <v>113</v>
      </c>
      <c r="AG159" s="2" t="s">
        <v>113</v>
      </c>
      <c r="AH159" s="2" t="s">
        <v>113</v>
      </c>
      <c r="AI159" s="2" t="s">
        <v>113</v>
      </c>
      <c r="AJ159" s="2" t="s">
        <v>113</v>
      </c>
      <c r="AK159" s="2" t="s">
        <v>113</v>
      </c>
      <c r="AL159" s="2" t="s">
        <v>113</v>
      </c>
      <c r="AM159" s="2" t="s">
        <v>113</v>
      </c>
      <c r="AN159" s="2" t="s">
        <v>113</v>
      </c>
      <c r="AO159" s="2" t="s">
        <v>113</v>
      </c>
      <c r="AP159" s="2" t="s">
        <v>113</v>
      </c>
      <c r="AQ159" s="2" t="s">
        <v>113</v>
      </c>
      <c r="AR159" s="2" t="s">
        <v>113</v>
      </c>
      <c r="AS159" s="2" t="s">
        <v>113</v>
      </c>
      <c r="AT159" s="2" t="s">
        <v>113</v>
      </c>
      <c r="AU159" s="2" t="s">
        <v>113</v>
      </c>
      <c r="AV159" s="2" t="s">
        <v>113</v>
      </c>
      <c r="AW159" s="2" t="s">
        <v>113</v>
      </c>
      <c r="AX159" s="2" t="s">
        <v>113</v>
      </c>
      <c r="AY159" s="2" t="s">
        <v>113</v>
      </c>
      <c r="AZ159" s="2" t="s">
        <v>113</v>
      </c>
      <c r="BA159" s="2" t="s">
        <v>113</v>
      </c>
      <c r="BB159" s="2" t="s">
        <v>113</v>
      </c>
      <c r="BC159" s="2" t="s">
        <v>113</v>
      </c>
      <c r="BD159" s="2" t="s">
        <v>113</v>
      </c>
      <c r="BE159" s="2" t="s">
        <v>113</v>
      </c>
      <c r="BF159" s="2" t="s">
        <v>113</v>
      </c>
      <c r="BG159" s="2" t="s">
        <v>113</v>
      </c>
      <c r="BH159" s="2" t="s">
        <v>113</v>
      </c>
      <c r="BI159" s="2" t="s">
        <v>113</v>
      </c>
      <c r="BJ159" s="2" t="s">
        <v>113</v>
      </c>
      <c r="BK159" s="2" t="s">
        <v>113</v>
      </c>
      <c r="BL159" s="2" t="s">
        <v>113</v>
      </c>
      <c r="BM159" s="2" t="s">
        <v>113</v>
      </c>
      <c r="BN159" s="2" t="s">
        <v>113</v>
      </c>
      <c r="BO159" s="2" t="s">
        <v>113</v>
      </c>
      <c r="BP159" s="2" t="s">
        <v>113</v>
      </c>
      <c r="BQ159" s="2" t="s">
        <v>113</v>
      </c>
      <c r="BR159" s="2" t="s">
        <v>113</v>
      </c>
      <c r="BS159" s="2" t="s">
        <v>113</v>
      </c>
      <c r="BT159" s="2" t="s">
        <v>113</v>
      </c>
      <c r="BU159" s="2" t="s">
        <v>113</v>
      </c>
      <c r="BV159" s="2" t="s">
        <v>113</v>
      </c>
      <c r="BW159" s="2" t="s">
        <v>113</v>
      </c>
      <c r="BX159" s="2" t="s">
        <v>113</v>
      </c>
      <c r="BY159" s="2" t="s">
        <v>113</v>
      </c>
      <c r="BZ159" s="2" t="s">
        <v>113</v>
      </c>
      <c r="CA159" s="2" t="s">
        <v>113</v>
      </c>
      <c r="CB159" s="2" t="s">
        <v>113</v>
      </c>
      <c r="CC159" s="2">
        <v>9</v>
      </c>
      <c r="CD159" s="2">
        <v>15</v>
      </c>
    </row>
    <row r="160" spans="4:82">
      <c r="D160">
        <v>25</v>
      </c>
      <c r="E160" s="2">
        <v>2</v>
      </c>
      <c r="F160" s="2">
        <v>10.5</v>
      </c>
      <c r="R160" s="2">
        <v>21</v>
      </c>
      <c r="S160" s="2">
        <f t="shared" si="8"/>
        <v>25</v>
      </c>
      <c r="T160" s="2">
        <v>21</v>
      </c>
      <c r="U160" s="2">
        <f t="shared" si="8"/>
        <v>25</v>
      </c>
      <c r="AB160">
        <v>72</v>
      </c>
      <c r="AC160" s="2" t="s">
        <v>113</v>
      </c>
      <c r="AD160" s="2" t="s">
        <v>113</v>
      </c>
      <c r="AE160" s="2" t="s">
        <v>113</v>
      </c>
      <c r="AF160" s="2" t="s">
        <v>113</v>
      </c>
      <c r="AG160" s="2" t="s">
        <v>113</v>
      </c>
      <c r="AH160" s="2" t="s">
        <v>113</v>
      </c>
      <c r="AI160" s="2" t="s">
        <v>113</v>
      </c>
      <c r="AJ160" s="2" t="s">
        <v>113</v>
      </c>
      <c r="AK160" s="2" t="s">
        <v>113</v>
      </c>
      <c r="AL160" s="2" t="s">
        <v>113</v>
      </c>
      <c r="AM160" s="2" t="s">
        <v>113</v>
      </c>
      <c r="AN160" s="2" t="s">
        <v>113</v>
      </c>
      <c r="AO160" s="2" t="s">
        <v>113</v>
      </c>
      <c r="AP160" s="2" t="s">
        <v>113</v>
      </c>
      <c r="AQ160" s="2" t="s">
        <v>113</v>
      </c>
      <c r="AR160" s="2" t="s">
        <v>113</v>
      </c>
      <c r="AS160" s="2" t="s">
        <v>113</v>
      </c>
      <c r="AT160" s="2" t="s">
        <v>113</v>
      </c>
      <c r="AU160" s="2" t="s">
        <v>113</v>
      </c>
      <c r="AV160" s="2" t="s">
        <v>113</v>
      </c>
      <c r="AW160" s="2" t="s">
        <v>113</v>
      </c>
      <c r="AX160" s="2" t="s">
        <v>113</v>
      </c>
      <c r="AY160" s="2" t="s">
        <v>113</v>
      </c>
      <c r="AZ160" s="2" t="s">
        <v>113</v>
      </c>
      <c r="BA160" s="2" t="s">
        <v>113</v>
      </c>
      <c r="BB160" s="2" t="s">
        <v>113</v>
      </c>
      <c r="BC160" s="2" t="s">
        <v>113</v>
      </c>
      <c r="BD160" s="2" t="s">
        <v>113</v>
      </c>
      <c r="BE160" s="2" t="s">
        <v>113</v>
      </c>
      <c r="BF160" s="2" t="s">
        <v>113</v>
      </c>
      <c r="BG160" s="2" t="s">
        <v>113</v>
      </c>
      <c r="BH160" s="2" t="s">
        <v>113</v>
      </c>
      <c r="BI160" s="2" t="s">
        <v>113</v>
      </c>
      <c r="BJ160" s="2" t="s">
        <v>113</v>
      </c>
      <c r="BK160" s="2" t="s">
        <v>113</v>
      </c>
      <c r="BL160" s="2" t="s">
        <v>113</v>
      </c>
      <c r="BM160" s="2" t="s">
        <v>113</v>
      </c>
      <c r="BN160" s="2" t="s">
        <v>113</v>
      </c>
      <c r="BO160" s="2" t="s">
        <v>113</v>
      </c>
      <c r="BP160" s="2" t="s">
        <v>113</v>
      </c>
      <c r="BQ160" s="2" t="s">
        <v>113</v>
      </c>
      <c r="BR160" s="2" t="s">
        <v>113</v>
      </c>
      <c r="BS160" s="2" t="s">
        <v>113</v>
      </c>
      <c r="BT160" s="2" t="s">
        <v>113</v>
      </c>
      <c r="BU160" s="2" t="s">
        <v>113</v>
      </c>
      <c r="BV160" s="2" t="s">
        <v>113</v>
      </c>
      <c r="BW160" s="2" t="s">
        <v>113</v>
      </c>
      <c r="BX160" s="2" t="s">
        <v>113</v>
      </c>
      <c r="BY160" s="2" t="s">
        <v>113</v>
      </c>
      <c r="BZ160" s="2" t="s">
        <v>113</v>
      </c>
      <c r="CA160" s="2" t="s">
        <v>113</v>
      </c>
      <c r="CB160" s="2" t="s">
        <v>113</v>
      </c>
      <c r="CC160" s="2">
        <v>9</v>
      </c>
      <c r="CD160" s="2">
        <v>15</v>
      </c>
    </row>
    <row r="161" spans="4:82">
      <c r="D161">
        <v>24</v>
      </c>
      <c r="E161" s="2">
        <v>2</v>
      </c>
      <c r="F161" s="2">
        <v>10</v>
      </c>
      <c r="R161" s="2">
        <v>21.5</v>
      </c>
      <c r="S161" s="2">
        <f t="shared" si="8"/>
        <v>25.5</v>
      </c>
      <c r="T161" s="2">
        <v>21.5</v>
      </c>
      <c r="U161" s="2">
        <f t="shared" si="8"/>
        <v>25.5</v>
      </c>
      <c r="AB161">
        <v>71.5</v>
      </c>
      <c r="AC161" s="2" t="s">
        <v>113</v>
      </c>
      <c r="AD161" s="2" t="s">
        <v>113</v>
      </c>
      <c r="AE161" s="2" t="s">
        <v>113</v>
      </c>
      <c r="AF161" s="2" t="s">
        <v>113</v>
      </c>
      <c r="AG161" s="2" t="s">
        <v>113</v>
      </c>
      <c r="AH161" s="2" t="s">
        <v>113</v>
      </c>
      <c r="AI161" s="2" t="s">
        <v>113</v>
      </c>
      <c r="AJ161" s="2" t="s">
        <v>113</v>
      </c>
      <c r="AK161" s="2" t="s">
        <v>113</v>
      </c>
      <c r="AL161" s="2" t="s">
        <v>113</v>
      </c>
      <c r="AM161" s="2" t="s">
        <v>113</v>
      </c>
      <c r="AN161" s="2" t="s">
        <v>113</v>
      </c>
      <c r="AO161" s="2" t="s">
        <v>113</v>
      </c>
      <c r="AP161" s="2" t="s">
        <v>113</v>
      </c>
      <c r="AQ161" s="2" t="s">
        <v>113</v>
      </c>
      <c r="AR161" s="2" t="s">
        <v>113</v>
      </c>
      <c r="AS161" s="2" t="s">
        <v>113</v>
      </c>
      <c r="AT161" s="2" t="s">
        <v>113</v>
      </c>
      <c r="AU161" s="2" t="s">
        <v>113</v>
      </c>
      <c r="AV161" s="2" t="s">
        <v>113</v>
      </c>
      <c r="AW161" s="2" t="s">
        <v>113</v>
      </c>
      <c r="AX161" s="2" t="s">
        <v>113</v>
      </c>
      <c r="AY161" s="2" t="s">
        <v>113</v>
      </c>
      <c r="AZ161" s="2" t="s">
        <v>113</v>
      </c>
      <c r="BA161" s="2" t="s">
        <v>113</v>
      </c>
      <c r="BB161" s="2" t="s">
        <v>113</v>
      </c>
      <c r="BC161" s="2" t="s">
        <v>113</v>
      </c>
      <c r="BD161" s="2" t="s">
        <v>113</v>
      </c>
      <c r="BE161" s="2" t="s">
        <v>113</v>
      </c>
      <c r="BF161" s="2" t="s">
        <v>113</v>
      </c>
      <c r="BG161" s="2" t="s">
        <v>113</v>
      </c>
      <c r="BH161" s="2" t="s">
        <v>113</v>
      </c>
      <c r="BI161" s="2" t="s">
        <v>113</v>
      </c>
      <c r="BJ161" s="2" t="s">
        <v>113</v>
      </c>
      <c r="BK161" s="2" t="s">
        <v>113</v>
      </c>
      <c r="BL161" s="2" t="s">
        <v>113</v>
      </c>
      <c r="BM161" s="2" t="s">
        <v>113</v>
      </c>
      <c r="BN161" s="2" t="s">
        <v>113</v>
      </c>
      <c r="BO161" s="2" t="s">
        <v>113</v>
      </c>
      <c r="BP161" s="2" t="s">
        <v>113</v>
      </c>
      <c r="BQ161" s="2" t="s">
        <v>113</v>
      </c>
      <c r="BR161" s="2" t="s">
        <v>113</v>
      </c>
      <c r="BS161" s="2" t="s">
        <v>113</v>
      </c>
      <c r="BT161" s="2" t="s">
        <v>113</v>
      </c>
      <c r="BU161" s="2" t="s">
        <v>113</v>
      </c>
      <c r="BV161" s="2" t="s">
        <v>113</v>
      </c>
      <c r="BW161" s="2" t="s">
        <v>113</v>
      </c>
      <c r="BX161" s="2" t="s">
        <v>113</v>
      </c>
      <c r="BY161" s="2" t="s">
        <v>113</v>
      </c>
      <c r="BZ161" s="2" t="s">
        <v>113</v>
      </c>
      <c r="CA161" s="2" t="s">
        <v>113</v>
      </c>
      <c r="CB161" s="2" t="s">
        <v>113</v>
      </c>
      <c r="CC161" s="2">
        <v>9</v>
      </c>
      <c r="CD161" s="2">
        <v>15</v>
      </c>
    </row>
    <row r="162" spans="4:82">
      <c r="D162">
        <v>23</v>
      </c>
      <c r="E162" s="2">
        <v>2</v>
      </c>
      <c r="F162" s="2">
        <v>9.5</v>
      </c>
      <c r="R162" s="2">
        <v>22</v>
      </c>
      <c r="S162" s="2">
        <f t="shared" si="8"/>
        <v>26</v>
      </c>
      <c r="T162" s="2">
        <v>22</v>
      </c>
      <c r="U162" s="2">
        <f t="shared" si="8"/>
        <v>26</v>
      </c>
      <c r="AB162">
        <v>71</v>
      </c>
      <c r="AC162" s="2" t="s">
        <v>113</v>
      </c>
      <c r="AD162" s="2" t="s">
        <v>113</v>
      </c>
      <c r="AE162" s="2" t="s">
        <v>113</v>
      </c>
      <c r="AF162" s="2" t="s">
        <v>113</v>
      </c>
      <c r="AG162" s="2" t="s">
        <v>113</v>
      </c>
      <c r="AH162" s="2" t="s">
        <v>113</v>
      </c>
      <c r="AI162" s="2" t="s">
        <v>113</v>
      </c>
      <c r="AJ162" s="2" t="s">
        <v>113</v>
      </c>
      <c r="AK162" s="2" t="s">
        <v>113</v>
      </c>
      <c r="AL162" s="2" t="s">
        <v>113</v>
      </c>
      <c r="AM162" s="2" t="s">
        <v>113</v>
      </c>
      <c r="AN162" s="2" t="s">
        <v>113</v>
      </c>
      <c r="AO162" s="2" t="s">
        <v>113</v>
      </c>
      <c r="AP162" s="2" t="s">
        <v>113</v>
      </c>
      <c r="AQ162" s="2" t="s">
        <v>113</v>
      </c>
      <c r="AR162" s="2" t="s">
        <v>113</v>
      </c>
      <c r="AS162" s="2" t="s">
        <v>113</v>
      </c>
      <c r="AT162" s="2" t="s">
        <v>113</v>
      </c>
      <c r="AU162" s="2" t="s">
        <v>113</v>
      </c>
      <c r="AV162" s="2" t="s">
        <v>113</v>
      </c>
      <c r="AW162" s="2" t="s">
        <v>113</v>
      </c>
      <c r="AX162" s="2" t="s">
        <v>113</v>
      </c>
      <c r="AY162" s="2" t="s">
        <v>113</v>
      </c>
      <c r="AZ162" s="2" t="s">
        <v>113</v>
      </c>
      <c r="BA162" s="2" t="s">
        <v>113</v>
      </c>
      <c r="BB162" s="2" t="s">
        <v>113</v>
      </c>
      <c r="BC162" s="2" t="s">
        <v>113</v>
      </c>
      <c r="BD162" s="2" t="s">
        <v>113</v>
      </c>
      <c r="BE162" s="2" t="s">
        <v>113</v>
      </c>
      <c r="BF162" s="2" t="s">
        <v>113</v>
      </c>
      <c r="BG162" s="2" t="s">
        <v>113</v>
      </c>
      <c r="BH162" s="2" t="s">
        <v>113</v>
      </c>
      <c r="BI162" s="2" t="s">
        <v>113</v>
      </c>
      <c r="BJ162" s="2" t="s">
        <v>113</v>
      </c>
      <c r="BK162" s="2" t="s">
        <v>113</v>
      </c>
      <c r="BL162" s="2" t="s">
        <v>113</v>
      </c>
      <c r="BM162" s="2" t="s">
        <v>113</v>
      </c>
      <c r="BN162" s="2" t="s">
        <v>113</v>
      </c>
      <c r="BO162" s="2" t="s">
        <v>113</v>
      </c>
      <c r="BP162" s="2" t="s">
        <v>113</v>
      </c>
      <c r="BQ162" s="2" t="s">
        <v>113</v>
      </c>
      <c r="BR162" s="2" t="s">
        <v>113</v>
      </c>
      <c r="BS162" s="2" t="s">
        <v>113</v>
      </c>
      <c r="BT162" s="2" t="s">
        <v>113</v>
      </c>
      <c r="BU162" s="2" t="s">
        <v>113</v>
      </c>
      <c r="BV162" s="2" t="s">
        <v>113</v>
      </c>
      <c r="BW162" s="2" t="s">
        <v>113</v>
      </c>
      <c r="BX162" s="2" t="s">
        <v>113</v>
      </c>
      <c r="BY162" s="2" t="s">
        <v>113</v>
      </c>
      <c r="BZ162" s="2" t="s">
        <v>113</v>
      </c>
      <c r="CA162" s="2" t="s">
        <v>113</v>
      </c>
      <c r="CB162" s="2" t="s">
        <v>113</v>
      </c>
      <c r="CC162" s="2">
        <v>9</v>
      </c>
      <c r="CD162" s="2">
        <v>15</v>
      </c>
    </row>
    <row r="163" spans="4:82">
      <c r="D163">
        <v>22</v>
      </c>
      <c r="E163" s="2">
        <v>2</v>
      </c>
      <c r="F163" s="2">
        <v>9</v>
      </c>
      <c r="R163" s="2">
        <v>22.5</v>
      </c>
      <c r="S163" s="2">
        <f t="shared" si="8"/>
        <v>26.5</v>
      </c>
      <c r="T163" s="2">
        <v>22.5</v>
      </c>
      <c r="U163" s="2">
        <f t="shared" si="8"/>
        <v>26.5</v>
      </c>
      <c r="AB163">
        <v>70.5</v>
      </c>
      <c r="AC163" s="2" t="s">
        <v>113</v>
      </c>
      <c r="AD163" s="2" t="s">
        <v>113</v>
      </c>
      <c r="AE163" s="2" t="s">
        <v>113</v>
      </c>
      <c r="AF163" s="2" t="s">
        <v>113</v>
      </c>
      <c r="AG163" s="2" t="s">
        <v>113</v>
      </c>
      <c r="AH163" s="2" t="s">
        <v>113</v>
      </c>
      <c r="AI163" s="2" t="s">
        <v>113</v>
      </c>
      <c r="AJ163" s="2" t="s">
        <v>113</v>
      </c>
      <c r="AK163" s="2" t="s">
        <v>113</v>
      </c>
      <c r="AL163" s="2" t="s">
        <v>113</v>
      </c>
      <c r="AM163" s="2" t="s">
        <v>113</v>
      </c>
      <c r="AN163" s="2" t="s">
        <v>113</v>
      </c>
      <c r="AO163" s="2" t="s">
        <v>113</v>
      </c>
      <c r="AP163" s="2" t="s">
        <v>113</v>
      </c>
      <c r="AQ163" s="2" t="s">
        <v>113</v>
      </c>
      <c r="AR163" s="2" t="s">
        <v>113</v>
      </c>
      <c r="AS163" s="2" t="s">
        <v>113</v>
      </c>
      <c r="AT163" s="2" t="s">
        <v>113</v>
      </c>
      <c r="AU163" s="2" t="s">
        <v>113</v>
      </c>
      <c r="AV163" s="2" t="s">
        <v>113</v>
      </c>
      <c r="AW163" s="2" t="s">
        <v>113</v>
      </c>
      <c r="AX163" s="2" t="s">
        <v>113</v>
      </c>
      <c r="AY163" s="2" t="s">
        <v>113</v>
      </c>
      <c r="AZ163" s="2" t="s">
        <v>113</v>
      </c>
      <c r="BA163" s="2" t="s">
        <v>113</v>
      </c>
      <c r="BB163" s="2" t="s">
        <v>113</v>
      </c>
      <c r="BC163" s="2" t="s">
        <v>113</v>
      </c>
      <c r="BD163" s="2" t="s">
        <v>113</v>
      </c>
      <c r="BE163" s="2" t="s">
        <v>113</v>
      </c>
      <c r="BF163" s="2" t="s">
        <v>113</v>
      </c>
      <c r="BG163" s="2" t="s">
        <v>113</v>
      </c>
      <c r="BH163" s="2" t="s">
        <v>113</v>
      </c>
      <c r="BI163" s="2" t="s">
        <v>113</v>
      </c>
      <c r="BJ163" s="2" t="s">
        <v>113</v>
      </c>
      <c r="BK163" s="2" t="s">
        <v>113</v>
      </c>
      <c r="BL163" s="2" t="s">
        <v>113</v>
      </c>
      <c r="BM163" s="2" t="s">
        <v>113</v>
      </c>
      <c r="BN163" s="2" t="s">
        <v>113</v>
      </c>
      <c r="BO163" s="2" t="s">
        <v>113</v>
      </c>
      <c r="BP163" s="2" t="s">
        <v>113</v>
      </c>
      <c r="BQ163" s="2" t="s">
        <v>113</v>
      </c>
      <c r="BR163" s="2" t="s">
        <v>113</v>
      </c>
      <c r="BS163" s="2" t="s">
        <v>113</v>
      </c>
      <c r="BT163" s="2" t="s">
        <v>113</v>
      </c>
      <c r="BU163" s="2" t="s">
        <v>113</v>
      </c>
      <c r="BV163" s="2" t="s">
        <v>113</v>
      </c>
      <c r="BW163" s="2" t="s">
        <v>113</v>
      </c>
      <c r="BX163" s="2" t="s">
        <v>113</v>
      </c>
      <c r="BY163" s="2" t="s">
        <v>113</v>
      </c>
      <c r="BZ163" s="2" t="s">
        <v>113</v>
      </c>
      <c r="CA163" s="2" t="s">
        <v>113</v>
      </c>
      <c r="CB163" s="2" t="s">
        <v>113</v>
      </c>
      <c r="CC163" s="2">
        <v>9</v>
      </c>
      <c r="CD163" s="2">
        <v>15</v>
      </c>
    </row>
    <row r="164" spans="4:82">
      <c r="D164">
        <v>21</v>
      </c>
      <c r="E164" s="2">
        <v>2</v>
      </c>
      <c r="F164" s="2">
        <v>8.5</v>
      </c>
      <c r="R164" s="2">
        <v>23</v>
      </c>
      <c r="S164" s="2">
        <f t="shared" si="8"/>
        <v>27</v>
      </c>
      <c r="T164" s="2">
        <v>23</v>
      </c>
      <c r="U164" s="2">
        <f t="shared" si="8"/>
        <v>27</v>
      </c>
      <c r="AB164">
        <v>70</v>
      </c>
      <c r="AC164" s="2" t="s">
        <v>113</v>
      </c>
      <c r="AD164" s="2" t="s">
        <v>113</v>
      </c>
      <c r="AE164" s="2" t="s">
        <v>113</v>
      </c>
      <c r="AF164" s="2" t="s">
        <v>113</v>
      </c>
      <c r="AG164" s="2" t="s">
        <v>113</v>
      </c>
      <c r="AH164" s="2" t="s">
        <v>113</v>
      </c>
      <c r="AI164" s="2" t="s">
        <v>113</v>
      </c>
      <c r="AJ164" s="2" t="s">
        <v>113</v>
      </c>
      <c r="AK164" s="2" t="s">
        <v>113</v>
      </c>
      <c r="AL164" s="2" t="s">
        <v>113</v>
      </c>
      <c r="AM164" s="2" t="s">
        <v>113</v>
      </c>
      <c r="AN164" s="2" t="s">
        <v>113</v>
      </c>
      <c r="AO164" s="2" t="s">
        <v>113</v>
      </c>
      <c r="AP164" s="2" t="s">
        <v>113</v>
      </c>
      <c r="AQ164" s="2" t="s">
        <v>113</v>
      </c>
      <c r="AR164" s="2" t="s">
        <v>113</v>
      </c>
      <c r="AS164" s="2" t="s">
        <v>113</v>
      </c>
      <c r="AT164" s="2" t="s">
        <v>113</v>
      </c>
      <c r="AU164" s="2" t="s">
        <v>113</v>
      </c>
      <c r="AV164" s="2" t="s">
        <v>113</v>
      </c>
      <c r="AW164" s="2" t="s">
        <v>113</v>
      </c>
      <c r="AX164" s="2" t="s">
        <v>113</v>
      </c>
      <c r="AY164" s="2" t="s">
        <v>113</v>
      </c>
      <c r="AZ164" s="2" t="s">
        <v>113</v>
      </c>
      <c r="BA164" s="2" t="s">
        <v>113</v>
      </c>
      <c r="BB164" s="2" t="s">
        <v>113</v>
      </c>
      <c r="BC164" s="2" t="s">
        <v>113</v>
      </c>
      <c r="BD164" s="2" t="s">
        <v>113</v>
      </c>
      <c r="BE164" s="2" t="s">
        <v>113</v>
      </c>
      <c r="BF164" s="2" t="s">
        <v>113</v>
      </c>
      <c r="BG164" s="2" t="s">
        <v>113</v>
      </c>
      <c r="BH164" s="2" t="s">
        <v>113</v>
      </c>
      <c r="BI164" s="2" t="s">
        <v>113</v>
      </c>
      <c r="BJ164" s="2" t="s">
        <v>113</v>
      </c>
      <c r="BK164" s="2" t="s">
        <v>113</v>
      </c>
      <c r="BL164" s="2" t="s">
        <v>113</v>
      </c>
      <c r="BM164" s="2" t="s">
        <v>113</v>
      </c>
      <c r="BN164" s="2" t="s">
        <v>113</v>
      </c>
      <c r="BO164" s="2" t="s">
        <v>113</v>
      </c>
      <c r="BP164" s="2" t="s">
        <v>113</v>
      </c>
      <c r="BQ164" s="2" t="s">
        <v>113</v>
      </c>
      <c r="BR164" s="2" t="s">
        <v>113</v>
      </c>
      <c r="BS164" s="2" t="s">
        <v>113</v>
      </c>
      <c r="BT164" s="2" t="s">
        <v>113</v>
      </c>
      <c r="BU164" s="2" t="s">
        <v>113</v>
      </c>
      <c r="BV164" s="2" t="s">
        <v>113</v>
      </c>
      <c r="BW164" s="2" t="s">
        <v>113</v>
      </c>
      <c r="BX164" s="2" t="s">
        <v>113</v>
      </c>
      <c r="BY164" s="2" t="s">
        <v>113</v>
      </c>
      <c r="BZ164" s="2" t="s">
        <v>113</v>
      </c>
      <c r="CA164" s="2" t="s">
        <v>113</v>
      </c>
      <c r="CB164" s="2" t="s">
        <v>113</v>
      </c>
      <c r="CC164" s="2">
        <v>20</v>
      </c>
      <c r="CD164" s="2">
        <v>30</v>
      </c>
    </row>
    <row r="165" spans="4:82">
      <c r="D165">
        <v>20</v>
      </c>
      <c r="E165" s="2">
        <v>2</v>
      </c>
      <c r="F165" s="2">
        <v>8</v>
      </c>
      <c r="R165" s="2">
        <v>23.5</v>
      </c>
      <c r="S165" s="2">
        <f t="shared" si="8"/>
        <v>27.5</v>
      </c>
      <c r="T165" s="2">
        <v>23.5</v>
      </c>
      <c r="U165" s="2">
        <f t="shared" si="8"/>
        <v>27.5</v>
      </c>
      <c r="AB165">
        <v>69.5</v>
      </c>
      <c r="AC165" s="2" t="s">
        <v>113</v>
      </c>
      <c r="AD165" s="2" t="s">
        <v>113</v>
      </c>
      <c r="AE165" s="2" t="s">
        <v>113</v>
      </c>
      <c r="AF165" s="2" t="s">
        <v>113</v>
      </c>
      <c r="AG165" s="2" t="s">
        <v>113</v>
      </c>
      <c r="AH165" s="2" t="s">
        <v>113</v>
      </c>
      <c r="AI165" s="2" t="s">
        <v>113</v>
      </c>
      <c r="AJ165" s="2" t="s">
        <v>113</v>
      </c>
      <c r="AK165" s="2" t="s">
        <v>113</v>
      </c>
      <c r="AL165" s="2" t="s">
        <v>113</v>
      </c>
      <c r="AM165" s="2" t="s">
        <v>113</v>
      </c>
      <c r="AN165" s="2" t="s">
        <v>113</v>
      </c>
      <c r="AO165" s="2" t="s">
        <v>113</v>
      </c>
      <c r="AP165" s="2" t="s">
        <v>113</v>
      </c>
      <c r="AQ165" s="2" t="s">
        <v>113</v>
      </c>
      <c r="AR165" s="2" t="s">
        <v>113</v>
      </c>
      <c r="AS165" s="2" t="s">
        <v>113</v>
      </c>
      <c r="AT165" s="2" t="s">
        <v>113</v>
      </c>
      <c r="AU165" s="2" t="s">
        <v>113</v>
      </c>
      <c r="AV165" s="2" t="s">
        <v>113</v>
      </c>
      <c r="AW165" s="2" t="s">
        <v>113</v>
      </c>
      <c r="AX165" s="2" t="s">
        <v>113</v>
      </c>
      <c r="AY165" s="2" t="s">
        <v>113</v>
      </c>
      <c r="AZ165" s="2" t="s">
        <v>113</v>
      </c>
      <c r="BA165" s="2" t="s">
        <v>113</v>
      </c>
      <c r="BB165" s="2" t="s">
        <v>113</v>
      </c>
      <c r="BC165" s="2" t="s">
        <v>113</v>
      </c>
      <c r="BD165" s="2" t="s">
        <v>113</v>
      </c>
      <c r="BE165" s="2" t="s">
        <v>113</v>
      </c>
      <c r="BF165" s="2" t="s">
        <v>113</v>
      </c>
      <c r="BG165" s="2" t="s">
        <v>113</v>
      </c>
      <c r="BH165" s="2" t="s">
        <v>113</v>
      </c>
      <c r="BI165" s="2" t="s">
        <v>113</v>
      </c>
      <c r="BJ165" s="2" t="s">
        <v>113</v>
      </c>
      <c r="BK165" s="2" t="s">
        <v>113</v>
      </c>
      <c r="BL165" s="2" t="s">
        <v>113</v>
      </c>
      <c r="BM165" s="2" t="s">
        <v>113</v>
      </c>
      <c r="BN165" s="2" t="s">
        <v>113</v>
      </c>
      <c r="BO165" s="2" t="s">
        <v>113</v>
      </c>
      <c r="BP165" s="2" t="s">
        <v>113</v>
      </c>
      <c r="BQ165" s="2" t="s">
        <v>113</v>
      </c>
      <c r="BR165" s="2" t="s">
        <v>113</v>
      </c>
      <c r="BS165" s="2" t="s">
        <v>113</v>
      </c>
      <c r="BT165" s="2" t="s">
        <v>113</v>
      </c>
      <c r="BU165" s="2" t="s">
        <v>113</v>
      </c>
      <c r="BV165" s="2" t="s">
        <v>113</v>
      </c>
      <c r="BW165" s="2" t="s">
        <v>113</v>
      </c>
      <c r="BX165" s="2" t="s">
        <v>113</v>
      </c>
      <c r="BY165" s="2" t="s">
        <v>113</v>
      </c>
      <c r="BZ165" s="2" t="s">
        <v>113</v>
      </c>
      <c r="CA165" s="2" t="s">
        <v>113</v>
      </c>
      <c r="CB165" s="2" t="s">
        <v>113</v>
      </c>
      <c r="CD165" s="2">
        <v>30</v>
      </c>
    </row>
    <row r="166" spans="4:82">
      <c r="D166">
        <v>19</v>
      </c>
      <c r="E166" s="2">
        <v>2</v>
      </c>
      <c r="F166" s="2">
        <v>7.5</v>
      </c>
      <c r="R166" s="2">
        <v>24</v>
      </c>
      <c r="S166" s="2">
        <f t="shared" si="8"/>
        <v>28</v>
      </c>
      <c r="T166" s="2">
        <v>24</v>
      </c>
      <c r="U166" s="2">
        <f t="shared" si="8"/>
        <v>28</v>
      </c>
      <c r="AB166">
        <v>69</v>
      </c>
      <c r="AC166" s="2" t="s">
        <v>113</v>
      </c>
      <c r="AD166" s="2" t="s">
        <v>113</v>
      </c>
      <c r="AE166" s="2" t="s">
        <v>113</v>
      </c>
      <c r="AF166" s="2" t="s">
        <v>113</v>
      </c>
      <c r="AG166" s="2" t="s">
        <v>113</v>
      </c>
      <c r="AH166" s="2" t="s">
        <v>113</v>
      </c>
      <c r="AI166" s="2" t="s">
        <v>113</v>
      </c>
      <c r="AJ166" s="2" t="s">
        <v>113</v>
      </c>
      <c r="AK166" s="2" t="s">
        <v>113</v>
      </c>
      <c r="AL166" s="2" t="s">
        <v>113</v>
      </c>
      <c r="AM166" s="2" t="s">
        <v>113</v>
      </c>
      <c r="AN166" s="2" t="s">
        <v>113</v>
      </c>
      <c r="AO166" s="2" t="s">
        <v>113</v>
      </c>
      <c r="AP166" s="2" t="s">
        <v>113</v>
      </c>
      <c r="AQ166" s="2" t="s">
        <v>113</v>
      </c>
      <c r="AR166" s="2" t="s">
        <v>113</v>
      </c>
      <c r="AS166" s="2" t="s">
        <v>113</v>
      </c>
      <c r="AT166" s="2" t="s">
        <v>113</v>
      </c>
      <c r="AU166" s="2" t="s">
        <v>113</v>
      </c>
      <c r="AV166" s="2" t="s">
        <v>113</v>
      </c>
      <c r="AW166" s="2" t="s">
        <v>113</v>
      </c>
      <c r="AX166" s="2" t="s">
        <v>113</v>
      </c>
      <c r="AY166" s="2" t="s">
        <v>113</v>
      </c>
      <c r="AZ166" s="2" t="s">
        <v>113</v>
      </c>
      <c r="BA166" s="2" t="s">
        <v>113</v>
      </c>
      <c r="BB166" s="2" t="s">
        <v>113</v>
      </c>
      <c r="BC166" s="2" t="s">
        <v>113</v>
      </c>
      <c r="BD166" s="2" t="s">
        <v>113</v>
      </c>
      <c r="BE166" s="2" t="s">
        <v>113</v>
      </c>
      <c r="BF166" s="2" t="s">
        <v>113</v>
      </c>
      <c r="BG166" s="2" t="s">
        <v>113</v>
      </c>
      <c r="BH166" s="2" t="s">
        <v>113</v>
      </c>
      <c r="BI166" s="2" t="s">
        <v>113</v>
      </c>
      <c r="BJ166" s="2" t="s">
        <v>113</v>
      </c>
      <c r="BK166" s="2" t="s">
        <v>113</v>
      </c>
      <c r="BL166" s="2" t="s">
        <v>113</v>
      </c>
      <c r="BM166" s="2" t="s">
        <v>113</v>
      </c>
      <c r="BN166" s="2" t="s">
        <v>113</v>
      </c>
      <c r="BO166" s="2" t="s">
        <v>113</v>
      </c>
      <c r="BP166" s="2" t="s">
        <v>113</v>
      </c>
      <c r="BQ166" s="2" t="s">
        <v>113</v>
      </c>
      <c r="BR166" s="2" t="s">
        <v>113</v>
      </c>
      <c r="BS166" s="2" t="s">
        <v>113</v>
      </c>
      <c r="BT166" s="2" t="s">
        <v>113</v>
      </c>
      <c r="BU166" s="2" t="s">
        <v>113</v>
      </c>
      <c r="BV166" s="2" t="s">
        <v>113</v>
      </c>
      <c r="BW166" s="2" t="s">
        <v>113</v>
      </c>
      <c r="BX166" s="2" t="s">
        <v>113</v>
      </c>
      <c r="BY166" s="2" t="s">
        <v>113</v>
      </c>
      <c r="BZ166" s="2" t="s">
        <v>113</v>
      </c>
      <c r="CA166" s="2" t="s">
        <v>113</v>
      </c>
      <c r="CB166" s="2" t="s">
        <v>113</v>
      </c>
      <c r="CD166" s="2">
        <v>30</v>
      </c>
    </row>
    <row r="167" spans="4:82">
      <c r="D167">
        <v>18</v>
      </c>
      <c r="E167" s="2">
        <v>2</v>
      </c>
      <c r="F167" s="2">
        <v>7</v>
      </c>
      <c r="R167" s="2">
        <v>24.5</v>
      </c>
      <c r="S167" s="2">
        <f t="shared" si="8"/>
        <v>28.5</v>
      </c>
      <c r="T167" s="2">
        <v>24.5</v>
      </c>
      <c r="U167" s="2">
        <f t="shared" si="8"/>
        <v>28.5</v>
      </c>
      <c r="AB167">
        <v>68.5</v>
      </c>
      <c r="AC167" s="2" t="s">
        <v>113</v>
      </c>
      <c r="AD167" s="2" t="s">
        <v>113</v>
      </c>
      <c r="AE167" s="2" t="s">
        <v>113</v>
      </c>
      <c r="AF167" s="2" t="s">
        <v>113</v>
      </c>
      <c r="AG167" s="2" t="s">
        <v>113</v>
      </c>
      <c r="AH167" s="2" t="s">
        <v>113</v>
      </c>
      <c r="AI167" s="2" t="s">
        <v>113</v>
      </c>
      <c r="AJ167" s="2" t="s">
        <v>113</v>
      </c>
      <c r="AK167" s="2" t="s">
        <v>113</v>
      </c>
      <c r="AL167" s="2" t="s">
        <v>113</v>
      </c>
      <c r="AM167" s="2" t="s">
        <v>113</v>
      </c>
      <c r="AN167" s="2" t="s">
        <v>113</v>
      </c>
      <c r="AO167" s="2" t="s">
        <v>113</v>
      </c>
      <c r="AP167" s="2" t="s">
        <v>113</v>
      </c>
      <c r="AQ167" s="2" t="s">
        <v>113</v>
      </c>
      <c r="AR167" s="2" t="s">
        <v>113</v>
      </c>
      <c r="AS167" s="2" t="s">
        <v>113</v>
      </c>
      <c r="AT167" s="2" t="s">
        <v>113</v>
      </c>
      <c r="AU167" s="2" t="s">
        <v>113</v>
      </c>
      <c r="AV167" s="2" t="s">
        <v>113</v>
      </c>
      <c r="AW167" s="2" t="s">
        <v>113</v>
      </c>
      <c r="AX167" s="2" t="s">
        <v>113</v>
      </c>
      <c r="AY167" s="2" t="s">
        <v>113</v>
      </c>
      <c r="AZ167" s="2" t="s">
        <v>113</v>
      </c>
      <c r="BA167" s="2" t="s">
        <v>113</v>
      </c>
      <c r="BB167" s="2" t="s">
        <v>113</v>
      </c>
      <c r="BC167" s="2" t="s">
        <v>113</v>
      </c>
      <c r="BD167" s="2" t="s">
        <v>113</v>
      </c>
      <c r="BE167" s="2" t="s">
        <v>113</v>
      </c>
      <c r="BF167" s="2" t="s">
        <v>113</v>
      </c>
      <c r="BG167" s="2" t="s">
        <v>113</v>
      </c>
      <c r="BH167" s="2" t="s">
        <v>113</v>
      </c>
      <c r="BI167" s="2" t="s">
        <v>113</v>
      </c>
      <c r="BJ167" s="2" t="s">
        <v>113</v>
      </c>
      <c r="BK167" s="2" t="s">
        <v>113</v>
      </c>
      <c r="BL167" s="2" t="s">
        <v>113</v>
      </c>
      <c r="BM167" s="2" t="s">
        <v>113</v>
      </c>
      <c r="BN167" s="2" t="s">
        <v>113</v>
      </c>
      <c r="BO167" s="2" t="s">
        <v>113</v>
      </c>
      <c r="BP167" s="2" t="s">
        <v>113</v>
      </c>
      <c r="BQ167" s="2" t="s">
        <v>113</v>
      </c>
      <c r="BR167" s="2" t="s">
        <v>113</v>
      </c>
      <c r="BS167" s="2" t="s">
        <v>113</v>
      </c>
      <c r="BT167" s="2" t="s">
        <v>113</v>
      </c>
      <c r="BU167" s="2" t="s">
        <v>113</v>
      </c>
      <c r="BV167" s="2" t="s">
        <v>113</v>
      </c>
      <c r="BW167" s="2" t="s">
        <v>113</v>
      </c>
      <c r="BX167" s="2" t="s">
        <v>113</v>
      </c>
      <c r="BY167" s="2" t="s">
        <v>113</v>
      </c>
      <c r="BZ167" s="2" t="s">
        <v>113</v>
      </c>
      <c r="CA167" s="2" t="s">
        <v>113</v>
      </c>
      <c r="CB167" s="2" t="s">
        <v>113</v>
      </c>
      <c r="CD167" s="2">
        <v>30</v>
      </c>
    </row>
    <row r="168" spans="4:82">
      <c r="D168">
        <v>17</v>
      </c>
      <c r="E168" s="2">
        <v>2</v>
      </c>
      <c r="F168" s="2">
        <v>6.5</v>
      </c>
      <c r="R168" s="2">
        <v>25</v>
      </c>
      <c r="S168" s="2">
        <f t="shared" si="8"/>
        <v>29</v>
      </c>
      <c r="T168" s="2">
        <v>25</v>
      </c>
      <c r="U168" s="2">
        <f t="shared" si="8"/>
        <v>29</v>
      </c>
      <c r="AB168">
        <v>68</v>
      </c>
      <c r="AC168" s="2" t="s">
        <v>113</v>
      </c>
      <c r="AD168" s="2" t="s">
        <v>113</v>
      </c>
      <c r="AE168" s="2" t="s">
        <v>113</v>
      </c>
      <c r="AF168" s="2" t="s">
        <v>113</v>
      </c>
      <c r="AG168" s="2" t="s">
        <v>113</v>
      </c>
      <c r="AH168" s="2" t="s">
        <v>113</v>
      </c>
      <c r="AI168" s="2" t="s">
        <v>113</v>
      </c>
      <c r="AJ168" s="2" t="s">
        <v>113</v>
      </c>
      <c r="AK168" s="2" t="s">
        <v>113</v>
      </c>
      <c r="AL168" s="2" t="s">
        <v>113</v>
      </c>
      <c r="AM168" s="2" t="s">
        <v>113</v>
      </c>
      <c r="AN168" s="2" t="s">
        <v>113</v>
      </c>
      <c r="AO168" s="2" t="s">
        <v>113</v>
      </c>
      <c r="AP168" s="2" t="s">
        <v>113</v>
      </c>
      <c r="AQ168" s="2" t="s">
        <v>113</v>
      </c>
      <c r="AR168" s="2" t="s">
        <v>113</v>
      </c>
      <c r="AS168" s="2" t="s">
        <v>113</v>
      </c>
      <c r="AT168" s="2" t="s">
        <v>113</v>
      </c>
      <c r="AU168" s="2" t="s">
        <v>113</v>
      </c>
      <c r="AV168" s="2" t="s">
        <v>113</v>
      </c>
      <c r="AW168" s="2" t="s">
        <v>113</v>
      </c>
      <c r="AX168" s="2" t="s">
        <v>113</v>
      </c>
      <c r="AY168" s="2" t="s">
        <v>113</v>
      </c>
      <c r="AZ168" s="2" t="s">
        <v>113</v>
      </c>
      <c r="BA168" s="2" t="s">
        <v>113</v>
      </c>
      <c r="BB168" s="2" t="s">
        <v>113</v>
      </c>
      <c r="BC168" s="2" t="s">
        <v>113</v>
      </c>
      <c r="BD168" s="2" t="s">
        <v>113</v>
      </c>
      <c r="BE168" s="2" t="s">
        <v>113</v>
      </c>
      <c r="BF168" s="2" t="s">
        <v>113</v>
      </c>
      <c r="BG168" s="2" t="s">
        <v>113</v>
      </c>
      <c r="BH168" s="2" t="s">
        <v>113</v>
      </c>
      <c r="BI168" s="2" t="s">
        <v>113</v>
      </c>
      <c r="BJ168" s="2" t="s">
        <v>113</v>
      </c>
      <c r="BK168" s="2" t="s">
        <v>113</v>
      </c>
      <c r="BL168" s="2" t="s">
        <v>113</v>
      </c>
      <c r="BM168" s="2" t="s">
        <v>113</v>
      </c>
      <c r="BN168" s="2" t="s">
        <v>113</v>
      </c>
      <c r="BO168" s="2" t="s">
        <v>113</v>
      </c>
      <c r="BP168" s="2" t="s">
        <v>113</v>
      </c>
      <c r="BQ168" s="2" t="s">
        <v>113</v>
      </c>
      <c r="BR168" s="2" t="s">
        <v>113</v>
      </c>
      <c r="BS168" s="2" t="s">
        <v>113</v>
      </c>
      <c r="BT168" s="2" t="s">
        <v>113</v>
      </c>
      <c r="BU168" s="2" t="s">
        <v>113</v>
      </c>
      <c r="BV168" s="2" t="s">
        <v>113</v>
      </c>
      <c r="BW168" s="2" t="s">
        <v>113</v>
      </c>
      <c r="BX168" s="2" t="s">
        <v>113</v>
      </c>
      <c r="BY168" s="2" t="s">
        <v>113</v>
      </c>
      <c r="BZ168" s="2" t="s">
        <v>113</v>
      </c>
      <c r="CA168" s="2" t="s">
        <v>113</v>
      </c>
      <c r="CB168" s="2" t="s">
        <v>113</v>
      </c>
      <c r="CD168" s="2">
        <v>30</v>
      </c>
    </row>
    <row r="169" spans="4:82">
      <c r="D169">
        <v>16</v>
      </c>
      <c r="E169" s="2">
        <v>2</v>
      </c>
      <c r="F169" s="2">
        <v>6</v>
      </c>
      <c r="R169" s="2">
        <v>25.5</v>
      </c>
      <c r="S169" s="2">
        <f t="shared" si="8"/>
        <v>29.5</v>
      </c>
      <c r="T169" s="2">
        <v>25.5</v>
      </c>
      <c r="U169" s="2">
        <f t="shared" si="8"/>
        <v>29.5</v>
      </c>
      <c r="AB169">
        <v>67.5</v>
      </c>
      <c r="AC169" s="2" t="s">
        <v>113</v>
      </c>
      <c r="AD169" s="2" t="s">
        <v>113</v>
      </c>
      <c r="AE169" s="2" t="s">
        <v>113</v>
      </c>
      <c r="AF169" s="2" t="s">
        <v>113</v>
      </c>
      <c r="AG169" s="2" t="s">
        <v>113</v>
      </c>
      <c r="AH169" s="2" t="s">
        <v>113</v>
      </c>
      <c r="AI169" s="2" t="s">
        <v>113</v>
      </c>
      <c r="AJ169" s="2" t="s">
        <v>113</v>
      </c>
      <c r="AK169" s="2" t="s">
        <v>113</v>
      </c>
      <c r="AL169" s="2" t="s">
        <v>113</v>
      </c>
      <c r="AM169" s="2" t="s">
        <v>113</v>
      </c>
      <c r="AN169" s="2" t="s">
        <v>113</v>
      </c>
      <c r="AO169" s="2" t="s">
        <v>113</v>
      </c>
      <c r="AP169" s="2" t="s">
        <v>113</v>
      </c>
      <c r="AQ169" s="2" t="s">
        <v>113</v>
      </c>
      <c r="AR169" s="2" t="s">
        <v>113</v>
      </c>
      <c r="AS169" s="2" t="s">
        <v>113</v>
      </c>
      <c r="AT169" s="2" t="s">
        <v>113</v>
      </c>
      <c r="AU169" s="2" t="s">
        <v>113</v>
      </c>
      <c r="AV169" s="2" t="s">
        <v>113</v>
      </c>
      <c r="AW169" s="2" t="s">
        <v>113</v>
      </c>
      <c r="AX169" s="2" t="s">
        <v>113</v>
      </c>
      <c r="AY169" s="2" t="s">
        <v>113</v>
      </c>
      <c r="AZ169" s="2" t="s">
        <v>113</v>
      </c>
      <c r="BA169" s="2" t="s">
        <v>113</v>
      </c>
      <c r="BB169" s="2" t="s">
        <v>113</v>
      </c>
      <c r="BC169" s="2" t="s">
        <v>113</v>
      </c>
      <c r="BD169" s="2" t="s">
        <v>113</v>
      </c>
      <c r="BE169" s="2" t="s">
        <v>113</v>
      </c>
      <c r="BF169" s="2" t="s">
        <v>113</v>
      </c>
      <c r="BG169" s="2" t="s">
        <v>113</v>
      </c>
      <c r="BH169" s="2" t="s">
        <v>113</v>
      </c>
      <c r="BI169" s="2" t="s">
        <v>113</v>
      </c>
      <c r="BJ169" s="2" t="s">
        <v>113</v>
      </c>
      <c r="BK169" s="2" t="s">
        <v>113</v>
      </c>
      <c r="BL169" s="2" t="s">
        <v>113</v>
      </c>
      <c r="BM169" s="2" t="s">
        <v>113</v>
      </c>
      <c r="BN169" s="2" t="s">
        <v>113</v>
      </c>
      <c r="BO169" s="2" t="s">
        <v>113</v>
      </c>
      <c r="BP169" s="2" t="s">
        <v>113</v>
      </c>
      <c r="BQ169" s="2" t="s">
        <v>113</v>
      </c>
      <c r="BR169" s="2" t="s">
        <v>113</v>
      </c>
      <c r="BS169" s="2" t="s">
        <v>113</v>
      </c>
      <c r="BT169" s="2" t="s">
        <v>113</v>
      </c>
      <c r="BU169" s="2" t="s">
        <v>113</v>
      </c>
      <c r="BV169" s="2" t="s">
        <v>113</v>
      </c>
      <c r="BW169" s="2" t="s">
        <v>113</v>
      </c>
      <c r="BX169" s="2" t="s">
        <v>113</v>
      </c>
      <c r="BY169" s="2" t="s">
        <v>113</v>
      </c>
      <c r="BZ169" s="2" t="s">
        <v>113</v>
      </c>
      <c r="CA169" s="2" t="s">
        <v>113</v>
      </c>
      <c r="CB169" s="2" t="s">
        <v>113</v>
      </c>
      <c r="CD169" s="2">
        <v>30</v>
      </c>
    </row>
    <row r="170" spans="4:82">
      <c r="D170">
        <v>15</v>
      </c>
      <c r="E170" s="2">
        <v>2</v>
      </c>
      <c r="F170" s="2">
        <v>5.5</v>
      </c>
      <c r="R170" s="2">
        <v>26</v>
      </c>
      <c r="S170" s="2">
        <f t="shared" si="8"/>
        <v>30</v>
      </c>
      <c r="T170" s="2">
        <v>26</v>
      </c>
      <c r="U170" s="2">
        <f t="shared" si="8"/>
        <v>30</v>
      </c>
      <c r="AB170">
        <v>67</v>
      </c>
      <c r="AC170" s="2" t="s">
        <v>113</v>
      </c>
      <c r="AD170" s="2" t="s">
        <v>113</v>
      </c>
      <c r="AE170" s="2" t="s">
        <v>113</v>
      </c>
      <c r="AF170" s="2" t="s">
        <v>113</v>
      </c>
      <c r="AG170" s="2" t="s">
        <v>113</v>
      </c>
      <c r="AH170" s="2" t="s">
        <v>113</v>
      </c>
      <c r="AI170" s="2" t="s">
        <v>113</v>
      </c>
      <c r="AJ170" s="2" t="s">
        <v>113</v>
      </c>
      <c r="AK170" s="2" t="s">
        <v>113</v>
      </c>
      <c r="AL170" s="2" t="s">
        <v>113</v>
      </c>
      <c r="AM170" s="2" t="s">
        <v>113</v>
      </c>
      <c r="AN170" s="2" t="s">
        <v>113</v>
      </c>
      <c r="AO170" s="2" t="s">
        <v>113</v>
      </c>
      <c r="AP170" s="2" t="s">
        <v>113</v>
      </c>
      <c r="AQ170" s="2" t="s">
        <v>113</v>
      </c>
      <c r="AR170" s="2" t="s">
        <v>113</v>
      </c>
      <c r="AS170" s="2" t="s">
        <v>113</v>
      </c>
      <c r="AT170" s="2" t="s">
        <v>113</v>
      </c>
      <c r="AU170" s="2" t="s">
        <v>113</v>
      </c>
      <c r="AV170" s="2" t="s">
        <v>113</v>
      </c>
      <c r="AW170" s="2" t="s">
        <v>113</v>
      </c>
      <c r="AX170" s="2" t="s">
        <v>113</v>
      </c>
      <c r="AY170" s="2" t="s">
        <v>113</v>
      </c>
      <c r="AZ170" s="2" t="s">
        <v>113</v>
      </c>
      <c r="BA170" s="2" t="s">
        <v>113</v>
      </c>
      <c r="BB170" s="2" t="s">
        <v>113</v>
      </c>
      <c r="BC170" s="2" t="s">
        <v>113</v>
      </c>
      <c r="BD170" s="2" t="s">
        <v>113</v>
      </c>
      <c r="BE170" s="2" t="s">
        <v>113</v>
      </c>
      <c r="BF170" s="2" t="s">
        <v>113</v>
      </c>
      <c r="BG170" s="2" t="s">
        <v>113</v>
      </c>
      <c r="BH170" s="2" t="s">
        <v>113</v>
      </c>
      <c r="BI170" s="2" t="s">
        <v>113</v>
      </c>
      <c r="BJ170" s="2" t="s">
        <v>113</v>
      </c>
      <c r="BK170" s="2" t="s">
        <v>113</v>
      </c>
      <c r="BL170" s="2" t="s">
        <v>113</v>
      </c>
      <c r="BM170" s="2" t="s">
        <v>113</v>
      </c>
      <c r="BN170" s="2" t="s">
        <v>113</v>
      </c>
      <c r="BO170" s="2" t="s">
        <v>113</v>
      </c>
      <c r="BP170" s="2" t="s">
        <v>113</v>
      </c>
      <c r="BQ170" s="2" t="s">
        <v>113</v>
      </c>
      <c r="BR170" s="2" t="s">
        <v>113</v>
      </c>
      <c r="BS170" s="2" t="s">
        <v>113</v>
      </c>
      <c r="BT170" s="2" t="s">
        <v>113</v>
      </c>
      <c r="BU170" s="2" t="s">
        <v>113</v>
      </c>
      <c r="BV170" s="2" t="s">
        <v>113</v>
      </c>
      <c r="BW170" s="2" t="s">
        <v>113</v>
      </c>
      <c r="BX170" s="2" t="s">
        <v>113</v>
      </c>
      <c r="BY170" s="2" t="s">
        <v>113</v>
      </c>
      <c r="BZ170" s="2" t="s">
        <v>113</v>
      </c>
      <c r="CA170" s="2" t="s">
        <v>113</v>
      </c>
      <c r="CB170" s="2" t="s">
        <v>113</v>
      </c>
      <c r="CD170" s="2">
        <v>30</v>
      </c>
    </row>
    <row r="171" spans="4:82">
      <c r="D171">
        <v>14</v>
      </c>
      <c r="E171" s="2">
        <v>2</v>
      </c>
      <c r="F171" s="2">
        <v>5</v>
      </c>
      <c r="R171" s="2">
        <v>26.5</v>
      </c>
      <c r="S171" s="2">
        <f t="shared" si="8"/>
        <v>30.5</v>
      </c>
      <c r="T171" s="2">
        <v>26.5</v>
      </c>
      <c r="U171" s="2">
        <f t="shared" si="8"/>
        <v>30.5</v>
      </c>
      <c r="AB171">
        <v>66.5</v>
      </c>
      <c r="AC171" s="2" t="s">
        <v>113</v>
      </c>
      <c r="AD171" s="2" t="s">
        <v>113</v>
      </c>
      <c r="AE171" s="2" t="s">
        <v>113</v>
      </c>
      <c r="AF171" s="2" t="s">
        <v>113</v>
      </c>
      <c r="AG171" s="2" t="s">
        <v>113</v>
      </c>
      <c r="AH171" s="2" t="s">
        <v>113</v>
      </c>
      <c r="AI171" s="2" t="s">
        <v>113</v>
      </c>
      <c r="AJ171" s="2" t="s">
        <v>113</v>
      </c>
      <c r="AK171" s="2" t="s">
        <v>113</v>
      </c>
      <c r="AL171" s="2" t="s">
        <v>113</v>
      </c>
      <c r="AM171" s="2" t="s">
        <v>113</v>
      </c>
      <c r="AN171" s="2" t="s">
        <v>113</v>
      </c>
      <c r="AO171" s="2" t="s">
        <v>113</v>
      </c>
      <c r="AP171" s="2" t="s">
        <v>113</v>
      </c>
      <c r="AQ171" s="2" t="s">
        <v>113</v>
      </c>
      <c r="AR171" s="2" t="s">
        <v>113</v>
      </c>
      <c r="AS171" s="2" t="s">
        <v>113</v>
      </c>
      <c r="AT171" s="2" t="s">
        <v>113</v>
      </c>
      <c r="AU171" s="2" t="s">
        <v>113</v>
      </c>
      <c r="AV171" s="2" t="s">
        <v>113</v>
      </c>
      <c r="AW171" s="2" t="s">
        <v>113</v>
      </c>
      <c r="AX171" s="2" t="s">
        <v>113</v>
      </c>
      <c r="AY171" s="2" t="s">
        <v>113</v>
      </c>
      <c r="AZ171" s="2" t="s">
        <v>113</v>
      </c>
      <c r="BA171" s="2" t="s">
        <v>113</v>
      </c>
      <c r="BB171" s="2" t="s">
        <v>113</v>
      </c>
      <c r="BC171" s="2" t="s">
        <v>113</v>
      </c>
      <c r="BD171" s="2" t="s">
        <v>113</v>
      </c>
      <c r="BE171" s="2" t="s">
        <v>113</v>
      </c>
      <c r="BF171" s="2" t="s">
        <v>113</v>
      </c>
      <c r="BG171" s="2" t="s">
        <v>113</v>
      </c>
      <c r="BH171" s="2" t="s">
        <v>113</v>
      </c>
      <c r="BI171" s="2" t="s">
        <v>113</v>
      </c>
      <c r="BJ171" s="2" t="s">
        <v>113</v>
      </c>
      <c r="BK171" s="2" t="s">
        <v>113</v>
      </c>
      <c r="BL171" s="2" t="s">
        <v>113</v>
      </c>
      <c r="BM171" s="2" t="s">
        <v>113</v>
      </c>
      <c r="BN171" s="2" t="s">
        <v>113</v>
      </c>
      <c r="BO171" s="2" t="s">
        <v>113</v>
      </c>
      <c r="BP171" s="2" t="s">
        <v>113</v>
      </c>
      <c r="BQ171" s="2" t="s">
        <v>113</v>
      </c>
      <c r="BR171" s="2" t="s">
        <v>113</v>
      </c>
      <c r="BS171" s="2" t="s">
        <v>113</v>
      </c>
      <c r="BT171" s="2" t="s">
        <v>113</v>
      </c>
      <c r="BU171" s="2" t="s">
        <v>113</v>
      </c>
      <c r="BV171" s="2" t="s">
        <v>113</v>
      </c>
      <c r="BW171" s="2" t="s">
        <v>113</v>
      </c>
      <c r="BX171" s="2" t="s">
        <v>113</v>
      </c>
      <c r="BY171" s="2" t="s">
        <v>113</v>
      </c>
      <c r="BZ171" s="2" t="s">
        <v>113</v>
      </c>
      <c r="CA171" s="2" t="s">
        <v>113</v>
      </c>
      <c r="CB171" s="2" t="s">
        <v>113</v>
      </c>
      <c r="CD171" s="2">
        <v>30</v>
      </c>
    </row>
    <row r="172" spans="4:82">
      <c r="D172">
        <v>13</v>
      </c>
      <c r="E172" s="2">
        <v>2</v>
      </c>
      <c r="F172" s="2">
        <v>4.5</v>
      </c>
      <c r="R172" s="2">
        <v>27</v>
      </c>
      <c r="S172" s="2">
        <f t="shared" si="8"/>
        <v>31</v>
      </c>
      <c r="T172" s="2">
        <v>27</v>
      </c>
      <c r="U172" s="2">
        <f t="shared" si="8"/>
        <v>31</v>
      </c>
      <c r="AB172">
        <v>66</v>
      </c>
      <c r="AC172" s="2" t="s">
        <v>113</v>
      </c>
      <c r="AD172" s="2" t="s">
        <v>113</v>
      </c>
      <c r="AE172" s="2" t="s">
        <v>113</v>
      </c>
      <c r="AF172" s="2" t="s">
        <v>113</v>
      </c>
      <c r="AG172" s="2" t="s">
        <v>113</v>
      </c>
      <c r="AH172" s="2" t="s">
        <v>113</v>
      </c>
      <c r="AI172" s="2" t="s">
        <v>113</v>
      </c>
      <c r="AJ172" s="2" t="s">
        <v>113</v>
      </c>
      <c r="AK172" s="2" t="s">
        <v>113</v>
      </c>
      <c r="AL172" s="2" t="s">
        <v>113</v>
      </c>
      <c r="AM172" s="2" t="s">
        <v>113</v>
      </c>
      <c r="AN172" s="2" t="s">
        <v>113</v>
      </c>
      <c r="AO172" s="2" t="s">
        <v>113</v>
      </c>
      <c r="AP172" s="2" t="s">
        <v>113</v>
      </c>
      <c r="AQ172" s="2" t="s">
        <v>113</v>
      </c>
      <c r="AR172" s="2" t="s">
        <v>113</v>
      </c>
      <c r="AS172" s="2" t="s">
        <v>113</v>
      </c>
      <c r="AT172" s="2" t="s">
        <v>113</v>
      </c>
      <c r="AU172" s="2" t="s">
        <v>113</v>
      </c>
      <c r="AV172" s="2" t="s">
        <v>113</v>
      </c>
      <c r="AW172" s="2" t="s">
        <v>113</v>
      </c>
      <c r="AX172" s="2" t="s">
        <v>113</v>
      </c>
      <c r="AY172" s="2" t="s">
        <v>113</v>
      </c>
      <c r="AZ172" s="2" t="s">
        <v>113</v>
      </c>
      <c r="BA172" s="2" t="s">
        <v>113</v>
      </c>
      <c r="BB172" s="2" t="s">
        <v>113</v>
      </c>
      <c r="BC172" s="2" t="s">
        <v>113</v>
      </c>
      <c r="BD172" s="2" t="s">
        <v>113</v>
      </c>
      <c r="BE172" s="2" t="s">
        <v>113</v>
      </c>
      <c r="BF172" s="2" t="s">
        <v>113</v>
      </c>
      <c r="BG172" s="2" t="s">
        <v>113</v>
      </c>
      <c r="BH172" s="2" t="s">
        <v>113</v>
      </c>
      <c r="BI172" s="2" t="s">
        <v>113</v>
      </c>
      <c r="BJ172" s="2" t="s">
        <v>113</v>
      </c>
      <c r="BK172" s="2" t="s">
        <v>113</v>
      </c>
      <c r="BL172" s="2" t="s">
        <v>113</v>
      </c>
      <c r="BM172" s="2" t="s">
        <v>113</v>
      </c>
      <c r="BN172" s="2" t="s">
        <v>113</v>
      </c>
      <c r="BO172" s="2" t="s">
        <v>113</v>
      </c>
      <c r="BP172" s="2" t="s">
        <v>113</v>
      </c>
      <c r="BQ172" s="2" t="s">
        <v>113</v>
      </c>
      <c r="BR172" s="2" t="s">
        <v>113</v>
      </c>
      <c r="BS172" s="2" t="s">
        <v>113</v>
      </c>
      <c r="BT172" s="2" t="s">
        <v>113</v>
      </c>
      <c r="BU172" s="2" t="s">
        <v>113</v>
      </c>
      <c r="BV172" s="2" t="s">
        <v>113</v>
      </c>
      <c r="BW172" s="2" t="s">
        <v>113</v>
      </c>
      <c r="BX172" s="2" t="s">
        <v>113</v>
      </c>
      <c r="BY172" s="2" t="s">
        <v>113</v>
      </c>
      <c r="BZ172" s="2" t="s">
        <v>113</v>
      </c>
      <c r="CA172" s="2" t="s">
        <v>113</v>
      </c>
      <c r="CB172" s="2" t="s">
        <v>113</v>
      </c>
      <c r="CD172" s="2">
        <v>30</v>
      </c>
    </row>
    <row r="173" spans="4:82">
      <c r="D173">
        <v>12</v>
      </c>
      <c r="E173" s="2">
        <v>2</v>
      </c>
      <c r="F173" s="2">
        <v>4</v>
      </c>
      <c r="R173" s="2">
        <v>27.5</v>
      </c>
      <c r="S173" s="2">
        <f t="shared" si="8"/>
        <v>31.5</v>
      </c>
      <c r="T173" s="2">
        <v>27.5</v>
      </c>
      <c r="U173" s="2">
        <f t="shared" si="8"/>
        <v>31.5</v>
      </c>
      <c r="AB173">
        <v>65.5</v>
      </c>
      <c r="AC173" s="2" t="s">
        <v>113</v>
      </c>
      <c r="AD173" s="2" t="s">
        <v>113</v>
      </c>
      <c r="AE173" s="2" t="s">
        <v>113</v>
      </c>
      <c r="AF173" s="2" t="s">
        <v>113</v>
      </c>
      <c r="AG173" s="2" t="s">
        <v>113</v>
      </c>
      <c r="AH173" s="2" t="s">
        <v>113</v>
      </c>
      <c r="AI173" s="2" t="s">
        <v>113</v>
      </c>
      <c r="AJ173" s="2" t="s">
        <v>113</v>
      </c>
      <c r="AK173" s="2" t="s">
        <v>113</v>
      </c>
      <c r="AL173" s="2" t="s">
        <v>113</v>
      </c>
      <c r="AM173" s="2" t="s">
        <v>113</v>
      </c>
      <c r="AN173" s="2" t="s">
        <v>113</v>
      </c>
      <c r="AO173" s="2" t="s">
        <v>113</v>
      </c>
      <c r="AP173" s="2" t="s">
        <v>113</v>
      </c>
      <c r="AQ173" s="2" t="s">
        <v>113</v>
      </c>
      <c r="AR173" s="2" t="s">
        <v>113</v>
      </c>
      <c r="AS173" s="2" t="s">
        <v>113</v>
      </c>
      <c r="AT173" s="2" t="s">
        <v>113</v>
      </c>
      <c r="AU173" s="2" t="s">
        <v>113</v>
      </c>
      <c r="AV173" s="2" t="s">
        <v>113</v>
      </c>
      <c r="AW173" s="2" t="s">
        <v>113</v>
      </c>
      <c r="AX173" s="2" t="s">
        <v>113</v>
      </c>
      <c r="AY173" s="2" t="s">
        <v>113</v>
      </c>
      <c r="AZ173" s="2" t="s">
        <v>113</v>
      </c>
      <c r="BA173" s="2" t="s">
        <v>113</v>
      </c>
      <c r="BB173" s="2" t="s">
        <v>113</v>
      </c>
      <c r="BC173" s="2" t="s">
        <v>113</v>
      </c>
      <c r="BD173" s="2" t="s">
        <v>113</v>
      </c>
      <c r="BE173" s="2" t="s">
        <v>113</v>
      </c>
      <c r="BF173" s="2" t="s">
        <v>113</v>
      </c>
      <c r="BG173" s="2" t="s">
        <v>113</v>
      </c>
      <c r="BH173" s="2" t="s">
        <v>113</v>
      </c>
      <c r="BI173" s="2" t="s">
        <v>113</v>
      </c>
      <c r="BJ173" s="2" t="s">
        <v>113</v>
      </c>
      <c r="BK173" s="2" t="s">
        <v>113</v>
      </c>
      <c r="BL173" s="2" t="s">
        <v>113</v>
      </c>
      <c r="BM173" s="2" t="s">
        <v>113</v>
      </c>
      <c r="BN173" s="2" t="s">
        <v>113</v>
      </c>
      <c r="BO173" s="2" t="s">
        <v>113</v>
      </c>
      <c r="BP173" s="2" t="s">
        <v>113</v>
      </c>
      <c r="BQ173" s="2" t="s">
        <v>113</v>
      </c>
      <c r="BR173" s="2" t="s">
        <v>113</v>
      </c>
      <c r="BS173" s="2" t="s">
        <v>113</v>
      </c>
      <c r="BT173" s="2" t="s">
        <v>113</v>
      </c>
      <c r="BU173" s="2" t="s">
        <v>113</v>
      </c>
      <c r="BV173" s="2" t="s">
        <v>113</v>
      </c>
      <c r="BW173" s="2" t="s">
        <v>113</v>
      </c>
      <c r="BX173" s="2" t="s">
        <v>113</v>
      </c>
      <c r="BY173" s="2" t="s">
        <v>113</v>
      </c>
      <c r="BZ173" s="2" t="s">
        <v>113</v>
      </c>
      <c r="CA173" s="2" t="s">
        <v>113</v>
      </c>
      <c r="CB173" s="2" t="s">
        <v>113</v>
      </c>
      <c r="CD173" s="2">
        <v>30</v>
      </c>
    </row>
    <row r="174" spans="4:82">
      <c r="D174">
        <v>11</v>
      </c>
      <c r="E174" s="2">
        <v>2</v>
      </c>
      <c r="F174" s="2">
        <v>3.5</v>
      </c>
      <c r="R174" s="2">
        <v>28</v>
      </c>
      <c r="S174" s="2">
        <f t="shared" si="8"/>
        <v>32</v>
      </c>
      <c r="T174" s="2">
        <v>28</v>
      </c>
      <c r="U174" s="2">
        <f t="shared" si="8"/>
        <v>32</v>
      </c>
      <c r="AB174">
        <v>65</v>
      </c>
      <c r="AC174" s="2" t="s">
        <v>113</v>
      </c>
      <c r="AD174" s="2" t="s">
        <v>113</v>
      </c>
      <c r="AE174" s="2" t="s">
        <v>113</v>
      </c>
      <c r="AF174" s="2" t="s">
        <v>113</v>
      </c>
      <c r="AG174" s="2" t="s">
        <v>113</v>
      </c>
      <c r="AH174" s="2" t="s">
        <v>113</v>
      </c>
      <c r="AI174" s="2" t="s">
        <v>113</v>
      </c>
      <c r="AJ174" s="2" t="s">
        <v>113</v>
      </c>
      <c r="AK174" s="2" t="s">
        <v>113</v>
      </c>
      <c r="AL174" s="2" t="s">
        <v>113</v>
      </c>
      <c r="AM174" s="2" t="s">
        <v>113</v>
      </c>
      <c r="AN174" s="2" t="s">
        <v>113</v>
      </c>
      <c r="AO174" s="2" t="s">
        <v>113</v>
      </c>
      <c r="AP174" s="2" t="s">
        <v>113</v>
      </c>
      <c r="AQ174" s="2" t="s">
        <v>113</v>
      </c>
      <c r="AR174" s="2" t="s">
        <v>113</v>
      </c>
      <c r="AS174" s="2" t="s">
        <v>113</v>
      </c>
      <c r="AT174" s="2" t="s">
        <v>113</v>
      </c>
      <c r="AU174" s="2" t="s">
        <v>113</v>
      </c>
      <c r="AV174" s="2" t="s">
        <v>113</v>
      </c>
      <c r="AW174" s="2" t="s">
        <v>113</v>
      </c>
      <c r="AX174" s="2" t="s">
        <v>113</v>
      </c>
      <c r="AY174" s="2" t="s">
        <v>113</v>
      </c>
      <c r="AZ174" s="2" t="s">
        <v>113</v>
      </c>
      <c r="BA174" s="2" t="s">
        <v>113</v>
      </c>
      <c r="BB174" s="2" t="s">
        <v>113</v>
      </c>
      <c r="BC174" s="2" t="s">
        <v>113</v>
      </c>
      <c r="BD174" s="2" t="s">
        <v>113</v>
      </c>
      <c r="BE174" s="2" t="s">
        <v>113</v>
      </c>
      <c r="BF174" s="2" t="s">
        <v>113</v>
      </c>
      <c r="BG174" s="2" t="s">
        <v>113</v>
      </c>
      <c r="BH174" s="2" t="s">
        <v>113</v>
      </c>
      <c r="BI174" s="2" t="s">
        <v>113</v>
      </c>
      <c r="BJ174" s="2" t="s">
        <v>113</v>
      </c>
      <c r="BK174" s="2" t="s">
        <v>113</v>
      </c>
      <c r="BL174" s="2" t="s">
        <v>113</v>
      </c>
      <c r="BM174" s="2" t="s">
        <v>113</v>
      </c>
      <c r="BN174" s="2" t="s">
        <v>113</v>
      </c>
      <c r="BO174" s="2" t="s">
        <v>113</v>
      </c>
      <c r="BP174" s="2" t="s">
        <v>113</v>
      </c>
      <c r="BQ174" s="2" t="s">
        <v>113</v>
      </c>
      <c r="BR174" s="2" t="s">
        <v>113</v>
      </c>
      <c r="BS174" s="2" t="s">
        <v>113</v>
      </c>
      <c r="BT174" s="2" t="s">
        <v>113</v>
      </c>
      <c r="BU174" s="2" t="s">
        <v>113</v>
      </c>
      <c r="BV174" s="2" t="s">
        <v>113</v>
      </c>
      <c r="BW174" s="2" t="s">
        <v>113</v>
      </c>
      <c r="BX174" s="2" t="s">
        <v>113</v>
      </c>
      <c r="BY174" s="2" t="s">
        <v>113</v>
      </c>
      <c r="BZ174" s="2" t="s">
        <v>113</v>
      </c>
      <c r="CA174" s="2" t="s">
        <v>113</v>
      </c>
      <c r="CB174" s="2" t="s">
        <v>113</v>
      </c>
      <c r="CD174" s="2">
        <v>30</v>
      </c>
    </row>
    <row r="175" spans="4:82">
      <c r="D175">
        <v>10</v>
      </c>
      <c r="E175" s="2">
        <v>2</v>
      </c>
      <c r="F175" s="2">
        <v>3</v>
      </c>
      <c r="R175" s="2">
        <v>28.5</v>
      </c>
      <c r="S175" s="2">
        <f t="shared" si="8"/>
        <v>32.5</v>
      </c>
      <c r="T175" s="2">
        <v>28.5</v>
      </c>
      <c r="U175" s="2">
        <f t="shared" si="8"/>
        <v>32.5</v>
      </c>
      <c r="AB175">
        <v>64.5</v>
      </c>
      <c r="AC175" s="2" t="s">
        <v>113</v>
      </c>
      <c r="AD175" s="2" t="s">
        <v>113</v>
      </c>
      <c r="AE175" s="2" t="s">
        <v>113</v>
      </c>
      <c r="AF175" s="2" t="s">
        <v>113</v>
      </c>
      <c r="AG175" s="2" t="s">
        <v>113</v>
      </c>
      <c r="AH175" s="2" t="s">
        <v>113</v>
      </c>
      <c r="AI175" s="2" t="s">
        <v>113</v>
      </c>
      <c r="AJ175" s="2" t="s">
        <v>113</v>
      </c>
      <c r="AK175" s="2" t="s">
        <v>113</v>
      </c>
      <c r="AL175" s="2" t="s">
        <v>113</v>
      </c>
      <c r="AM175" s="2" t="s">
        <v>113</v>
      </c>
      <c r="AN175" s="2" t="s">
        <v>113</v>
      </c>
      <c r="AO175" s="2" t="s">
        <v>113</v>
      </c>
      <c r="AP175" s="2" t="s">
        <v>113</v>
      </c>
      <c r="AQ175" s="2" t="s">
        <v>113</v>
      </c>
      <c r="AR175" s="2" t="s">
        <v>113</v>
      </c>
      <c r="AS175" s="2" t="s">
        <v>113</v>
      </c>
      <c r="AT175" s="2" t="s">
        <v>113</v>
      </c>
      <c r="AU175" s="2" t="s">
        <v>113</v>
      </c>
      <c r="AV175" s="2" t="s">
        <v>113</v>
      </c>
      <c r="AW175" s="2" t="s">
        <v>113</v>
      </c>
      <c r="AX175" s="2" t="s">
        <v>113</v>
      </c>
      <c r="AY175" s="2" t="s">
        <v>113</v>
      </c>
      <c r="AZ175" s="2" t="s">
        <v>113</v>
      </c>
      <c r="BA175" s="2" t="s">
        <v>113</v>
      </c>
      <c r="BB175" s="2" t="s">
        <v>113</v>
      </c>
      <c r="BC175" s="2" t="s">
        <v>113</v>
      </c>
      <c r="BD175" s="2" t="s">
        <v>113</v>
      </c>
      <c r="BE175" s="2" t="s">
        <v>113</v>
      </c>
      <c r="BF175" s="2" t="s">
        <v>113</v>
      </c>
      <c r="BG175" s="2" t="s">
        <v>113</v>
      </c>
      <c r="BH175" s="2" t="s">
        <v>113</v>
      </c>
      <c r="BI175" s="2" t="s">
        <v>113</v>
      </c>
      <c r="BJ175" s="2" t="s">
        <v>113</v>
      </c>
      <c r="BK175" s="2" t="s">
        <v>113</v>
      </c>
      <c r="BL175" s="2" t="s">
        <v>113</v>
      </c>
      <c r="BM175" s="2" t="s">
        <v>113</v>
      </c>
      <c r="BN175" s="2" t="s">
        <v>113</v>
      </c>
      <c r="BO175" s="2" t="s">
        <v>113</v>
      </c>
      <c r="BP175" s="2" t="s">
        <v>113</v>
      </c>
      <c r="BQ175" s="2" t="s">
        <v>113</v>
      </c>
      <c r="BR175" s="2" t="s">
        <v>113</v>
      </c>
      <c r="BS175" s="2" t="s">
        <v>113</v>
      </c>
      <c r="BT175" s="2" t="s">
        <v>113</v>
      </c>
      <c r="BU175" s="2" t="s">
        <v>113</v>
      </c>
      <c r="BV175" s="2" t="s">
        <v>113</v>
      </c>
      <c r="BW175" s="2" t="s">
        <v>113</v>
      </c>
      <c r="BX175" s="2" t="s">
        <v>113</v>
      </c>
      <c r="BY175" s="2" t="s">
        <v>113</v>
      </c>
      <c r="BZ175" s="2" t="s">
        <v>113</v>
      </c>
      <c r="CA175" s="2" t="s">
        <v>113</v>
      </c>
      <c r="CB175" s="2" t="s">
        <v>113</v>
      </c>
      <c r="CD175" s="2">
        <v>30</v>
      </c>
    </row>
    <row r="176" spans="4:82">
      <c r="D176">
        <v>9</v>
      </c>
      <c r="E176" s="2">
        <v>2</v>
      </c>
      <c r="F176" s="2">
        <v>2.5</v>
      </c>
      <c r="R176" s="2">
        <v>29</v>
      </c>
      <c r="S176" s="2">
        <f t="shared" si="8"/>
        <v>33</v>
      </c>
      <c r="T176" s="2">
        <v>29</v>
      </c>
      <c r="U176" s="2">
        <f t="shared" si="8"/>
        <v>33</v>
      </c>
      <c r="AB176">
        <v>64</v>
      </c>
      <c r="AC176" s="2" t="s">
        <v>113</v>
      </c>
      <c r="AD176" s="2" t="s">
        <v>113</v>
      </c>
      <c r="AE176" s="2" t="s">
        <v>113</v>
      </c>
      <c r="AF176" s="2" t="s">
        <v>113</v>
      </c>
      <c r="AG176" s="2" t="s">
        <v>113</v>
      </c>
      <c r="AH176" s="2" t="s">
        <v>113</v>
      </c>
      <c r="AI176" s="2" t="s">
        <v>113</v>
      </c>
      <c r="AJ176" s="2" t="s">
        <v>113</v>
      </c>
      <c r="AK176" s="2" t="s">
        <v>113</v>
      </c>
      <c r="AL176" s="2" t="s">
        <v>113</v>
      </c>
      <c r="AM176" s="2" t="s">
        <v>113</v>
      </c>
      <c r="AN176" s="2" t="s">
        <v>113</v>
      </c>
      <c r="AO176" s="2" t="s">
        <v>113</v>
      </c>
      <c r="AP176" s="2" t="s">
        <v>113</v>
      </c>
      <c r="AQ176" s="2" t="s">
        <v>113</v>
      </c>
      <c r="AR176" s="2" t="s">
        <v>113</v>
      </c>
      <c r="AS176" s="2" t="s">
        <v>113</v>
      </c>
      <c r="AT176" s="2" t="s">
        <v>113</v>
      </c>
      <c r="AU176" s="2" t="s">
        <v>113</v>
      </c>
      <c r="AV176" s="2" t="s">
        <v>113</v>
      </c>
      <c r="AW176" s="2" t="s">
        <v>113</v>
      </c>
      <c r="AX176" s="2" t="s">
        <v>113</v>
      </c>
      <c r="AY176" s="2" t="s">
        <v>113</v>
      </c>
      <c r="AZ176" s="2" t="s">
        <v>113</v>
      </c>
      <c r="BA176" s="2" t="s">
        <v>113</v>
      </c>
      <c r="BB176" s="2" t="s">
        <v>113</v>
      </c>
      <c r="BC176" s="2" t="s">
        <v>113</v>
      </c>
      <c r="BD176" s="2" t="s">
        <v>113</v>
      </c>
      <c r="BE176" s="2" t="s">
        <v>113</v>
      </c>
      <c r="BF176" s="2" t="s">
        <v>113</v>
      </c>
      <c r="BG176" s="2" t="s">
        <v>113</v>
      </c>
      <c r="BH176" s="2" t="s">
        <v>113</v>
      </c>
      <c r="BI176" s="2" t="s">
        <v>113</v>
      </c>
      <c r="BJ176" s="2" t="s">
        <v>113</v>
      </c>
      <c r="BK176" s="2" t="s">
        <v>113</v>
      </c>
      <c r="BL176" s="2" t="s">
        <v>113</v>
      </c>
      <c r="BM176" s="2" t="s">
        <v>113</v>
      </c>
      <c r="BN176" s="2" t="s">
        <v>113</v>
      </c>
      <c r="BO176" s="2" t="s">
        <v>113</v>
      </c>
      <c r="BP176" s="2" t="s">
        <v>113</v>
      </c>
      <c r="BQ176" s="2" t="s">
        <v>113</v>
      </c>
      <c r="BR176" s="2" t="s">
        <v>113</v>
      </c>
      <c r="BS176" s="2" t="s">
        <v>113</v>
      </c>
      <c r="BT176" s="2" t="s">
        <v>113</v>
      </c>
      <c r="BU176" s="2" t="s">
        <v>113</v>
      </c>
      <c r="BV176" s="2" t="s">
        <v>113</v>
      </c>
      <c r="BW176" s="2" t="s">
        <v>113</v>
      </c>
      <c r="BX176" s="2" t="s">
        <v>113</v>
      </c>
      <c r="BY176" s="2" t="s">
        <v>113</v>
      </c>
      <c r="BZ176" s="2" t="s">
        <v>113</v>
      </c>
      <c r="CA176" s="2" t="s">
        <v>113</v>
      </c>
      <c r="CB176" s="2" t="s">
        <v>113</v>
      </c>
      <c r="CD176" s="2">
        <v>30</v>
      </c>
    </row>
    <row r="177" spans="4:82">
      <c r="D177">
        <v>8</v>
      </c>
      <c r="E177" s="2">
        <v>2</v>
      </c>
      <c r="F177" s="2">
        <v>2</v>
      </c>
      <c r="R177" s="2">
        <v>29.5</v>
      </c>
      <c r="S177" s="2">
        <f t="shared" si="8"/>
        <v>33.5</v>
      </c>
      <c r="T177" s="2">
        <v>29.5</v>
      </c>
      <c r="U177" s="2">
        <f t="shared" si="8"/>
        <v>33.5</v>
      </c>
      <c r="AB177">
        <v>63.5</v>
      </c>
      <c r="AC177" s="2" t="s">
        <v>113</v>
      </c>
      <c r="AD177" s="2" t="s">
        <v>113</v>
      </c>
      <c r="AE177" s="2" t="s">
        <v>113</v>
      </c>
      <c r="AF177" s="2" t="s">
        <v>113</v>
      </c>
      <c r="AG177" s="2" t="s">
        <v>113</v>
      </c>
      <c r="AH177" s="2" t="s">
        <v>113</v>
      </c>
      <c r="AI177" s="2" t="s">
        <v>113</v>
      </c>
      <c r="AJ177" s="2" t="s">
        <v>113</v>
      </c>
      <c r="AK177" s="2" t="s">
        <v>113</v>
      </c>
      <c r="AL177" s="2" t="s">
        <v>113</v>
      </c>
      <c r="AM177" s="2" t="s">
        <v>113</v>
      </c>
      <c r="AN177" s="2" t="s">
        <v>113</v>
      </c>
      <c r="AO177" s="2" t="s">
        <v>113</v>
      </c>
      <c r="AP177" s="2" t="s">
        <v>113</v>
      </c>
      <c r="AQ177" s="2" t="s">
        <v>113</v>
      </c>
      <c r="AR177" s="2" t="s">
        <v>113</v>
      </c>
      <c r="AS177" s="2" t="s">
        <v>113</v>
      </c>
      <c r="AT177" s="2" t="s">
        <v>113</v>
      </c>
      <c r="AU177" s="2" t="s">
        <v>113</v>
      </c>
      <c r="AV177" s="2" t="s">
        <v>113</v>
      </c>
      <c r="AW177" s="2" t="s">
        <v>113</v>
      </c>
      <c r="AX177" s="2" t="s">
        <v>113</v>
      </c>
      <c r="AY177" s="2" t="s">
        <v>113</v>
      </c>
      <c r="AZ177" s="2" t="s">
        <v>113</v>
      </c>
      <c r="BA177" s="2" t="s">
        <v>113</v>
      </c>
      <c r="BB177" s="2" t="s">
        <v>113</v>
      </c>
      <c r="BC177" s="2" t="s">
        <v>113</v>
      </c>
      <c r="BD177" s="2" t="s">
        <v>113</v>
      </c>
      <c r="BE177" s="2" t="s">
        <v>113</v>
      </c>
      <c r="BF177" s="2" t="s">
        <v>113</v>
      </c>
      <c r="BG177" s="2" t="s">
        <v>113</v>
      </c>
      <c r="BH177" s="2" t="s">
        <v>113</v>
      </c>
      <c r="BI177" s="2" t="s">
        <v>113</v>
      </c>
      <c r="BJ177" s="2" t="s">
        <v>113</v>
      </c>
      <c r="BK177" s="2" t="s">
        <v>113</v>
      </c>
      <c r="BL177" s="2" t="s">
        <v>113</v>
      </c>
      <c r="BM177" s="2" t="s">
        <v>113</v>
      </c>
      <c r="BN177" s="2" t="s">
        <v>113</v>
      </c>
      <c r="BO177" s="2" t="s">
        <v>113</v>
      </c>
      <c r="BP177" s="2" t="s">
        <v>113</v>
      </c>
      <c r="BQ177" s="2" t="s">
        <v>113</v>
      </c>
      <c r="BR177" s="2" t="s">
        <v>113</v>
      </c>
      <c r="BS177" s="2" t="s">
        <v>113</v>
      </c>
      <c r="BT177" s="2" t="s">
        <v>113</v>
      </c>
      <c r="BU177" s="2" t="s">
        <v>113</v>
      </c>
      <c r="BV177" s="2" t="s">
        <v>113</v>
      </c>
      <c r="BW177" s="2" t="s">
        <v>113</v>
      </c>
      <c r="BX177" s="2" t="s">
        <v>113</v>
      </c>
      <c r="BY177" s="2" t="s">
        <v>113</v>
      </c>
      <c r="BZ177" s="2" t="s">
        <v>113</v>
      </c>
      <c r="CA177" s="2" t="s">
        <v>113</v>
      </c>
      <c r="CB177" s="2" t="s">
        <v>113</v>
      </c>
      <c r="CD177" s="2">
        <v>30</v>
      </c>
    </row>
    <row r="178" spans="4:82">
      <c r="D178">
        <v>7</v>
      </c>
      <c r="E178" s="2">
        <v>2</v>
      </c>
      <c r="R178" s="2">
        <v>30</v>
      </c>
      <c r="S178" s="2">
        <f t="shared" si="8"/>
        <v>34</v>
      </c>
      <c r="T178" s="2">
        <v>30</v>
      </c>
      <c r="U178" s="2">
        <f t="shared" si="8"/>
        <v>34</v>
      </c>
      <c r="AB178">
        <v>63</v>
      </c>
      <c r="AC178" s="2" t="s">
        <v>113</v>
      </c>
      <c r="AD178" s="2" t="s">
        <v>113</v>
      </c>
      <c r="AE178" s="2" t="s">
        <v>113</v>
      </c>
      <c r="AF178" s="2" t="s">
        <v>113</v>
      </c>
      <c r="AG178" s="2" t="s">
        <v>113</v>
      </c>
      <c r="AH178" s="2" t="s">
        <v>113</v>
      </c>
      <c r="AI178" s="2" t="s">
        <v>113</v>
      </c>
      <c r="AJ178" s="2" t="s">
        <v>113</v>
      </c>
      <c r="AK178" s="2" t="s">
        <v>113</v>
      </c>
      <c r="AL178" s="2" t="s">
        <v>113</v>
      </c>
      <c r="AM178" s="2" t="s">
        <v>113</v>
      </c>
      <c r="AN178" s="2" t="s">
        <v>113</v>
      </c>
      <c r="AO178" s="2" t="s">
        <v>113</v>
      </c>
      <c r="AP178" s="2" t="s">
        <v>113</v>
      </c>
      <c r="AQ178" s="2" t="s">
        <v>113</v>
      </c>
      <c r="AR178" s="2" t="s">
        <v>113</v>
      </c>
      <c r="AS178" s="2" t="s">
        <v>113</v>
      </c>
      <c r="AT178" s="2" t="s">
        <v>113</v>
      </c>
      <c r="AU178" s="2" t="s">
        <v>113</v>
      </c>
      <c r="AV178" s="2" t="s">
        <v>113</v>
      </c>
      <c r="AW178" s="2" t="s">
        <v>113</v>
      </c>
      <c r="AX178" s="2" t="s">
        <v>113</v>
      </c>
      <c r="AY178" s="2" t="s">
        <v>113</v>
      </c>
      <c r="AZ178" s="2" t="s">
        <v>113</v>
      </c>
      <c r="BA178" s="2" t="s">
        <v>113</v>
      </c>
      <c r="BB178" s="2" t="s">
        <v>113</v>
      </c>
      <c r="BC178" s="2" t="s">
        <v>113</v>
      </c>
      <c r="BD178" s="2" t="s">
        <v>113</v>
      </c>
      <c r="BE178" s="2" t="s">
        <v>113</v>
      </c>
      <c r="BF178" s="2" t="s">
        <v>113</v>
      </c>
      <c r="BG178" s="2" t="s">
        <v>113</v>
      </c>
      <c r="BH178" s="2" t="s">
        <v>113</v>
      </c>
      <c r="BI178" s="2" t="s">
        <v>113</v>
      </c>
      <c r="BJ178" s="2" t="s">
        <v>113</v>
      </c>
      <c r="BK178" s="2" t="s">
        <v>113</v>
      </c>
      <c r="BL178" s="2" t="s">
        <v>113</v>
      </c>
      <c r="BM178" s="2" t="s">
        <v>113</v>
      </c>
      <c r="BN178" s="2" t="s">
        <v>113</v>
      </c>
      <c r="BO178" s="2" t="s">
        <v>113</v>
      </c>
      <c r="BP178" s="2" t="s">
        <v>113</v>
      </c>
      <c r="BQ178" s="2" t="s">
        <v>113</v>
      </c>
      <c r="BR178" s="2" t="s">
        <v>113</v>
      </c>
      <c r="BS178" s="2" t="s">
        <v>113</v>
      </c>
      <c r="BT178" s="2" t="s">
        <v>113</v>
      </c>
      <c r="BU178" s="2" t="s">
        <v>113</v>
      </c>
      <c r="BV178" s="2" t="s">
        <v>113</v>
      </c>
      <c r="BW178" s="2" t="s">
        <v>113</v>
      </c>
      <c r="BX178" s="2" t="s">
        <v>113</v>
      </c>
      <c r="BY178" s="2" t="s">
        <v>113</v>
      </c>
      <c r="BZ178" s="2" t="s">
        <v>113</v>
      </c>
      <c r="CA178" s="2" t="s">
        <v>113</v>
      </c>
      <c r="CB178" s="2" t="s">
        <v>113</v>
      </c>
      <c r="CD178" s="2">
        <v>30</v>
      </c>
    </row>
    <row r="179" spans="4:82">
      <c r="D179">
        <v>6</v>
      </c>
      <c r="E179" s="2">
        <v>2</v>
      </c>
      <c r="R179" s="2">
        <v>30.5</v>
      </c>
      <c r="S179" s="2">
        <f t="shared" si="8"/>
        <v>34.5</v>
      </c>
      <c r="T179" s="2">
        <v>30.5</v>
      </c>
      <c r="U179" s="2">
        <f t="shared" si="8"/>
        <v>34.5</v>
      </c>
      <c r="AB179">
        <v>62.5</v>
      </c>
      <c r="AC179" s="2" t="s">
        <v>113</v>
      </c>
      <c r="AD179" s="2" t="s">
        <v>113</v>
      </c>
      <c r="AE179" s="2" t="s">
        <v>113</v>
      </c>
      <c r="AF179" s="2" t="s">
        <v>113</v>
      </c>
      <c r="AG179" s="2" t="s">
        <v>113</v>
      </c>
      <c r="AH179" s="2" t="s">
        <v>113</v>
      </c>
      <c r="AI179" s="2" t="s">
        <v>113</v>
      </c>
      <c r="AJ179" s="2" t="s">
        <v>113</v>
      </c>
      <c r="AK179" s="2" t="s">
        <v>113</v>
      </c>
      <c r="AL179" s="2" t="s">
        <v>113</v>
      </c>
      <c r="AM179" s="2" t="s">
        <v>113</v>
      </c>
      <c r="AN179" s="2" t="s">
        <v>113</v>
      </c>
      <c r="AO179" s="2" t="s">
        <v>113</v>
      </c>
      <c r="AP179" s="2" t="s">
        <v>113</v>
      </c>
      <c r="AQ179" s="2" t="s">
        <v>113</v>
      </c>
      <c r="AR179" s="2" t="s">
        <v>113</v>
      </c>
      <c r="AS179" s="2" t="s">
        <v>113</v>
      </c>
      <c r="AT179" s="2" t="s">
        <v>113</v>
      </c>
      <c r="AU179" s="2" t="s">
        <v>113</v>
      </c>
      <c r="AV179" s="2" t="s">
        <v>113</v>
      </c>
      <c r="AW179" s="2" t="s">
        <v>113</v>
      </c>
      <c r="AX179" s="2" t="s">
        <v>113</v>
      </c>
      <c r="AY179" s="2" t="s">
        <v>113</v>
      </c>
      <c r="AZ179" s="2" t="s">
        <v>113</v>
      </c>
      <c r="BA179" s="2" t="s">
        <v>113</v>
      </c>
      <c r="BB179" s="2" t="s">
        <v>113</v>
      </c>
      <c r="BC179" s="2" t="s">
        <v>113</v>
      </c>
      <c r="BD179" s="2" t="s">
        <v>113</v>
      </c>
      <c r="BE179" s="2" t="s">
        <v>113</v>
      </c>
      <c r="BF179" s="2" t="s">
        <v>113</v>
      </c>
      <c r="BG179" s="2" t="s">
        <v>113</v>
      </c>
      <c r="BH179" s="2" t="s">
        <v>113</v>
      </c>
      <c r="BI179" s="2" t="s">
        <v>113</v>
      </c>
      <c r="BJ179" s="2" t="s">
        <v>113</v>
      </c>
      <c r="BK179" s="2" t="s">
        <v>113</v>
      </c>
      <c r="BL179" s="2" t="s">
        <v>113</v>
      </c>
      <c r="BM179" s="2" t="s">
        <v>113</v>
      </c>
      <c r="BN179" s="2" t="s">
        <v>113</v>
      </c>
      <c r="BO179" s="2" t="s">
        <v>113</v>
      </c>
      <c r="BP179" s="2" t="s">
        <v>113</v>
      </c>
      <c r="BQ179" s="2" t="s">
        <v>113</v>
      </c>
      <c r="BR179" s="2" t="s">
        <v>113</v>
      </c>
      <c r="BS179" s="2" t="s">
        <v>113</v>
      </c>
      <c r="BT179" s="2" t="s">
        <v>113</v>
      </c>
      <c r="BU179" s="2" t="s">
        <v>113</v>
      </c>
      <c r="BV179" s="2" t="s">
        <v>113</v>
      </c>
      <c r="BW179" s="2" t="s">
        <v>113</v>
      </c>
      <c r="BX179" s="2" t="s">
        <v>113</v>
      </c>
      <c r="BY179" s="2" t="s">
        <v>113</v>
      </c>
      <c r="BZ179" s="2" t="s">
        <v>113</v>
      </c>
      <c r="CA179" s="2" t="s">
        <v>113</v>
      </c>
      <c r="CB179" s="2" t="s">
        <v>113</v>
      </c>
      <c r="CD179" s="2">
        <v>30</v>
      </c>
    </row>
    <row r="180" spans="4:82">
      <c r="D180">
        <v>5</v>
      </c>
      <c r="E180" s="2">
        <v>2</v>
      </c>
      <c r="R180" s="2">
        <v>31</v>
      </c>
      <c r="S180" s="2">
        <f t="shared" si="8"/>
        <v>35</v>
      </c>
      <c r="T180" s="2">
        <v>31</v>
      </c>
      <c r="U180" s="2">
        <f t="shared" si="8"/>
        <v>35</v>
      </c>
      <c r="AB180">
        <v>62</v>
      </c>
      <c r="AC180" s="2" t="s">
        <v>113</v>
      </c>
      <c r="AD180" s="2" t="s">
        <v>113</v>
      </c>
      <c r="AE180" s="2" t="s">
        <v>113</v>
      </c>
      <c r="AF180" s="2" t="s">
        <v>113</v>
      </c>
      <c r="AG180" s="2" t="s">
        <v>113</v>
      </c>
      <c r="AH180" s="2" t="s">
        <v>113</v>
      </c>
      <c r="AI180" s="2" t="s">
        <v>113</v>
      </c>
      <c r="AJ180" s="2" t="s">
        <v>113</v>
      </c>
      <c r="AK180" s="2" t="s">
        <v>113</v>
      </c>
      <c r="AL180" s="2" t="s">
        <v>113</v>
      </c>
      <c r="AM180" s="2" t="s">
        <v>113</v>
      </c>
      <c r="AN180" s="2" t="s">
        <v>113</v>
      </c>
      <c r="AO180" s="2" t="s">
        <v>113</v>
      </c>
      <c r="AP180" s="2" t="s">
        <v>113</v>
      </c>
      <c r="AQ180" s="2" t="s">
        <v>113</v>
      </c>
      <c r="AR180" s="2" t="s">
        <v>113</v>
      </c>
      <c r="AS180" s="2" t="s">
        <v>113</v>
      </c>
      <c r="AT180" s="2" t="s">
        <v>113</v>
      </c>
      <c r="AU180" s="2" t="s">
        <v>113</v>
      </c>
      <c r="AV180" s="2" t="s">
        <v>113</v>
      </c>
      <c r="AW180" s="2" t="s">
        <v>113</v>
      </c>
      <c r="AX180" s="2" t="s">
        <v>113</v>
      </c>
      <c r="AY180" s="2" t="s">
        <v>113</v>
      </c>
      <c r="AZ180" s="2" t="s">
        <v>113</v>
      </c>
      <c r="BA180" s="2" t="s">
        <v>113</v>
      </c>
      <c r="BB180" s="2" t="s">
        <v>113</v>
      </c>
      <c r="BC180" s="2" t="s">
        <v>113</v>
      </c>
      <c r="BD180" s="2" t="s">
        <v>113</v>
      </c>
      <c r="BE180" s="2" t="s">
        <v>113</v>
      </c>
      <c r="BF180" s="2" t="s">
        <v>113</v>
      </c>
      <c r="BG180" s="2" t="s">
        <v>113</v>
      </c>
      <c r="BH180" s="2" t="s">
        <v>113</v>
      </c>
      <c r="BI180" s="2" t="s">
        <v>113</v>
      </c>
      <c r="BJ180" s="2" t="s">
        <v>113</v>
      </c>
      <c r="BK180" s="2" t="s">
        <v>113</v>
      </c>
      <c r="BL180" s="2" t="s">
        <v>113</v>
      </c>
      <c r="BM180" s="2" t="s">
        <v>113</v>
      </c>
      <c r="BN180" s="2" t="s">
        <v>113</v>
      </c>
      <c r="BO180" s="2" t="s">
        <v>113</v>
      </c>
      <c r="BP180" s="2" t="s">
        <v>113</v>
      </c>
      <c r="BQ180" s="2" t="s">
        <v>113</v>
      </c>
      <c r="BR180" s="2" t="s">
        <v>113</v>
      </c>
      <c r="BS180" s="2" t="s">
        <v>113</v>
      </c>
      <c r="BT180" s="2" t="s">
        <v>113</v>
      </c>
      <c r="BU180" s="2" t="s">
        <v>113</v>
      </c>
      <c r="BV180" s="2" t="s">
        <v>113</v>
      </c>
      <c r="BW180" s="2" t="s">
        <v>113</v>
      </c>
      <c r="BX180" s="2" t="s">
        <v>113</v>
      </c>
      <c r="BY180" s="2" t="s">
        <v>113</v>
      </c>
      <c r="BZ180" s="2" t="s">
        <v>113</v>
      </c>
      <c r="CA180" s="2" t="s">
        <v>113</v>
      </c>
      <c r="CB180" s="2" t="s">
        <v>113</v>
      </c>
      <c r="CD180" s="2">
        <v>30</v>
      </c>
    </row>
    <row r="181" spans="4:82">
      <c r="R181" s="2">
        <v>31.5</v>
      </c>
      <c r="S181" s="2">
        <f t="shared" si="8"/>
        <v>35.5</v>
      </c>
      <c r="T181" s="2">
        <v>31.5</v>
      </c>
      <c r="U181" s="2">
        <f t="shared" si="8"/>
        <v>35.5</v>
      </c>
      <c r="AB181">
        <v>61.5</v>
      </c>
      <c r="AC181" s="2" t="s">
        <v>113</v>
      </c>
      <c r="AD181" s="2" t="s">
        <v>113</v>
      </c>
      <c r="AE181" s="2" t="s">
        <v>113</v>
      </c>
      <c r="AF181" s="2" t="s">
        <v>113</v>
      </c>
      <c r="AG181" s="2" t="s">
        <v>113</v>
      </c>
      <c r="AH181" s="2" t="s">
        <v>113</v>
      </c>
      <c r="AI181" s="2" t="s">
        <v>113</v>
      </c>
      <c r="AJ181" s="2" t="s">
        <v>113</v>
      </c>
      <c r="AK181" s="2" t="s">
        <v>113</v>
      </c>
      <c r="AL181" s="2" t="s">
        <v>113</v>
      </c>
      <c r="AM181" s="2" t="s">
        <v>113</v>
      </c>
      <c r="AN181" s="2" t="s">
        <v>113</v>
      </c>
      <c r="AO181" s="2" t="s">
        <v>113</v>
      </c>
      <c r="AP181" s="2" t="s">
        <v>113</v>
      </c>
      <c r="AQ181" s="2" t="s">
        <v>113</v>
      </c>
      <c r="AR181" s="2" t="s">
        <v>113</v>
      </c>
      <c r="AS181" s="2" t="s">
        <v>113</v>
      </c>
      <c r="AT181" s="2" t="s">
        <v>113</v>
      </c>
      <c r="AU181" s="2" t="s">
        <v>113</v>
      </c>
      <c r="AV181" s="2" t="s">
        <v>113</v>
      </c>
      <c r="AW181" s="2" t="s">
        <v>113</v>
      </c>
      <c r="AX181" s="2" t="s">
        <v>113</v>
      </c>
      <c r="AY181" s="2" t="s">
        <v>113</v>
      </c>
      <c r="AZ181" s="2" t="s">
        <v>113</v>
      </c>
      <c r="BA181" s="2" t="s">
        <v>113</v>
      </c>
      <c r="BB181" s="2" t="s">
        <v>113</v>
      </c>
      <c r="BC181" s="2" t="s">
        <v>113</v>
      </c>
      <c r="BD181" s="2" t="s">
        <v>113</v>
      </c>
      <c r="BE181" s="2" t="s">
        <v>113</v>
      </c>
      <c r="BF181" s="2" t="s">
        <v>113</v>
      </c>
      <c r="BG181" s="2" t="s">
        <v>113</v>
      </c>
      <c r="BH181" s="2" t="s">
        <v>113</v>
      </c>
      <c r="BI181" s="2" t="s">
        <v>113</v>
      </c>
      <c r="BJ181" s="2" t="s">
        <v>113</v>
      </c>
      <c r="BK181" s="2" t="s">
        <v>113</v>
      </c>
      <c r="BL181" s="2" t="s">
        <v>113</v>
      </c>
      <c r="BM181" s="2" t="s">
        <v>113</v>
      </c>
      <c r="BN181" s="2" t="s">
        <v>113</v>
      </c>
      <c r="BO181" s="2" t="s">
        <v>113</v>
      </c>
      <c r="BP181" s="2" t="s">
        <v>113</v>
      </c>
      <c r="BQ181" s="2" t="s">
        <v>113</v>
      </c>
      <c r="BR181" s="2" t="s">
        <v>113</v>
      </c>
      <c r="BS181" s="2" t="s">
        <v>113</v>
      </c>
      <c r="BT181" s="2" t="s">
        <v>113</v>
      </c>
      <c r="BU181" s="2" t="s">
        <v>113</v>
      </c>
      <c r="BV181" s="2" t="s">
        <v>113</v>
      </c>
      <c r="BW181" s="2" t="s">
        <v>113</v>
      </c>
      <c r="BX181" s="2" t="s">
        <v>113</v>
      </c>
      <c r="BY181" s="2" t="s">
        <v>113</v>
      </c>
      <c r="BZ181" s="2" t="s">
        <v>113</v>
      </c>
      <c r="CA181" s="2" t="s">
        <v>113</v>
      </c>
      <c r="CB181" s="2" t="s">
        <v>113</v>
      </c>
      <c r="CD181" s="2">
        <v>30</v>
      </c>
    </row>
    <row r="182" spans="4:82">
      <c r="R182" s="2">
        <v>32</v>
      </c>
      <c r="S182" s="2">
        <f t="shared" si="8"/>
        <v>36</v>
      </c>
      <c r="T182" s="2">
        <v>32</v>
      </c>
      <c r="U182" s="2">
        <f t="shared" si="8"/>
        <v>36</v>
      </c>
      <c r="AB182">
        <v>61</v>
      </c>
      <c r="AC182" s="2" t="s">
        <v>113</v>
      </c>
      <c r="AD182" s="2" t="s">
        <v>113</v>
      </c>
      <c r="AE182" s="2" t="s">
        <v>113</v>
      </c>
      <c r="AF182" s="2" t="s">
        <v>113</v>
      </c>
      <c r="AG182" s="2" t="s">
        <v>113</v>
      </c>
      <c r="AH182" s="2" t="s">
        <v>113</v>
      </c>
      <c r="AI182" s="2" t="s">
        <v>113</v>
      </c>
      <c r="AJ182" s="2" t="s">
        <v>113</v>
      </c>
      <c r="AK182" s="2" t="s">
        <v>113</v>
      </c>
      <c r="AL182" s="2" t="s">
        <v>113</v>
      </c>
      <c r="AM182" s="2" t="s">
        <v>113</v>
      </c>
      <c r="AN182" s="2" t="s">
        <v>113</v>
      </c>
      <c r="AO182" s="2" t="s">
        <v>113</v>
      </c>
      <c r="AP182" s="2" t="s">
        <v>113</v>
      </c>
      <c r="AQ182" s="2" t="s">
        <v>113</v>
      </c>
      <c r="AR182" s="2" t="s">
        <v>113</v>
      </c>
      <c r="AS182" s="2" t="s">
        <v>113</v>
      </c>
      <c r="AT182" s="2" t="s">
        <v>113</v>
      </c>
      <c r="AU182" s="2" t="s">
        <v>113</v>
      </c>
      <c r="AV182" s="2" t="s">
        <v>113</v>
      </c>
      <c r="AW182" s="2" t="s">
        <v>113</v>
      </c>
      <c r="AX182" s="2" t="s">
        <v>113</v>
      </c>
      <c r="AY182" s="2" t="s">
        <v>113</v>
      </c>
      <c r="AZ182" s="2" t="s">
        <v>113</v>
      </c>
      <c r="BA182" s="2" t="s">
        <v>113</v>
      </c>
      <c r="BB182" s="2" t="s">
        <v>113</v>
      </c>
      <c r="BC182" s="2" t="s">
        <v>113</v>
      </c>
      <c r="BD182" s="2" t="s">
        <v>113</v>
      </c>
      <c r="BE182" s="2" t="s">
        <v>113</v>
      </c>
      <c r="BF182" s="2" t="s">
        <v>113</v>
      </c>
      <c r="BG182" s="2" t="s">
        <v>113</v>
      </c>
      <c r="BH182" s="2" t="s">
        <v>113</v>
      </c>
      <c r="BI182" s="2" t="s">
        <v>113</v>
      </c>
      <c r="BJ182" s="2" t="s">
        <v>113</v>
      </c>
      <c r="BK182" s="2" t="s">
        <v>113</v>
      </c>
      <c r="BL182" s="2" t="s">
        <v>113</v>
      </c>
      <c r="BM182" s="2" t="s">
        <v>113</v>
      </c>
      <c r="BN182" s="2" t="s">
        <v>113</v>
      </c>
      <c r="BO182" s="2" t="s">
        <v>113</v>
      </c>
      <c r="BP182" s="2" t="s">
        <v>113</v>
      </c>
      <c r="BQ182" s="2" t="s">
        <v>113</v>
      </c>
      <c r="BR182" s="2" t="s">
        <v>113</v>
      </c>
      <c r="BS182" s="2" t="s">
        <v>113</v>
      </c>
      <c r="BT182" s="2" t="s">
        <v>113</v>
      </c>
      <c r="BU182" s="2" t="s">
        <v>113</v>
      </c>
      <c r="BV182" s="2" t="s">
        <v>113</v>
      </c>
      <c r="BW182" s="2" t="s">
        <v>113</v>
      </c>
      <c r="BX182" s="2" t="s">
        <v>113</v>
      </c>
      <c r="BY182" s="2" t="s">
        <v>113</v>
      </c>
      <c r="BZ182" s="2" t="s">
        <v>113</v>
      </c>
      <c r="CA182" s="2" t="s">
        <v>113</v>
      </c>
      <c r="CB182" s="2" t="s">
        <v>113</v>
      </c>
      <c r="CD182" s="2">
        <v>30</v>
      </c>
    </row>
    <row r="183" spans="4:82">
      <c r="R183" s="2">
        <v>32.5</v>
      </c>
      <c r="S183" s="2">
        <f t="shared" si="8"/>
        <v>36.5</v>
      </c>
      <c r="T183" s="2">
        <v>32.5</v>
      </c>
      <c r="U183" s="2">
        <f t="shared" si="8"/>
        <v>36.5</v>
      </c>
      <c r="AB183">
        <v>60.5</v>
      </c>
      <c r="AC183" s="2" t="s">
        <v>113</v>
      </c>
      <c r="AD183" s="2" t="s">
        <v>113</v>
      </c>
      <c r="AE183" s="2" t="s">
        <v>113</v>
      </c>
      <c r="AF183" s="2" t="s">
        <v>113</v>
      </c>
      <c r="AG183" s="2" t="s">
        <v>113</v>
      </c>
      <c r="AH183" s="2" t="s">
        <v>113</v>
      </c>
      <c r="AI183" s="2" t="s">
        <v>113</v>
      </c>
      <c r="AJ183" s="2" t="s">
        <v>113</v>
      </c>
      <c r="AK183" s="2" t="s">
        <v>113</v>
      </c>
      <c r="AL183" s="2" t="s">
        <v>113</v>
      </c>
      <c r="AM183" s="2" t="s">
        <v>113</v>
      </c>
      <c r="AN183" s="2" t="s">
        <v>113</v>
      </c>
      <c r="AO183" s="2" t="s">
        <v>113</v>
      </c>
      <c r="AP183" s="2" t="s">
        <v>113</v>
      </c>
      <c r="AQ183" s="2" t="s">
        <v>113</v>
      </c>
      <c r="AR183" s="2" t="s">
        <v>113</v>
      </c>
      <c r="AS183" s="2" t="s">
        <v>113</v>
      </c>
      <c r="AT183" s="2" t="s">
        <v>113</v>
      </c>
      <c r="AU183" s="2" t="s">
        <v>113</v>
      </c>
      <c r="AV183" s="2" t="s">
        <v>113</v>
      </c>
      <c r="AW183" s="2" t="s">
        <v>113</v>
      </c>
      <c r="AX183" s="2" t="s">
        <v>113</v>
      </c>
      <c r="AY183" s="2" t="s">
        <v>113</v>
      </c>
      <c r="AZ183" s="2" t="s">
        <v>113</v>
      </c>
      <c r="BA183" s="2" t="s">
        <v>113</v>
      </c>
      <c r="BB183" s="2" t="s">
        <v>113</v>
      </c>
      <c r="BC183" s="2" t="s">
        <v>113</v>
      </c>
      <c r="BD183" s="2" t="s">
        <v>113</v>
      </c>
      <c r="BE183" s="2" t="s">
        <v>113</v>
      </c>
      <c r="BF183" s="2" t="s">
        <v>113</v>
      </c>
      <c r="BG183" s="2" t="s">
        <v>113</v>
      </c>
      <c r="BH183" s="2" t="s">
        <v>113</v>
      </c>
      <c r="BI183" s="2" t="s">
        <v>113</v>
      </c>
      <c r="BJ183" s="2" t="s">
        <v>113</v>
      </c>
      <c r="BK183" s="2" t="s">
        <v>113</v>
      </c>
      <c r="BL183" s="2" t="s">
        <v>113</v>
      </c>
      <c r="BM183" s="2" t="s">
        <v>113</v>
      </c>
      <c r="BN183" s="2" t="s">
        <v>113</v>
      </c>
      <c r="BO183" s="2" t="s">
        <v>113</v>
      </c>
      <c r="BP183" s="2" t="s">
        <v>113</v>
      </c>
      <c r="BQ183" s="2" t="s">
        <v>113</v>
      </c>
      <c r="BR183" s="2" t="s">
        <v>113</v>
      </c>
      <c r="BS183" s="2" t="s">
        <v>113</v>
      </c>
      <c r="BT183" s="2" t="s">
        <v>113</v>
      </c>
      <c r="BU183" s="2" t="s">
        <v>113</v>
      </c>
      <c r="BV183" s="2" t="s">
        <v>113</v>
      </c>
      <c r="BW183" s="2" t="s">
        <v>113</v>
      </c>
      <c r="BX183" s="2" t="s">
        <v>113</v>
      </c>
      <c r="BY183" s="2" t="s">
        <v>113</v>
      </c>
      <c r="BZ183" s="2" t="s">
        <v>113</v>
      </c>
      <c r="CA183" s="2" t="s">
        <v>113</v>
      </c>
      <c r="CB183" s="2" t="s">
        <v>113</v>
      </c>
      <c r="CD183" s="2">
        <v>30</v>
      </c>
    </row>
    <row r="184" spans="4:82">
      <c r="R184" s="2">
        <v>33</v>
      </c>
      <c r="S184" s="2">
        <f t="shared" si="8"/>
        <v>37</v>
      </c>
      <c r="T184" s="2">
        <v>33</v>
      </c>
      <c r="U184" s="2">
        <f t="shared" si="8"/>
        <v>37</v>
      </c>
      <c r="AB184">
        <v>60</v>
      </c>
      <c r="AC184" s="2" t="s">
        <v>113</v>
      </c>
      <c r="AD184" s="2" t="s">
        <v>113</v>
      </c>
      <c r="AE184" s="2" t="s">
        <v>113</v>
      </c>
      <c r="AF184" s="2" t="s">
        <v>113</v>
      </c>
      <c r="AG184" s="2" t="s">
        <v>113</v>
      </c>
      <c r="AH184" s="2" t="s">
        <v>113</v>
      </c>
      <c r="AI184" s="2" t="s">
        <v>113</v>
      </c>
      <c r="AJ184" s="2" t="s">
        <v>113</v>
      </c>
      <c r="AK184" s="2" t="s">
        <v>113</v>
      </c>
      <c r="AL184" s="2" t="s">
        <v>113</v>
      </c>
      <c r="AM184" s="2" t="s">
        <v>113</v>
      </c>
      <c r="AN184" s="2" t="s">
        <v>113</v>
      </c>
      <c r="AO184" s="2" t="s">
        <v>113</v>
      </c>
      <c r="AP184" s="2" t="s">
        <v>113</v>
      </c>
      <c r="AQ184" s="2" t="s">
        <v>113</v>
      </c>
      <c r="AR184" s="2" t="s">
        <v>113</v>
      </c>
      <c r="AS184" s="2" t="s">
        <v>113</v>
      </c>
      <c r="AT184" s="2" t="s">
        <v>113</v>
      </c>
      <c r="AU184" s="2" t="s">
        <v>113</v>
      </c>
      <c r="AV184" s="2" t="s">
        <v>113</v>
      </c>
      <c r="AW184" s="2" t="s">
        <v>113</v>
      </c>
      <c r="AX184" s="2" t="s">
        <v>113</v>
      </c>
      <c r="AY184" s="2" t="s">
        <v>113</v>
      </c>
      <c r="AZ184" s="2" t="s">
        <v>113</v>
      </c>
      <c r="BA184" s="2" t="s">
        <v>113</v>
      </c>
      <c r="BB184" s="2" t="s">
        <v>113</v>
      </c>
      <c r="BC184" s="2" t="s">
        <v>113</v>
      </c>
      <c r="BD184" s="2" t="s">
        <v>113</v>
      </c>
      <c r="BE184" s="2" t="s">
        <v>113</v>
      </c>
      <c r="BF184" s="2" t="s">
        <v>113</v>
      </c>
      <c r="BG184" s="2" t="s">
        <v>113</v>
      </c>
      <c r="BH184" s="2" t="s">
        <v>113</v>
      </c>
      <c r="BI184" s="2" t="s">
        <v>113</v>
      </c>
      <c r="BJ184" s="2" t="s">
        <v>113</v>
      </c>
      <c r="BK184" s="2" t="s">
        <v>113</v>
      </c>
      <c r="BL184" s="2" t="s">
        <v>113</v>
      </c>
      <c r="BM184" s="2" t="s">
        <v>113</v>
      </c>
      <c r="BN184" s="2" t="s">
        <v>113</v>
      </c>
      <c r="BO184" s="2" t="s">
        <v>113</v>
      </c>
      <c r="BP184" s="2" t="s">
        <v>113</v>
      </c>
      <c r="BQ184" s="2" t="s">
        <v>113</v>
      </c>
      <c r="BR184" s="2" t="s">
        <v>113</v>
      </c>
      <c r="BS184" s="2" t="s">
        <v>113</v>
      </c>
      <c r="BT184" s="2" t="s">
        <v>113</v>
      </c>
      <c r="BU184" s="2" t="s">
        <v>113</v>
      </c>
      <c r="BV184" s="2" t="s">
        <v>113</v>
      </c>
      <c r="BW184" s="2" t="s">
        <v>113</v>
      </c>
      <c r="BX184" s="2" t="s">
        <v>113</v>
      </c>
      <c r="BY184" s="2" t="s">
        <v>113</v>
      </c>
      <c r="BZ184" s="2" t="s">
        <v>113</v>
      </c>
      <c r="CA184" s="2" t="s">
        <v>113</v>
      </c>
      <c r="CB184" s="2" t="s">
        <v>113</v>
      </c>
      <c r="CD184" s="2">
        <v>30</v>
      </c>
    </row>
    <row r="185" spans="4:82">
      <c r="R185" s="2">
        <v>33.5</v>
      </c>
      <c r="S185" s="2">
        <f t="shared" ref="S185:S216" si="9">R185+4</f>
        <v>37.5</v>
      </c>
      <c r="T185" s="2">
        <v>33.5</v>
      </c>
      <c r="U185" s="2">
        <f t="shared" ref="U185:U206" si="10">T185+4</f>
        <v>37.5</v>
      </c>
      <c r="AB185">
        <v>59.5</v>
      </c>
      <c r="AC185" s="2" t="s">
        <v>113</v>
      </c>
      <c r="AD185" s="2" t="s">
        <v>113</v>
      </c>
      <c r="AE185" s="2" t="s">
        <v>113</v>
      </c>
      <c r="AF185" s="2" t="s">
        <v>113</v>
      </c>
      <c r="AG185" s="2" t="s">
        <v>113</v>
      </c>
      <c r="AH185" s="2" t="s">
        <v>113</v>
      </c>
      <c r="AI185" s="2" t="s">
        <v>113</v>
      </c>
      <c r="AJ185" s="2" t="s">
        <v>113</v>
      </c>
      <c r="AK185" s="2" t="s">
        <v>113</v>
      </c>
      <c r="AL185" s="2" t="s">
        <v>113</v>
      </c>
      <c r="AM185" s="2" t="s">
        <v>113</v>
      </c>
      <c r="AN185" s="2" t="s">
        <v>113</v>
      </c>
      <c r="AO185" s="2" t="s">
        <v>113</v>
      </c>
      <c r="AP185" s="2" t="s">
        <v>113</v>
      </c>
      <c r="AQ185" s="2" t="s">
        <v>113</v>
      </c>
      <c r="AR185" s="2" t="s">
        <v>113</v>
      </c>
      <c r="AS185" s="2" t="s">
        <v>113</v>
      </c>
      <c r="AT185" s="2" t="s">
        <v>113</v>
      </c>
      <c r="AU185" s="2" t="s">
        <v>113</v>
      </c>
      <c r="AV185" s="2" t="s">
        <v>113</v>
      </c>
      <c r="AW185" s="2" t="s">
        <v>113</v>
      </c>
      <c r="AX185" s="2" t="s">
        <v>113</v>
      </c>
      <c r="AY185" s="2" t="s">
        <v>113</v>
      </c>
      <c r="AZ185" s="2" t="s">
        <v>113</v>
      </c>
      <c r="BA185" s="2" t="s">
        <v>113</v>
      </c>
      <c r="BB185" s="2" t="s">
        <v>113</v>
      </c>
      <c r="BC185" s="2" t="s">
        <v>113</v>
      </c>
      <c r="BD185" s="2" t="s">
        <v>113</v>
      </c>
      <c r="BE185" s="2" t="s">
        <v>113</v>
      </c>
      <c r="BF185" s="2" t="s">
        <v>113</v>
      </c>
      <c r="BG185" s="2" t="s">
        <v>113</v>
      </c>
      <c r="BH185" s="2" t="s">
        <v>113</v>
      </c>
      <c r="BI185" s="2" t="s">
        <v>113</v>
      </c>
      <c r="BJ185" s="2" t="s">
        <v>113</v>
      </c>
      <c r="BK185" s="2" t="s">
        <v>113</v>
      </c>
      <c r="BL185" s="2" t="s">
        <v>113</v>
      </c>
      <c r="BM185" s="2" t="s">
        <v>113</v>
      </c>
      <c r="BN185" s="2" t="s">
        <v>113</v>
      </c>
      <c r="BO185" s="2" t="s">
        <v>113</v>
      </c>
      <c r="BP185" s="2" t="s">
        <v>113</v>
      </c>
      <c r="BQ185" s="2" t="s">
        <v>113</v>
      </c>
      <c r="BR185" s="2" t="s">
        <v>113</v>
      </c>
      <c r="BS185" s="2" t="s">
        <v>113</v>
      </c>
      <c r="BT185" s="2" t="s">
        <v>113</v>
      </c>
      <c r="BU185" s="2" t="s">
        <v>113</v>
      </c>
      <c r="BV185" s="2" t="s">
        <v>113</v>
      </c>
      <c r="BW185" s="2" t="s">
        <v>113</v>
      </c>
      <c r="BX185" s="2" t="s">
        <v>113</v>
      </c>
      <c r="BY185" s="2" t="s">
        <v>113</v>
      </c>
      <c r="BZ185" s="2" t="s">
        <v>113</v>
      </c>
      <c r="CA185" s="2" t="s">
        <v>113</v>
      </c>
      <c r="CB185" s="2" t="s">
        <v>113</v>
      </c>
      <c r="CD185" s="2">
        <v>30</v>
      </c>
    </row>
    <row r="186" spans="4:82">
      <c r="R186" s="2">
        <v>34</v>
      </c>
      <c r="S186" s="2">
        <f t="shared" si="9"/>
        <v>38</v>
      </c>
      <c r="T186" s="2">
        <v>34</v>
      </c>
      <c r="U186" s="2">
        <f t="shared" si="10"/>
        <v>38</v>
      </c>
      <c r="AB186">
        <v>59</v>
      </c>
      <c r="AC186" s="2" t="s">
        <v>113</v>
      </c>
      <c r="AD186" s="2" t="s">
        <v>113</v>
      </c>
      <c r="AE186" s="2" t="s">
        <v>113</v>
      </c>
      <c r="AF186" s="2" t="s">
        <v>113</v>
      </c>
      <c r="AG186" s="2" t="s">
        <v>113</v>
      </c>
      <c r="AH186" s="2" t="s">
        <v>113</v>
      </c>
      <c r="AI186" s="2" t="s">
        <v>113</v>
      </c>
      <c r="AJ186" s="2" t="s">
        <v>113</v>
      </c>
      <c r="AK186" s="2" t="s">
        <v>113</v>
      </c>
      <c r="AL186" s="2" t="s">
        <v>113</v>
      </c>
      <c r="AM186" s="2" t="s">
        <v>113</v>
      </c>
      <c r="AN186" s="2" t="s">
        <v>113</v>
      </c>
      <c r="AO186" s="2" t="s">
        <v>113</v>
      </c>
      <c r="AP186" s="2" t="s">
        <v>113</v>
      </c>
      <c r="AQ186" s="2" t="s">
        <v>113</v>
      </c>
      <c r="AR186" s="2" t="s">
        <v>113</v>
      </c>
      <c r="AS186" s="2" t="s">
        <v>113</v>
      </c>
      <c r="AT186" s="2" t="s">
        <v>113</v>
      </c>
      <c r="AU186" s="2" t="s">
        <v>113</v>
      </c>
      <c r="AV186" s="2" t="s">
        <v>113</v>
      </c>
      <c r="AW186" s="2" t="s">
        <v>113</v>
      </c>
      <c r="AX186" s="2" t="s">
        <v>113</v>
      </c>
      <c r="AY186" s="2" t="s">
        <v>113</v>
      </c>
      <c r="AZ186" s="2" t="s">
        <v>113</v>
      </c>
      <c r="BA186" s="2" t="s">
        <v>113</v>
      </c>
      <c r="BB186" s="2" t="s">
        <v>113</v>
      </c>
      <c r="BC186" s="2" t="s">
        <v>113</v>
      </c>
      <c r="BD186" s="2" t="s">
        <v>113</v>
      </c>
      <c r="BE186" s="2" t="s">
        <v>113</v>
      </c>
      <c r="BF186" s="2" t="s">
        <v>113</v>
      </c>
      <c r="BG186" s="2" t="s">
        <v>113</v>
      </c>
      <c r="BH186" s="2" t="s">
        <v>113</v>
      </c>
      <c r="BI186" s="2" t="s">
        <v>113</v>
      </c>
      <c r="BJ186" s="2" t="s">
        <v>113</v>
      </c>
      <c r="BK186" s="2" t="s">
        <v>113</v>
      </c>
      <c r="BL186" s="2" t="s">
        <v>113</v>
      </c>
      <c r="BM186" s="2" t="s">
        <v>113</v>
      </c>
      <c r="BN186" s="2" t="s">
        <v>113</v>
      </c>
      <c r="BO186" s="2" t="s">
        <v>113</v>
      </c>
      <c r="BP186" s="2" t="s">
        <v>113</v>
      </c>
      <c r="BQ186" s="2" t="s">
        <v>113</v>
      </c>
      <c r="BR186" s="2" t="s">
        <v>113</v>
      </c>
      <c r="BS186" s="2" t="s">
        <v>113</v>
      </c>
      <c r="BT186" s="2" t="s">
        <v>113</v>
      </c>
      <c r="BU186" s="2" t="s">
        <v>113</v>
      </c>
      <c r="BV186" s="2" t="s">
        <v>113</v>
      </c>
      <c r="BW186" s="2" t="s">
        <v>113</v>
      </c>
      <c r="BX186" s="2" t="s">
        <v>113</v>
      </c>
      <c r="BY186" s="2" t="s">
        <v>113</v>
      </c>
      <c r="BZ186" s="2" t="s">
        <v>113</v>
      </c>
      <c r="CA186" s="2" t="s">
        <v>113</v>
      </c>
      <c r="CB186" s="2" t="s">
        <v>113</v>
      </c>
      <c r="CD186" s="2">
        <v>30</v>
      </c>
    </row>
    <row r="187" spans="4:82">
      <c r="R187" s="2">
        <v>34.5</v>
      </c>
      <c r="S187" s="2">
        <f t="shared" si="9"/>
        <v>38.5</v>
      </c>
      <c r="T187" s="2">
        <v>34.5</v>
      </c>
      <c r="U187" s="2">
        <f t="shared" si="10"/>
        <v>38.5</v>
      </c>
      <c r="AB187">
        <v>58.5</v>
      </c>
      <c r="AC187" s="2" t="s">
        <v>113</v>
      </c>
      <c r="AD187" s="2" t="s">
        <v>113</v>
      </c>
      <c r="AE187" s="2" t="s">
        <v>113</v>
      </c>
      <c r="AF187" s="2" t="s">
        <v>113</v>
      </c>
      <c r="AG187" s="2" t="s">
        <v>113</v>
      </c>
      <c r="AH187" s="2" t="s">
        <v>113</v>
      </c>
      <c r="AI187" s="2" t="s">
        <v>113</v>
      </c>
      <c r="AJ187" s="2" t="s">
        <v>113</v>
      </c>
      <c r="AK187" s="2" t="s">
        <v>113</v>
      </c>
      <c r="AL187" s="2" t="s">
        <v>113</v>
      </c>
      <c r="AM187" s="2" t="s">
        <v>113</v>
      </c>
      <c r="AN187" s="2" t="s">
        <v>113</v>
      </c>
      <c r="AO187" s="2" t="s">
        <v>113</v>
      </c>
      <c r="AP187" s="2" t="s">
        <v>113</v>
      </c>
      <c r="AQ187" s="2" t="s">
        <v>113</v>
      </c>
      <c r="AR187" s="2" t="s">
        <v>113</v>
      </c>
      <c r="AS187" s="2" t="s">
        <v>113</v>
      </c>
      <c r="AT187" s="2" t="s">
        <v>113</v>
      </c>
      <c r="AU187" s="2" t="s">
        <v>113</v>
      </c>
      <c r="AV187" s="2" t="s">
        <v>113</v>
      </c>
      <c r="AW187" s="2" t="s">
        <v>113</v>
      </c>
      <c r="AX187" s="2" t="s">
        <v>113</v>
      </c>
      <c r="AY187" s="2" t="s">
        <v>113</v>
      </c>
      <c r="AZ187" s="2" t="s">
        <v>113</v>
      </c>
      <c r="BA187" s="2" t="s">
        <v>113</v>
      </c>
      <c r="BB187" s="2" t="s">
        <v>113</v>
      </c>
      <c r="BC187" s="2" t="s">
        <v>113</v>
      </c>
      <c r="BD187" s="2" t="s">
        <v>113</v>
      </c>
      <c r="BE187" s="2" t="s">
        <v>113</v>
      </c>
      <c r="BF187" s="2" t="s">
        <v>113</v>
      </c>
      <c r="BG187" s="2" t="s">
        <v>113</v>
      </c>
      <c r="BH187" s="2" t="s">
        <v>113</v>
      </c>
      <c r="BI187" s="2" t="s">
        <v>113</v>
      </c>
      <c r="BJ187" s="2" t="s">
        <v>113</v>
      </c>
      <c r="BK187" s="2" t="s">
        <v>113</v>
      </c>
      <c r="BL187" s="2" t="s">
        <v>113</v>
      </c>
      <c r="BM187" s="2" t="s">
        <v>113</v>
      </c>
      <c r="BN187" s="2" t="s">
        <v>113</v>
      </c>
      <c r="BO187" s="2" t="s">
        <v>113</v>
      </c>
      <c r="BP187" s="2" t="s">
        <v>113</v>
      </c>
      <c r="BQ187" s="2" t="s">
        <v>113</v>
      </c>
      <c r="BR187" s="2" t="s">
        <v>113</v>
      </c>
      <c r="BS187" s="2" t="s">
        <v>113</v>
      </c>
      <c r="BT187" s="2" t="s">
        <v>113</v>
      </c>
      <c r="BU187" s="2" t="s">
        <v>113</v>
      </c>
      <c r="BV187" s="2" t="s">
        <v>113</v>
      </c>
      <c r="BW187" s="2" t="s">
        <v>113</v>
      </c>
      <c r="BX187" s="2" t="s">
        <v>113</v>
      </c>
      <c r="BY187" s="2" t="s">
        <v>113</v>
      </c>
      <c r="BZ187" s="2" t="s">
        <v>113</v>
      </c>
      <c r="CA187" s="2" t="s">
        <v>113</v>
      </c>
      <c r="CB187" s="2" t="s">
        <v>113</v>
      </c>
      <c r="CD187" s="2">
        <v>30</v>
      </c>
    </row>
    <row r="188" spans="4:82">
      <c r="R188" s="2">
        <v>35</v>
      </c>
      <c r="S188" s="2">
        <f t="shared" si="9"/>
        <v>39</v>
      </c>
      <c r="T188" s="2">
        <v>35</v>
      </c>
      <c r="U188" s="2">
        <f t="shared" si="10"/>
        <v>39</v>
      </c>
      <c r="AB188">
        <v>58</v>
      </c>
      <c r="AC188" s="2" t="s">
        <v>113</v>
      </c>
      <c r="AD188" s="2" t="s">
        <v>113</v>
      </c>
      <c r="AE188" s="2" t="s">
        <v>113</v>
      </c>
      <c r="AF188" s="2" t="s">
        <v>113</v>
      </c>
      <c r="AG188" s="2" t="s">
        <v>113</v>
      </c>
      <c r="AH188" s="2" t="s">
        <v>113</v>
      </c>
      <c r="AI188" s="2" t="s">
        <v>113</v>
      </c>
      <c r="AJ188" s="2" t="s">
        <v>113</v>
      </c>
      <c r="AK188" s="2" t="s">
        <v>113</v>
      </c>
      <c r="AL188" s="2" t="s">
        <v>113</v>
      </c>
      <c r="AM188" s="2" t="s">
        <v>113</v>
      </c>
      <c r="AN188" s="2" t="s">
        <v>113</v>
      </c>
      <c r="AO188" s="2" t="s">
        <v>113</v>
      </c>
      <c r="AP188" s="2" t="s">
        <v>113</v>
      </c>
      <c r="AQ188" s="2" t="s">
        <v>113</v>
      </c>
      <c r="AR188" s="2" t="s">
        <v>113</v>
      </c>
      <c r="AS188" s="2" t="s">
        <v>113</v>
      </c>
      <c r="AT188" s="2" t="s">
        <v>113</v>
      </c>
      <c r="AU188" s="2" t="s">
        <v>113</v>
      </c>
      <c r="AV188" s="2" t="s">
        <v>113</v>
      </c>
      <c r="AW188" s="2" t="s">
        <v>113</v>
      </c>
      <c r="AX188" s="2" t="s">
        <v>113</v>
      </c>
      <c r="AY188" s="2" t="s">
        <v>113</v>
      </c>
      <c r="AZ188" s="2" t="s">
        <v>113</v>
      </c>
      <c r="BA188" s="2" t="s">
        <v>113</v>
      </c>
      <c r="BB188" s="2" t="s">
        <v>113</v>
      </c>
      <c r="BC188" s="2" t="s">
        <v>113</v>
      </c>
      <c r="BD188" s="2" t="s">
        <v>113</v>
      </c>
      <c r="BE188" s="2" t="s">
        <v>113</v>
      </c>
      <c r="BF188" s="2" t="s">
        <v>113</v>
      </c>
      <c r="BG188" s="2" t="s">
        <v>113</v>
      </c>
      <c r="BH188" s="2" t="s">
        <v>113</v>
      </c>
      <c r="BI188" s="2" t="s">
        <v>113</v>
      </c>
      <c r="BJ188" s="2" t="s">
        <v>113</v>
      </c>
      <c r="BK188" s="2" t="s">
        <v>113</v>
      </c>
      <c r="BL188" s="2" t="s">
        <v>113</v>
      </c>
      <c r="BM188" s="2" t="s">
        <v>113</v>
      </c>
      <c r="BN188" s="2" t="s">
        <v>113</v>
      </c>
      <c r="BO188" s="2" t="s">
        <v>113</v>
      </c>
      <c r="BP188" s="2" t="s">
        <v>113</v>
      </c>
      <c r="BQ188" s="2" t="s">
        <v>113</v>
      </c>
      <c r="BR188" s="2" t="s">
        <v>113</v>
      </c>
      <c r="BS188" s="2" t="s">
        <v>113</v>
      </c>
      <c r="BT188" s="2" t="s">
        <v>113</v>
      </c>
      <c r="BU188" s="2" t="s">
        <v>113</v>
      </c>
      <c r="BV188" s="2" t="s">
        <v>113</v>
      </c>
      <c r="BW188" s="2" t="s">
        <v>113</v>
      </c>
      <c r="BX188" s="2" t="s">
        <v>113</v>
      </c>
      <c r="BY188" s="2" t="s">
        <v>113</v>
      </c>
      <c r="BZ188" s="2" t="s">
        <v>113</v>
      </c>
      <c r="CA188" s="2" t="s">
        <v>113</v>
      </c>
      <c r="CB188" s="2" t="s">
        <v>113</v>
      </c>
      <c r="CD188" s="2">
        <v>30</v>
      </c>
    </row>
    <row r="189" spans="4:82">
      <c r="R189" s="2">
        <v>35.5</v>
      </c>
      <c r="S189" s="2">
        <f t="shared" si="9"/>
        <v>39.5</v>
      </c>
      <c r="T189" s="2">
        <v>35.5</v>
      </c>
      <c r="U189" s="2">
        <f t="shared" si="10"/>
        <v>39.5</v>
      </c>
      <c r="AB189">
        <v>57.5</v>
      </c>
      <c r="AC189" s="2" t="s">
        <v>113</v>
      </c>
      <c r="AD189" s="2" t="s">
        <v>113</v>
      </c>
      <c r="AE189" s="2" t="s">
        <v>113</v>
      </c>
      <c r="AF189" s="2" t="s">
        <v>113</v>
      </c>
      <c r="AG189" s="2" t="s">
        <v>113</v>
      </c>
      <c r="AH189" s="2" t="s">
        <v>113</v>
      </c>
      <c r="AI189" s="2" t="s">
        <v>113</v>
      </c>
      <c r="AJ189" s="2" t="s">
        <v>113</v>
      </c>
      <c r="AK189" s="2" t="s">
        <v>113</v>
      </c>
      <c r="AL189" s="2" t="s">
        <v>113</v>
      </c>
      <c r="AM189" s="2" t="s">
        <v>113</v>
      </c>
      <c r="AN189" s="2" t="s">
        <v>113</v>
      </c>
      <c r="AO189" s="2" t="s">
        <v>113</v>
      </c>
      <c r="AP189" s="2" t="s">
        <v>113</v>
      </c>
      <c r="AQ189" s="2" t="s">
        <v>113</v>
      </c>
      <c r="AR189" s="2" t="s">
        <v>113</v>
      </c>
      <c r="AS189" s="2" t="s">
        <v>113</v>
      </c>
      <c r="AT189" s="2" t="s">
        <v>113</v>
      </c>
      <c r="AU189" s="2" t="s">
        <v>113</v>
      </c>
      <c r="AV189" s="2" t="s">
        <v>113</v>
      </c>
      <c r="AW189" s="2" t="s">
        <v>113</v>
      </c>
      <c r="AX189" s="2" t="s">
        <v>113</v>
      </c>
      <c r="AY189" s="2" t="s">
        <v>113</v>
      </c>
      <c r="AZ189" s="2" t="s">
        <v>113</v>
      </c>
      <c r="BA189" s="2" t="s">
        <v>113</v>
      </c>
      <c r="BB189" s="2" t="s">
        <v>113</v>
      </c>
      <c r="BC189" s="2" t="s">
        <v>113</v>
      </c>
      <c r="BD189" s="2" t="s">
        <v>113</v>
      </c>
      <c r="BE189" s="2" t="s">
        <v>113</v>
      </c>
      <c r="BF189" s="2" t="s">
        <v>113</v>
      </c>
      <c r="BG189" s="2" t="s">
        <v>113</v>
      </c>
      <c r="BH189" s="2" t="s">
        <v>113</v>
      </c>
      <c r="BI189" s="2" t="s">
        <v>113</v>
      </c>
      <c r="BJ189" s="2" t="s">
        <v>113</v>
      </c>
      <c r="BK189" s="2" t="s">
        <v>113</v>
      </c>
      <c r="BL189" s="2" t="s">
        <v>113</v>
      </c>
      <c r="BM189" s="2" t="s">
        <v>113</v>
      </c>
      <c r="BN189" s="2" t="s">
        <v>113</v>
      </c>
      <c r="BO189" s="2" t="s">
        <v>113</v>
      </c>
      <c r="BP189" s="2" t="s">
        <v>113</v>
      </c>
      <c r="BQ189" s="2" t="s">
        <v>113</v>
      </c>
      <c r="BR189" s="2" t="s">
        <v>113</v>
      </c>
      <c r="BS189" s="2" t="s">
        <v>113</v>
      </c>
      <c r="BT189" s="2" t="s">
        <v>113</v>
      </c>
      <c r="BU189" s="2" t="s">
        <v>113</v>
      </c>
      <c r="BV189" s="2" t="s">
        <v>113</v>
      </c>
      <c r="BW189" s="2" t="s">
        <v>113</v>
      </c>
      <c r="BX189" s="2" t="s">
        <v>113</v>
      </c>
      <c r="BY189" s="2" t="s">
        <v>113</v>
      </c>
      <c r="BZ189" s="2" t="s">
        <v>113</v>
      </c>
      <c r="CA189" s="2" t="s">
        <v>113</v>
      </c>
      <c r="CB189" s="2" t="s">
        <v>113</v>
      </c>
      <c r="CD189" s="2">
        <v>30</v>
      </c>
    </row>
    <row r="190" spans="4:82">
      <c r="R190" s="2">
        <v>36</v>
      </c>
      <c r="S190" s="2">
        <f t="shared" si="9"/>
        <v>40</v>
      </c>
      <c r="T190" s="2">
        <v>36</v>
      </c>
      <c r="U190" s="2">
        <f t="shared" si="10"/>
        <v>40</v>
      </c>
      <c r="AB190">
        <v>57</v>
      </c>
      <c r="AC190" s="2" t="s">
        <v>113</v>
      </c>
      <c r="AD190" s="2" t="s">
        <v>113</v>
      </c>
      <c r="AE190" s="2" t="s">
        <v>113</v>
      </c>
      <c r="AF190" s="2" t="s">
        <v>113</v>
      </c>
      <c r="AG190" s="2" t="s">
        <v>113</v>
      </c>
      <c r="AH190" s="2" t="s">
        <v>113</v>
      </c>
      <c r="AI190" s="2" t="s">
        <v>113</v>
      </c>
      <c r="AJ190" s="2" t="s">
        <v>113</v>
      </c>
      <c r="AK190" s="2" t="s">
        <v>113</v>
      </c>
      <c r="AL190" s="2" t="s">
        <v>113</v>
      </c>
      <c r="AM190" s="2" t="s">
        <v>113</v>
      </c>
      <c r="AN190" s="2" t="s">
        <v>113</v>
      </c>
      <c r="AO190" s="2" t="s">
        <v>113</v>
      </c>
      <c r="AP190" s="2" t="s">
        <v>113</v>
      </c>
      <c r="AQ190" s="2" t="s">
        <v>113</v>
      </c>
      <c r="AR190" s="2" t="s">
        <v>113</v>
      </c>
      <c r="AS190" s="2" t="s">
        <v>113</v>
      </c>
      <c r="AT190" s="2" t="s">
        <v>113</v>
      </c>
      <c r="AU190" s="2" t="s">
        <v>113</v>
      </c>
      <c r="AV190" s="2" t="s">
        <v>113</v>
      </c>
      <c r="AW190" s="2" t="s">
        <v>113</v>
      </c>
      <c r="AX190" s="2" t="s">
        <v>113</v>
      </c>
      <c r="AY190" s="2" t="s">
        <v>113</v>
      </c>
      <c r="AZ190" s="2" t="s">
        <v>113</v>
      </c>
      <c r="BA190" s="2" t="s">
        <v>113</v>
      </c>
      <c r="BB190" s="2" t="s">
        <v>113</v>
      </c>
      <c r="BC190" s="2" t="s">
        <v>113</v>
      </c>
      <c r="BD190" s="2" t="s">
        <v>113</v>
      </c>
      <c r="BE190" s="2" t="s">
        <v>113</v>
      </c>
      <c r="BF190" s="2" t="s">
        <v>113</v>
      </c>
      <c r="BG190" s="2" t="s">
        <v>113</v>
      </c>
      <c r="BH190" s="2" t="s">
        <v>113</v>
      </c>
      <c r="BI190" s="2" t="s">
        <v>113</v>
      </c>
      <c r="BJ190" s="2" t="s">
        <v>113</v>
      </c>
      <c r="BK190" s="2" t="s">
        <v>113</v>
      </c>
      <c r="BL190" s="2" t="s">
        <v>113</v>
      </c>
      <c r="BM190" s="2" t="s">
        <v>113</v>
      </c>
      <c r="BN190" s="2" t="s">
        <v>113</v>
      </c>
      <c r="BO190" s="2" t="s">
        <v>113</v>
      </c>
      <c r="BP190" s="2" t="s">
        <v>113</v>
      </c>
      <c r="BQ190" s="2" t="s">
        <v>113</v>
      </c>
      <c r="BR190" s="2" t="s">
        <v>113</v>
      </c>
      <c r="BS190" s="2" t="s">
        <v>113</v>
      </c>
      <c r="BT190" s="2" t="s">
        <v>113</v>
      </c>
      <c r="BU190" s="2" t="s">
        <v>113</v>
      </c>
      <c r="BV190" s="2" t="s">
        <v>113</v>
      </c>
      <c r="BW190" s="2" t="s">
        <v>113</v>
      </c>
      <c r="BX190" s="2" t="s">
        <v>113</v>
      </c>
      <c r="BY190" s="2" t="s">
        <v>113</v>
      </c>
      <c r="BZ190" s="2" t="s">
        <v>113</v>
      </c>
      <c r="CA190" s="2" t="s">
        <v>113</v>
      </c>
      <c r="CB190" s="2" t="s">
        <v>113</v>
      </c>
      <c r="CD190" s="2">
        <v>30</v>
      </c>
    </row>
    <row r="191" spans="4:82">
      <c r="R191" s="2">
        <v>36.5</v>
      </c>
      <c r="S191" s="2">
        <f t="shared" si="9"/>
        <v>40.5</v>
      </c>
      <c r="T191" s="2">
        <v>36.5</v>
      </c>
      <c r="U191" s="2">
        <f t="shared" si="10"/>
        <v>40.5</v>
      </c>
      <c r="AB191">
        <v>56.5</v>
      </c>
      <c r="AC191" s="2" t="s">
        <v>113</v>
      </c>
      <c r="AD191" s="2" t="s">
        <v>113</v>
      </c>
      <c r="AE191" s="2" t="s">
        <v>113</v>
      </c>
      <c r="AF191" s="2" t="s">
        <v>113</v>
      </c>
      <c r="AG191" s="2" t="s">
        <v>113</v>
      </c>
      <c r="AH191" s="2" t="s">
        <v>113</v>
      </c>
      <c r="AI191" s="2" t="s">
        <v>113</v>
      </c>
      <c r="AJ191" s="2" t="s">
        <v>113</v>
      </c>
      <c r="AK191" s="2" t="s">
        <v>113</v>
      </c>
      <c r="AL191" s="2" t="s">
        <v>113</v>
      </c>
      <c r="AM191" s="2" t="s">
        <v>113</v>
      </c>
      <c r="AN191" s="2" t="s">
        <v>113</v>
      </c>
      <c r="AO191" s="2" t="s">
        <v>113</v>
      </c>
      <c r="AP191" s="2" t="s">
        <v>113</v>
      </c>
      <c r="AQ191" s="2" t="s">
        <v>113</v>
      </c>
      <c r="AR191" s="2" t="s">
        <v>113</v>
      </c>
      <c r="AS191" s="2" t="s">
        <v>113</v>
      </c>
      <c r="AT191" s="2" t="s">
        <v>113</v>
      </c>
      <c r="AU191" s="2" t="s">
        <v>113</v>
      </c>
      <c r="AV191" s="2" t="s">
        <v>113</v>
      </c>
      <c r="AW191" s="2" t="s">
        <v>113</v>
      </c>
      <c r="AX191" s="2" t="s">
        <v>113</v>
      </c>
      <c r="AY191" s="2" t="s">
        <v>113</v>
      </c>
      <c r="AZ191" s="2" t="s">
        <v>113</v>
      </c>
      <c r="BA191" s="2" t="s">
        <v>113</v>
      </c>
      <c r="BB191" s="2" t="s">
        <v>113</v>
      </c>
      <c r="BC191" s="2" t="s">
        <v>113</v>
      </c>
      <c r="BD191" s="2" t="s">
        <v>113</v>
      </c>
      <c r="BE191" s="2" t="s">
        <v>113</v>
      </c>
      <c r="BF191" s="2" t="s">
        <v>113</v>
      </c>
      <c r="BG191" s="2" t="s">
        <v>113</v>
      </c>
      <c r="BH191" s="2" t="s">
        <v>113</v>
      </c>
      <c r="BI191" s="2" t="s">
        <v>113</v>
      </c>
      <c r="BJ191" s="2" t="s">
        <v>113</v>
      </c>
      <c r="BK191" s="2" t="s">
        <v>113</v>
      </c>
      <c r="BL191" s="2" t="s">
        <v>113</v>
      </c>
      <c r="BM191" s="2" t="s">
        <v>113</v>
      </c>
      <c r="BN191" s="2" t="s">
        <v>113</v>
      </c>
      <c r="BO191" s="2" t="s">
        <v>113</v>
      </c>
      <c r="BP191" s="2" t="s">
        <v>113</v>
      </c>
      <c r="BQ191" s="2" t="s">
        <v>113</v>
      </c>
      <c r="BR191" s="2" t="s">
        <v>113</v>
      </c>
      <c r="BS191" s="2" t="s">
        <v>113</v>
      </c>
      <c r="BT191" s="2" t="s">
        <v>113</v>
      </c>
      <c r="BU191" s="2" t="s">
        <v>113</v>
      </c>
      <c r="BV191" s="2" t="s">
        <v>113</v>
      </c>
      <c r="BW191" s="2" t="s">
        <v>113</v>
      </c>
      <c r="BX191" s="2" t="s">
        <v>113</v>
      </c>
      <c r="BY191" s="2" t="s">
        <v>113</v>
      </c>
      <c r="BZ191" s="2" t="s">
        <v>113</v>
      </c>
      <c r="CA191" s="2" t="s">
        <v>113</v>
      </c>
      <c r="CB191" s="2" t="s">
        <v>113</v>
      </c>
      <c r="CD191" s="2">
        <v>30</v>
      </c>
    </row>
    <row r="192" spans="4:82">
      <c r="R192" s="2">
        <v>37</v>
      </c>
      <c r="S192" s="2">
        <f t="shared" si="9"/>
        <v>41</v>
      </c>
      <c r="T192" s="2">
        <v>37</v>
      </c>
      <c r="U192" s="2">
        <f t="shared" si="10"/>
        <v>41</v>
      </c>
      <c r="AB192">
        <v>56</v>
      </c>
      <c r="AC192" s="2" t="s">
        <v>113</v>
      </c>
      <c r="AD192" s="2" t="s">
        <v>113</v>
      </c>
      <c r="AE192" s="2" t="s">
        <v>113</v>
      </c>
      <c r="AF192" s="2" t="s">
        <v>113</v>
      </c>
      <c r="AG192" s="2" t="s">
        <v>113</v>
      </c>
      <c r="AH192" s="2" t="s">
        <v>113</v>
      </c>
      <c r="AI192" s="2" t="s">
        <v>113</v>
      </c>
      <c r="AJ192" s="2" t="s">
        <v>113</v>
      </c>
      <c r="AK192" s="2" t="s">
        <v>113</v>
      </c>
      <c r="AL192" s="2" t="s">
        <v>113</v>
      </c>
      <c r="AM192" s="2" t="s">
        <v>113</v>
      </c>
      <c r="AN192" s="2" t="s">
        <v>113</v>
      </c>
      <c r="AO192" s="2" t="s">
        <v>113</v>
      </c>
      <c r="AP192" s="2" t="s">
        <v>113</v>
      </c>
      <c r="AQ192" s="2" t="s">
        <v>113</v>
      </c>
      <c r="AR192" s="2" t="s">
        <v>113</v>
      </c>
      <c r="AS192" s="2" t="s">
        <v>113</v>
      </c>
      <c r="AT192" s="2" t="s">
        <v>113</v>
      </c>
      <c r="AU192" s="2" t="s">
        <v>113</v>
      </c>
      <c r="AV192" s="2" t="s">
        <v>113</v>
      </c>
      <c r="AW192" s="2" t="s">
        <v>113</v>
      </c>
      <c r="AX192" s="2" t="s">
        <v>113</v>
      </c>
      <c r="AY192" s="2" t="s">
        <v>113</v>
      </c>
      <c r="AZ192" s="2" t="s">
        <v>113</v>
      </c>
      <c r="BA192" s="2" t="s">
        <v>113</v>
      </c>
      <c r="BB192" s="2" t="s">
        <v>113</v>
      </c>
      <c r="BC192" s="2" t="s">
        <v>113</v>
      </c>
      <c r="BD192" s="2" t="s">
        <v>113</v>
      </c>
      <c r="BE192" s="2" t="s">
        <v>113</v>
      </c>
      <c r="BF192" s="2" t="s">
        <v>113</v>
      </c>
      <c r="BG192" s="2" t="s">
        <v>113</v>
      </c>
      <c r="BH192" s="2" t="s">
        <v>113</v>
      </c>
      <c r="BI192" s="2" t="s">
        <v>113</v>
      </c>
      <c r="BJ192" s="2" t="s">
        <v>113</v>
      </c>
      <c r="BK192" s="2" t="s">
        <v>113</v>
      </c>
      <c r="BL192" s="2" t="s">
        <v>113</v>
      </c>
      <c r="BM192" s="2" t="s">
        <v>113</v>
      </c>
      <c r="BN192" s="2" t="s">
        <v>113</v>
      </c>
      <c r="BO192" s="2" t="s">
        <v>113</v>
      </c>
      <c r="BP192" s="2" t="s">
        <v>113</v>
      </c>
      <c r="BQ192" s="2" t="s">
        <v>113</v>
      </c>
      <c r="BR192" s="2" t="s">
        <v>113</v>
      </c>
      <c r="BS192" s="2" t="s">
        <v>113</v>
      </c>
      <c r="BT192" s="2" t="s">
        <v>113</v>
      </c>
      <c r="BU192" s="2" t="s">
        <v>113</v>
      </c>
      <c r="BV192" s="2" t="s">
        <v>113</v>
      </c>
      <c r="BW192" s="2" t="s">
        <v>113</v>
      </c>
      <c r="BX192" s="2" t="s">
        <v>113</v>
      </c>
      <c r="BY192" s="2" t="s">
        <v>113</v>
      </c>
      <c r="BZ192" s="2" t="s">
        <v>113</v>
      </c>
      <c r="CA192" s="2" t="s">
        <v>113</v>
      </c>
      <c r="CB192" s="2" t="s">
        <v>113</v>
      </c>
      <c r="CD192" s="2">
        <v>30</v>
      </c>
    </row>
    <row r="193" spans="18:82">
      <c r="R193" s="2">
        <v>37.5</v>
      </c>
      <c r="S193" s="2">
        <f t="shared" si="9"/>
        <v>41.5</v>
      </c>
      <c r="T193" s="2">
        <v>37.5</v>
      </c>
      <c r="U193" s="2">
        <f t="shared" si="10"/>
        <v>41.5</v>
      </c>
      <c r="AB193">
        <v>55.5</v>
      </c>
      <c r="AC193" s="2" t="s">
        <v>113</v>
      </c>
      <c r="AD193" s="2" t="s">
        <v>113</v>
      </c>
      <c r="AE193" s="2" t="s">
        <v>113</v>
      </c>
      <c r="AF193" s="2" t="s">
        <v>113</v>
      </c>
      <c r="AG193" s="2" t="s">
        <v>113</v>
      </c>
      <c r="AH193" s="2" t="s">
        <v>113</v>
      </c>
      <c r="AI193" s="2" t="s">
        <v>113</v>
      </c>
      <c r="AJ193" s="2" t="s">
        <v>113</v>
      </c>
      <c r="AK193" s="2" t="s">
        <v>113</v>
      </c>
      <c r="AL193" s="2" t="s">
        <v>113</v>
      </c>
      <c r="AM193" s="2" t="s">
        <v>113</v>
      </c>
      <c r="AN193" s="2" t="s">
        <v>113</v>
      </c>
      <c r="AO193" s="2" t="s">
        <v>113</v>
      </c>
      <c r="AP193" s="2" t="s">
        <v>113</v>
      </c>
      <c r="AQ193" s="2" t="s">
        <v>113</v>
      </c>
      <c r="AR193" s="2" t="s">
        <v>113</v>
      </c>
      <c r="AS193" s="2" t="s">
        <v>113</v>
      </c>
      <c r="AT193" s="2" t="s">
        <v>113</v>
      </c>
      <c r="AU193" s="2" t="s">
        <v>113</v>
      </c>
      <c r="AV193" s="2" t="s">
        <v>113</v>
      </c>
      <c r="AW193" s="2" t="s">
        <v>113</v>
      </c>
      <c r="AX193" s="2" t="s">
        <v>113</v>
      </c>
      <c r="AY193" s="2" t="s">
        <v>113</v>
      </c>
      <c r="AZ193" s="2" t="s">
        <v>113</v>
      </c>
      <c r="BA193" s="2" t="s">
        <v>113</v>
      </c>
      <c r="BB193" s="2" t="s">
        <v>113</v>
      </c>
      <c r="BC193" s="2" t="s">
        <v>113</v>
      </c>
      <c r="BD193" s="2" t="s">
        <v>113</v>
      </c>
      <c r="BE193" s="2" t="s">
        <v>113</v>
      </c>
      <c r="BF193" s="2" t="s">
        <v>113</v>
      </c>
      <c r="BG193" s="2" t="s">
        <v>113</v>
      </c>
      <c r="BH193" s="2" t="s">
        <v>113</v>
      </c>
      <c r="BI193" s="2" t="s">
        <v>113</v>
      </c>
      <c r="BJ193" s="2" t="s">
        <v>113</v>
      </c>
      <c r="BK193" s="2" t="s">
        <v>113</v>
      </c>
      <c r="BL193" s="2" t="s">
        <v>113</v>
      </c>
      <c r="BM193" s="2" t="s">
        <v>113</v>
      </c>
      <c r="BN193" s="2" t="s">
        <v>113</v>
      </c>
      <c r="BO193" s="2" t="s">
        <v>113</v>
      </c>
      <c r="BP193" s="2" t="s">
        <v>113</v>
      </c>
      <c r="BQ193" s="2" t="s">
        <v>113</v>
      </c>
      <c r="BR193" s="2" t="s">
        <v>113</v>
      </c>
      <c r="BS193" s="2" t="s">
        <v>113</v>
      </c>
      <c r="BT193" s="2" t="s">
        <v>113</v>
      </c>
      <c r="BU193" s="2" t="s">
        <v>113</v>
      </c>
      <c r="BV193" s="2" t="s">
        <v>113</v>
      </c>
      <c r="BW193" s="2" t="s">
        <v>113</v>
      </c>
      <c r="BX193" s="2" t="s">
        <v>113</v>
      </c>
      <c r="BY193" s="2" t="s">
        <v>113</v>
      </c>
      <c r="BZ193" s="2" t="s">
        <v>113</v>
      </c>
      <c r="CA193" s="2" t="s">
        <v>113</v>
      </c>
      <c r="CB193" s="2" t="s">
        <v>113</v>
      </c>
      <c r="CD193" s="2">
        <v>30</v>
      </c>
    </row>
    <row r="194" spans="18:82">
      <c r="R194" s="2">
        <v>38</v>
      </c>
      <c r="S194" s="2">
        <f t="shared" si="9"/>
        <v>42</v>
      </c>
      <c r="T194" s="2">
        <v>38</v>
      </c>
      <c r="U194" s="2">
        <f t="shared" si="10"/>
        <v>42</v>
      </c>
      <c r="AB194">
        <v>55</v>
      </c>
      <c r="AC194" s="2" t="s">
        <v>113</v>
      </c>
      <c r="AD194" s="2" t="s">
        <v>113</v>
      </c>
      <c r="AE194" s="2" t="s">
        <v>113</v>
      </c>
      <c r="AF194" s="2" t="s">
        <v>113</v>
      </c>
      <c r="AG194" s="2" t="s">
        <v>113</v>
      </c>
      <c r="AH194" s="2" t="s">
        <v>113</v>
      </c>
      <c r="AI194" s="2" t="s">
        <v>113</v>
      </c>
      <c r="AJ194" s="2" t="s">
        <v>113</v>
      </c>
      <c r="AK194" s="2" t="s">
        <v>113</v>
      </c>
      <c r="AL194" s="2" t="s">
        <v>113</v>
      </c>
      <c r="AM194" s="2" t="s">
        <v>113</v>
      </c>
      <c r="AN194" s="2" t="s">
        <v>113</v>
      </c>
      <c r="AO194" s="2" t="s">
        <v>113</v>
      </c>
      <c r="AP194" s="2" t="s">
        <v>113</v>
      </c>
      <c r="AQ194" s="2" t="s">
        <v>113</v>
      </c>
      <c r="AR194" s="2" t="s">
        <v>113</v>
      </c>
      <c r="AS194" s="2" t="s">
        <v>113</v>
      </c>
      <c r="AT194" s="2" t="s">
        <v>113</v>
      </c>
      <c r="AU194" s="2" t="s">
        <v>113</v>
      </c>
      <c r="AV194" s="2" t="s">
        <v>113</v>
      </c>
      <c r="AW194" s="2" t="s">
        <v>113</v>
      </c>
      <c r="AX194" s="2" t="s">
        <v>113</v>
      </c>
      <c r="AY194" s="2" t="s">
        <v>113</v>
      </c>
      <c r="AZ194" s="2" t="s">
        <v>113</v>
      </c>
      <c r="BA194" s="2" t="s">
        <v>113</v>
      </c>
      <c r="BB194" s="2" t="s">
        <v>113</v>
      </c>
      <c r="BC194" s="2" t="s">
        <v>113</v>
      </c>
      <c r="BD194" s="2" t="s">
        <v>113</v>
      </c>
      <c r="BE194" s="2" t="s">
        <v>113</v>
      </c>
      <c r="BF194" s="2" t="s">
        <v>113</v>
      </c>
      <c r="BG194" s="2" t="s">
        <v>113</v>
      </c>
      <c r="BH194" s="2" t="s">
        <v>113</v>
      </c>
      <c r="BI194" s="2" t="s">
        <v>113</v>
      </c>
      <c r="BJ194" s="2" t="s">
        <v>113</v>
      </c>
      <c r="BK194" s="2" t="s">
        <v>113</v>
      </c>
      <c r="BL194" s="2" t="s">
        <v>113</v>
      </c>
      <c r="BM194" s="2" t="s">
        <v>113</v>
      </c>
      <c r="BN194" s="2" t="s">
        <v>113</v>
      </c>
      <c r="BO194" s="2" t="s">
        <v>113</v>
      </c>
      <c r="BP194" s="2" t="s">
        <v>113</v>
      </c>
      <c r="BQ194" s="2" t="s">
        <v>113</v>
      </c>
      <c r="BR194" s="2" t="s">
        <v>113</v>
      </c>
      <c r="BS194" s="2" t="s">
        <v>113</v>
      </c>
      <c r="BT194" s="2" t="s">
        <v>113</v>
      </c>
      <c r="BU194" s="2" t="s">
        <v>113</v>
      </c>
      <c r="BV194" s="2" t="s">
        <v>113</v>
      </c>
      <c r="BW194" s="2" t="s">
        <v>113</v>
      </c>
      <c r="BX194" s="2" t="s">
        <v>113</v>
      </c>
      <c r="BY194" s="2" t="s">
        <v>113</v>
      </c>
      <c r="BZ194" s="2" t="s">
        <v>113</v>
      </c>
      <c r="CA194" s="2" t="s">
        <v>113</v>
      </c>
      <c r="CB194" s="2" t="s">
        <v>113</v>
      </c>
      <c r="CD194" s="2">
        <v>30</v>
      </c>
    </row>
    <row r="195" spans="18:82">
      <c r="R195" s="2">
        <v>38.5</v>
      </c>
      <c r="S195" s="2">
        <f t="shared" si="9"/>
        <v>42.5</v>
      </c>
      <c r="T195" s="2">
        <v>38.5</v>
      </c>
      <c r="U195" s="2">
        <f t="shared" si="10"/>
        <v>42.5</v>
      </c>
      <c r="AB195">
        <v>54.5</v>
      </c>
      <c r="AC195" s="2" t="s">
        <v>113</v>
      </c>
      <c r="AD195" s="2" t="s">
        <v>113</v>
      </c>
      <c r="AE195" s="2" t="s">
        <v>113</v>
      </c>
      <c r="AF195" s="2" t="s">
        <v>113</v>
      </c>
      <c r="AG195" s="2" t="s">
        <v>113</v>
      </c>
      <c r="AH195" s="2" t="s">
        <v>113</v>
      </c>
      <c r="AI195" s="2" t="s">
        <v>113</v>
      </c>
      <c r="AJ195" s="2" t="s">
        <v>113</v>
      </c>
      <c r="AK195" s="2" t="s">
        <v>113</v>
      </c>
      <c r="AL195" s="2" t="s">
        <v>113</v>
      </c>
      <c r="AM195" s="2" t="s">
        <v>113</v>
      </c>
      <c r="AN195" s="2" t="s">
        <v>113</v>
      </c>
      <c r="AO195" s="2" t="s">
        <v>113</v>
      </c>
      <c r="AP195" s="2" t="s">
        <v>113</v>
      </c>
      <c r="AQ195" s="2" t="s">
        <v>113</v>
      </c>
      <c r="AR195" s="2" t="s">
        <v>113</v>
      </c>
      <c r="AS195" s="2" t="s">
        <v>113</v>
      </c>
      <c r="AT195" s="2" t="s">
        <v>113</v>
      </c>
      <c r="AU195" s="2" t="s">
        <v>113</v>
      </c>
      <c r="AV195" s="2" t="s">
        <v>113</v>
      </c>
      <c r="AW195" s="2" t="s">
        <v>113</v>
      </c>
      <c r="AX195" s="2" t="s">
        <v>113</v>
      </c>
      <c r="AY195" s="2" t="s">
        <v>113</v>
      </c>
      <c r="AZ195" s="2" t="s">
        <v>113</v>
      </c>
      <c r="BA195" s="2" t="s">
        <v>113</v>
      </c>
      <c r="BB195" s="2" t="s">
        <v>113</v>
      </c>
      <c r="BC195" s="2" t="s">
        <v>113</v>
      </c>
      <c r="BD195" s="2" t="s">
        <v>113</v>
      </c>
      <c r="BE195" s="2" t="s">
        <v>113</v>
      </c>
      <c r="BF195" s="2" t="s">
        <v>113</v>
      </c>
      <c r="BG195" s="2" t="s">
        <v>113</v>
      </c>
      <c r="BH195" s="2" t="s">
        <v>113</v>
      </c>
      <c r="BI195" s="2" t="s">
        <v>113</v>
      </c>
      <c r="BJ195" s="2" t="s">
        <v>113</v>
      </c>
      <c r="BK195" s="2" t="s">
        <v>113</v>
      </c>
      <c r="BL195" s="2" t="s">
        <v>113</v>
      </c>
      <c r="BM195" s="2" t="s">
        <v>113</v>
      </c>
      <c r="BN195" s="2" t="s">
        <v>113</v>
      </c>
      <c r="BO195" s="2" t="s">
        <v>113</v>
      </c>
      <c r="BP195" s="2" t="s">
        <v>113</v>
      </c>
      <c r="BQ195" s="2" t="s">
        <v>113</v>
      </c>
      <c r="BR195" s="2" t="s">
        <v>113</v>
      </c>
      <c r="BS195" s="2" t="s">
        <v>113</v>
      </c>
      <c r="BT195" s="2" t="s">
        <v>113</v>
      </c>
      <c r="BU195" s="2" t="s">
        <v>113</v>
      </c>
      <c r="BV195" s="2" t="s">
        <v>113</v>
      </c>
      <c r="BW195" s="2" t="s">
        <v>113</v>
      </c>
      <c r="BX195" s="2" t="s">
        <v>113</v>
      </c>
      <c r="BY195" s="2" t="s">
        <v>113</v>
      </c>
      <c r="BZ195" s="2" t="s">
        <v>113</v>
      </c>
      <c r="CA195" s="2" t="s">
        <v>113</v>
      </c>
      <c r="CB195" s="2" t="s">
        <v>113</v>
      </c>
      <c r="CD195" s="2">
        <v>30</v>
      </c>
    </row>
    <row r="196" spans="18:82">
      <c r="R196" s="2">
        <v>39</v>
      </c>
      <c r="S196" s="2">
        <f t="shared" si="9"/>
        <v>43</v>
      </c>
      <c r="T196" s="2">
        <v>39</v>
      </c>
      <c r="U196" s="2">
        <f t="shared" si="10"/>
        <v>43</v>
      </c>
      <c r="AB196">
        <v>54</v>
      </c>
      <c r="AC196" s="2" t="s">
        <v>113</v>
      </c>
      <c r="AD196" s="2" t="s">
        <v>113</v>
      </c>
      <c r="AE196" s="2" t="s">
        <v>113</v>
      </c>
      <c r="AF196" s="2" t="s">
        <v>113</v>
      </c>
      <c r="AG196" s="2" t="s">
        <v>113</v>
      </c>
      <c r="AH196" s="2" t="s">
        <v>113</v>
      </c>
      <c r="AI196" s="2" t="s">
        <v>113</v>
      </c>
      <c r="AJ196" s="2" t="s">
        <v>113</v>
      </c>
      <c r="AK196" s="2" t="s">
        <v>113</v>
      </c>
      <c r="AL196" s="2" t="s">
        <v>113</v>
      </c>
      <c r="AM196" s="2" t="s">
        <v>113</v>
      </c>
      <c r="AN196" s="2" t="s">
        <v>113</v>
      </c>
      <c r="AO196" s="2" t="s">
        <v>113</v>
      </c>
      <c r="AP196" s="2" t="s">
        <v>113</v>
      </c>
      <c r="AQ196" s="2" t="s">
        <v>113</v>
      </c>
      <c r="AR196" s="2" t="s">
        <v>113</v>
      </c>
      <c r="AS196" s="2" t="s">
        <v>113</v>
      </c>
      <c r="AT196" s="2" t="s">
        <v>113</v>
      </c>
      <c r="AU196" s="2" t="s">
        <v>113</v>
      </c>
      <c r="AV196" s="2" t="s">
        <v>113</v>
      </c>
      <c r="AW196" s="2" t="s">
        <v>113</v>
      </c>
      <c r="AX196" s="2" t="s">
        <v>113</v>
      </c>
      <c r="AY196" s="2" t="s">
        <v>113</v>
      </c>
      <c r="AZ196" s="2" t="s">
        <v>113</v>
      </c>
      <c r="BA196" s="2" t="s">
        <v>113</v>
      </c>
      <c r="BB196" s="2" t="s">
        <v>113</v>
      </c>
      <c r="BC196" s="2" t="s">
        <v>113</v>
      </c>
      <c r="BD196" s="2" t="s">
        <v>113</v>
      </c>
      <c r="BE196" s="2" t="s">
        <v>113</v>
      </c>
      <c r="BF196" s="2" t="s">
        <v>113</v>
      </c>
      <c r="BG196" s="2" t="s">
        <v>113</v>
      </c>
      <c r="BH196" s="2" t="s">
        <v>113</v>
      </c>
      <c r="BI196" s="2" t="s">
        <v>113</v>
      </c>
      <c r="BJ196" s="2" t="s">
        <v>113</v>
      </c>
      <c r="BK196" s="2" t="s">
        <v>113</v>
      </c>
      <c r="BL196" s="2" t="s">
        <v>113</v>
      </c>
      <c r="BM196" s="2" t="s">
        <v>113</v>
      </c>
      <c r="BN196" s="2" t="s">
        <v>113</v>
      </c>
      <c r="BO196" s="2" t="s">
        <v>113</v>
      </c>
      <c r="BP196" s="2" t="s">
        <v>113</v>
      </c>
      <c r="BQ196" s="2" t="s">
        <v>113</v>
      </c>
      <c r="BR196" s="2" t="s">
        <v>113</v>
      </c>
      <c r="BS196" s="2" t="s">
        <v>113</v>
      </c>
      <c r="BT196" s="2" t="s">
        <v>113</v>
      </c>
      <c r="BU196" s="2" t="s">
        <v>113</v>
      </c>
      <c r="BV196" s="2" t="s">
        <v>113</v>
      </c>
      <c r="BW196" s="2" t="s">
        <v>113</v>
      </c>
      <c r="BX196" s="2" t="s">
        <v>113</v>
      </c>
      <c r="BY196" s="2" t="s">
        <v>113</v>
      </c>
      <c r="BZ196" s="2" t="s">
        <v>113</v>
      </c>
      <c r="CA196" s="2" t="s">
        <v>113</v>
      </c>
      <c r="CB196" s="2" t="s">
        <v>113</v>
      </c>
      <c r="CD196" s="2">
        <v>30</v>
      </c>
    </row>
    <row r="197" spans="18:82">
      <c r="R197" s="2">
        <v>39.5</v>
      </c>
      <c r="S197" s="2">
        <f t="shared" si="9"/>
        <v>43.5</v>
      </c>
      <c r="T197" s="2">
        <v>39.5</v>
      </c>
      <c r="U197" s="2">
        <f t="shared" si="10"/>
        <v>43.5</v>
      </c>
      <c r="AB197">
        <v>53.5</v>
      </c>
      <c r="AC197" s="2" t="s">
        <v>113</v>
      </c>
      <c r="AD197" s="2" t="s">
        <v>113</v>
      </c>
      <c r="AE197" s="2" t="s">
        <v>113</v>
      </c>
      <c r="AF197" s="2" t="s">
        <v>113</v>
      </c>
      <c r="AG197" s="2" t="s">
        <v>113</v>
      </c>
      <c r="AH197" s="2" t="s">
        <v>113</v>
      </c>
      <c r="AI197" s="2" t="s">
        <v>113</v>
      </c>
      <c r="AJ197" s="2" t="s">
        <v>113</v>
      </c>
      <c r="AK197" s="2" t="s">
        <v>113</v>
      </c>
      <c r="AL197" s="2" t="s">
        <v>113</v>
      </c>
      <c r="AM197" s="2" t="s">
        <v>113</v>
      </c>
      <c r="AN197" s="2" t="s">
        <v>113</v>
      </c>
      <c r="AO197" s="2" t="s">
        <v>113</v>
      </c>
      <c r="AP197" s="2" t="s">
        <v>113</v>
      </c>
      <c r="AQ197" s="2" t="s">
        <v>113</v>
      </c>
      <c r="AR197" s="2" t="s">
        <v>113</v>
      </c>
      <c r="AS197" s="2" t="s">
        <v>113</v>
      </c>
      <c r="AT197" s="2" t="s">
        <v>113</v>
      </c>
      <c r="AU197" s="2" t="s">
        <v>113</v>
      </c>
      <c r="AV197" s="2" t="s">
        <v>113</v>
      </c>
      <c r="AW197" s="2" t="s">
        <v>113</v>
      </c>
      <c r="AX197" s="2" t="s">
        <v>113</v>
      </c>
      <c r="AY197" s="2" t="s">
        <v>113</v>
      </c>
      <c r="AZ197" s="2" t="s">
        <v>113</v>
      </c>
      <c r="BA197" s="2" t="s">
        <v>113</v>
      </c>
      <c r="BB197" s="2" t="s">
        <v>113</v>
      </c>
      <c r="BC197" s="2" t="s">
        <v>113</v>
      </c>
      <c r="BD197" s="2" t="s">
        <v>113</v>
      </c>
      <c r="BE197" s="2" t="s">
        <v>113</v>
      </c>
      <c r="BF197" s="2" t="s">
        <v>113</v>
      </c>
      <c r="BG197" s="2" t="s">
        <v>113</v>
      </c>
      <c r="BH197" s="2" t="s">
        <v>113</v>
      </c>
      <c r="BI197" s="2" t="s">
        <v>113</v>
      </c>
      <c r="BJ197" s="2" t="s">
        <v>113</v>
      </c>
      <c r="BK197" s="2" t="s">
        <v>113</v>
      </c>
      <c r="BL197" s="2" t="s">
        <v>113</v>
      </c>
      <c r="BM197" s="2" t="s">
        <v>113</v>
      </c>
      <c r="BN197" s="2" t="s">
        <v>113</v>
      </c>
      <c r="BO197" s="2" t="s">
        <v>113</v>
      </c>
      <c r="BP197" s="2" t="s">
        <v>113</v>
      </c>
      <c r="BQ197" s="2" t="s">
        <v>113</v>
      </c>
      <c r="BR197" s="2" t="s">
        <v>113</v>
      </c>
      <c r="BS197" s="2" t="s">
        <v>113</v>
      </c>
      <c r="BT197" s="2" t="s">
        <v>113</v>
      </c>
      <c r="BU197" s="2" t="s">
        <v>113</v>
      </c>
      <c r="BV197" s="2" t="s">
        <v>113</v>
      </c>
      <c r="BW197" s="2" t="s">
        <v>113</v>
      </c>
      <c r="BX197" s="2" t="s">
        <v>113</v>
      </c>
      <c r="BY197" s="2" t="s">
        <v>113</v>
      </c>
      <c r="BZ197" s="2" t="s">
        <v>113</v>
      </c>
      <c r="CA197" s="2" t="s">
        <v>113</v>
      </c>
      <c r="CB197" s="2" t="s">
        <v>113</v>
      </c>
      <c r="CD197" s="2">
        <v>30</v>
      </c>
    </row>
    <row r="198" spans="18:82">
      <c r="R198" s="2">
        <v>40</v>
      </c>
      <c r="S198" s="2">
        <f t="shared" si="9"/>
        <v>44</v>
      </c>
      <c r="T198" s="2">
        <v>40</v>
      </c>
      <c r="U198" s="2">
        <f t="shared" si="10"/>
        <v>44</v>
      </c>
      <c r="AB198">
        <v>53</v>
      </c>
      <c r="AC198" s="2" t="s">
        <v>113</v>
      </c>
      <c r="AD198" s="2" t="s">
        <v>113</v>
      </c>
      <c r="AE198" s="2" t="s">
        <v>113</v>
      </c>
      <c r="AF198" s="2" t="s">
        <v>113</v>
      </c>
      <c r="AG198" s="2" t="s">
        <v>113</v>
      </c>
      <c r="AH198" s="2" t="s">
        <v>113</v>
      </c>
      <c r="AI198" s="2" t="s">
        <v>113</v>
      </c>
      <c r="AJ198" s="2" t="s">
        <v>113</v>
      </c>
      <c r="AK198" s="2" t="s">
        <v>113</v>
      </c>
      <c r="AL198" s="2" t="s">
        <v>113</v>
      </c>
      <c r="AM198" s="2" t="s">
        <v>113</v>
      </c>
      <c r="AN198" s="2" t="s">
        <v>113</v>
      </c>
      <c r="AO198" s="2" t="s">
        <v>113</v>
      </c>
      <c r="AP198" s="2" t="s">
        <v>113</v>
      </c>
      <c r="AQ198" s="2" t="s">
        <v>113</v>
      </c>
      <c r="AR198" s="2" t="s">
        <v>113</v>
      </c>
      <c r="AS198" s="2" t="s">
        <v>113</v>
      </c>
      <c r="AT198" s="2" t="s">
        <v>113</v>
      </c>
      <c r="AU198" s="2" t="s">
        <v>113</v>
      </c>
      <c r="AV198" s="2" t="s">
        <v>113</v>
      </c>
      <c r="AW198" s="2" t="s">
        <v>113</v>
      </c>
      <c r="AX198" s="2" t="s">
        <v>113</v>
      </c>
      <c r="AY198" s="2" t="s">
        <v>113</v>
      </c>
      <c r="AZ198" s="2" t="s">
        <v>113</v>
      </c>
      <c r="BA198" s="2" t="s">
        <v>113</v>
      </c>
      <c r="BB198" s="2" t="s">
        <v>113</v>
      </c>
      <c r="BC198" s="2" t="s">
        <v>113</v>
      </c>
      <c r="BD198" s="2" t="s">
        <v>113</v>
      </c>
      <c r="BE198" s="2" t="s">
        <v>113</v>
      </c>
      <c r="BF198" s="2" t="s">
        <v>113</v>
      </c>
      <c r="BG198" s="2" t="s">
        <v>113</v>
      </c>
      <c r="BH198" s="2" t="s">
        <v>113</v>
      </c>
      <c r="BI198" s="2" t="s">
        <v>113</v>
      </c>
      <c r="BJ198" s="2" t="s">
        <v>113</v>
      </c>
      <c r="BK198" s="2" t="s">
        <v>113</v>
      </c>
      <c r="BL198" s="2" t="s">
        <v>113</v>
      </c>
      <c r="BM198" s="2" t="s">
        <v>113</v>
      </c>
      <c r="BN198" s="2" t="s">
        <v>113</v>
      </c>
      <c r="BO198" s="2" t="s">
        <v>113</v>
      </c>
      <c r="BP198" s="2" t="s">
        <v>113</v>
      </c>
      <c r="BQ198" s="2" t="s">
        <v>113</v>
      </c>
      <c r="BR198" s="2" t="s">
        <v>113</v>
      </c>
      <c r="BS198" s="2" t="s">
        <v>113</v>
      </c>
      <c r="BT198" s="2" t="s">
        <v>113</v>
      </c>
      <c r="BU198" s="2" t="s">
        <v>113</v>
      </c>
      <c r="BV198" s="2" t="s">
        <v>113</v>
      </c>
      <c r="BW198" s="2" t="s">
        <v>113</v>
      </c>
      <c r="BX198" s="2" t="s">
        <v>113</v>
      </c>
      <c r="BY198" s="2" t="s">
        <v>113</v>
      </c>
      <c r="BZ198" s="2" t="s">
        <v>113</v>
      </c>
      <c r="CA198" s="2" t="s">
        <v>113</v>
      </c>
      <c r="CB198" s="2" t="s">
        <v>113</v>
      </c>
      <c r="CD198" s="2">
        <v>30</v>
      </c>
    </row>
    <row r="199" spans="18:82">
      <c r="R199" s="2">
        <v>40.5</v>
      </c>
      <c r="S199" s="2">
        <f t="shared" si="9"/>
        <v>44.5</v>
      </c>
      <c r="T199" s="2">
        <v>40.5</v>
      </c>
      <c r="U199" s="2">
        <f t="shared" si="10"/>
        <v>44.5</v>
      </c>
      <c r="AB199">
        <v>52.5</v>
      </c>
      <c r="AC199" s="2" t="s">
        <v>113</v>
      </c>
      <c r="AD199" s="2" t="s">
        <v>113</v>
      </c>
      <c r="AE199" s="2" t="s">
        <v>113</v>
      </c>
      <c r="AF199" s="2" t="s">
        <v>113</v>
      </c>
      <c r="AG199" s="2" t="s">
        <v>113</v>
      </c>
      <c r="AH199" s="2" t="s">
        <v>113</v>
      </c>
      <c r="AI199" s="2" t="s">
        <v>113</v>
      </c>
      <c r="AJ199" s="2" t="s">
        <v>113</v>
      </c>
      <c r="AK199" s="2" t="s">
        <v>113</v>
      </c>
      <c r="AL199" s="2" t="s">
        <v>113</v>
      </c>
      <c r="AM199" s="2" t="s">
        <v>113</v>
      </c>
      <c r="AN199" s="2" t="s">
        <v>113</v>
      </c>
      <c r="AO199" s="2" t="s">
        <v>113</v>
      </c>
      <c r="AP199" s="2" t="s">
        <v>113</v>
      </c>
      <c r="AQ199" s="2" t="s">
        <v>113</v>
      </c>
      <c r="AR199" s="2" t="s">
        <v>113</v>
      </c>
      <c r="AS199" s="2" t="s">
        <v>113</v>
      </c>
      <c r="AT199" s="2" t="s">
        <v>113</v>
      </c>
      <c r="AU199" s="2" t="s">
        <v>113</v>
      </c>
      <c r="AV199" s="2" t="s">
        <v>113</v>
      </c>
      <c r="AW199" s="2" t="s">
        <v>113</v>
      </c>
      <c r="AX199" s="2" t="s">
        <v>113</v>
      </c>
      <c r="AY199" s="2" t="s">
        <v>113</v>
      </c>
      <c r="AZ199" s="2" t="s">
        <v>113</v>
      </c>
      <c r="BA199" s="2" t="s">
        <v>113</v>
      </c>
      <c r="BB199" s="2" t="s">
        <v>113</v>
      </c>
      <c r="BC199" s="2" t="s">
        <v>113</v>
      </c>
      <c r="BD199" s="2" t="s">
        <v>113</v>
      </c>
      <c r="BE199" s="2" t="s">
        <v>113</v>
      </c>
      <c r="BF199" s="2" t="s">
        <v>113</v>
      </c>
      <c r="BG199" s="2" t="s">
        <v>113</v>
      </c>
      <c r="BH199" s="2" t="s">
        <v>113</v>
      </c>
      <c r="BI199" s="2" t="s">
        <v>113</v>
      </c>
      <c r="BJ199" s="2" t="s">
        <v>113</v>
      </c>
      <c r="BK199" s="2" t="s">
        <v>113</v>
      </c>
      <c r="BL199" s="2" t="s">
        <v>113</v>
      </c>
      <c r="BM199" s="2" t="s">
        <v>113</v>
      </c>
      <c r="BN199" s="2" t="s">
        <v>113</v>
      </c>
      <c r="BO199" s="2" t="s">
        <v>113</v>
      </c>
      <c r="BP199" s="2" t="s">
        <v>113</v>
      </c>
      <c r="BQ199" s="2" t="s">
        <v>113</v>
      </c>
      <c r="BR199" s="2" t="s">
        <v>113</v>
      </c>
      <c r="BS199" s="2" t="s">
        <v>113</v>
      </c>
      <c r="BT199" s="2" t="s">
        <v>113</v>
      </c>
      <c r="BU199" s="2" t="s">
        <v>113</v>
      </c>
      <c r="BV199" s="2" t="s">
        <v>113</v>
      </c>
      <c r="BW199" s="2" t="s">
        <v>113</v>
      </c>
      <c r="BX199" s="2" t="s">
        <v>113</v>
      </c>
      <c r="BY199" s="2" t="s">
        <v>113</v>
      </c>
      <c r="BZ199" s="2" t="s">
        <v>113</v>
      </c>
      <c r="CA199" s="2" t="s">
        <v>113</v>
      </c>
      <c r="CB199" s="2" t="s">
        <v>113</v>
      </c>
      <c r="CD199" s="2">
        <v>30</v>
      </c>
    </row>
    <row r="200" spans="18:82">
      <c r="R200" s="2">
        <v>41</v>
      </c>
      <c r="S200" s="2">
        <f t="shared" si="9"/>
        <v>45</v>
      </c>
      <c r="T200" s="2">
        <v>41</v>
      </c>
      <c r="U200" s="2">
        <f t="shared" si="10"/>
        <v>45</v>
      </c>
      <c r="AB200">
        <v>52</v>
      </c>
      <c r="AC200" s="2" t="s">
        <v>113</v>
      </c>
      <c r="AD200" s="2" t="s">
        <v>113</v>
      </c>
      <c r="AE200" s="2" t="s">
        <v>113</v>
      </c>
      <c r="AF200" s="2" t="s">
        <v>113</v>
      </c>
      <c r="AG200" s="2" t="s">
        <v>113</v>
      </c>
      <c r="AH200" s="2" t="s">
        <v>113</v>
      </c>
      <c r="AI200" s="2" t="s">
        <v>113</v>
      </c>
      <c r="AJ200" s="2" t="s">
        <v>113</v>
      </c>
      <c r="AK200" s="2" t="s">
        <v>113</v>
      </c>
      <c r="AL200" s="2" t="s">
        <v>113</v>
      </c>
      <c r="AM200" s="2" t="s">
        <v>113</v>
      </c>
      <c r="AN200" s="2" t="s">
        <v>113</v>
      </c>
      <c r="AO200" s="2" t="s">
        <v>113</v>
      </c>
      <c r="AP200" s="2" t="s">
        <v>113</v>
      </c>
      <c r="AQ200" s="2" t="s">
        <v>113</v>
      </c>
      <c r="AR200" s="2" t="s">
        <v>113</v>
      </c>
      <c r="AS200" s="2" t="s">
        <v>113</v>
      </c>
      <c r="AT200" s="2" t="s">
        <v>113</v>
      </c>
      <c r="AU200" s="2" t="s">
        <v>113</v>
      </c>
      <c r="AV200" s="2" t="s">
        <v>113</v>
      </c>
      <c r="AW200" s="2" t="s">
        <v>113</v>
      </c>
      <c r="AX200" s="2" t="s">
        <v>113</v>
      </c>
      <c r="AY200" s="2" t="s">
        <v>113</v>
      </c>
      <c r="AZ200" s="2" t="s">
        <v>113</v>
      </c>
      <c r="BA200" s="2" t="s">
        <v>113</v>
      </c>
      <c r="BB200" s="2" t="s">
        <v>113</v>
      </c>
      <c r="BC200" s="2" t="s">
        <v>113</v>
      </c>
      <c r="BD200" s="2" t="s">
        <v>113</v>
      </c>
      <c r="BE200" s="2" t="s">
        <v>113</v>
      </c>
      <c r="BF200" s="2" t="s">
        <v>113</v>
      </c>
      <c r="BG200" s="2" t="s">
        <v>113</v>
      </c>
      <c r="BH200" s="2" t="s">
        <v>113</v>
      </c>
      <c r="BI200" s="2" t="s">
        <v>113</v>
      </c>
      <c r="BJ200" s="2" t="s">
        <v>113</v>
      </c>
      <c r="BK200" s="2" t="s">
        <v>113</v>
      </c>
      <c r="BL200" s="2" t="s">
        <v>113</v>
      </c>
      <c r="BM200" s="2" t="s">
        <v>113</v>
      </c>
      <c r="BN200" s="2" t="s">
        <v>113</v>
      </c>
      <c r="BO200" s="2" t="s">
        <v>113</v>
      </c>
      <c r="BP200" s="2" t="s">
        <v>113</v>
      </c>
      <c r="BQ200" s="2" t="s">
        <v>113</v>
      </c>
      <c r="BR200" s="2" t="s">
        <v>113</v>
      </c>
      <c r="BS200" s="2" t="s">
        <v>113</v>
      </c>
      <c r="BT200" s="2" t="s">
        <v>113</v>
      </c>
      <c r="BU200" s="2" t="s">
        <v>113</v>
      </c>
      <c r="BV200" s="2" t="s">
        <v>113</v>
      </c>
      <c r="BW200" s="2" t="s">
        <v>113</v>
      </c>
      <c r="BX200" s="2" t="s">
        <v>113</v>
      </c>
      <c r="BY200" s="2" t="s">
        <v>113</v>
      </c>
      <c r="BZ200" s="2" t="s">
        <v>113</v>
      </c>
      <c r="CA200" s="2" t="s">
        <v>113</v>
      </c>
      <c r="CB200" s="2" t="s">
        <v>113</v>
      </c>
      <c r="CD200" s="2">
        <v>30</v>
      </c>
    </row>
    <row r="201" spans="18:82">
      <c r="R201" s="2">
        <v>41.5</v>
      </c>
      <c r="S201" s="2">
        <f t="shared" si="9"/>
        <v>45.5</v>
      </c>
      <c r="T201" s="2">
        <v>41.5</v>
      </c>
      <c r="U201" s="2">
        <f t="shared" si="10"/>
        <v>45.5</v>
      </c>
      <c r="AB201">
        <v>51.5</v>
      </c>
      <c r="AC201" s="2" t="s">
        <v>113</v>
      </c>
      <c r="AD201" s="2" t="s">
        <v>113</v>
      </c>
      <c r="AE201" s="2" t="s">
        <v>113</v>
      </c>
      <c r="AF201" s="2" t="s">
        <v>113</v>
      </c>
      <c r="AG201" s="2" t="s">
        <v>113</v>
      </c>
      <c r="AH201" s="2" t="s">
        <v>113</v>
      </c>
      <c r="AI201" s="2" t="s">
        <v>113</v>
      </c>
      <c r="AJ201" s="2" t="s">
        <v>113</v>
      </c>
      <c r="AK201" s="2" t="s">
        <v>113</v>
      </c>
      <c r="AL201" s="2" t="s">
        <v>113</v>
      </c>
      <c r="AM201" s="2" t="s">
        <v>113</v>
      </c>
      <c r="AN201" s="2" t="s">
        <v>113</v>
      </c>
      <c r="AO201" s="2" t="s">
        <v>113</v>
      </c>
      <c r="AP201" s="2" t="s">
        <v>113</v>
      </c>
      <c r="AQ201" s="2" t="s">
        <v>113</v>
      </c>
      <c r="AR201" s="2" t="s">
        <v>113</v>
      </c>
      <c r="AS201" s="2" t="s">
        <v>113</v>
      </c>
      <c r="AT201" s="2" t="s">
        <v>113</v>
      </c>
      <c r="AU201" s="2" t="s">
        <v>113</v>
      </c>
      <c r="AV201" s="2" t="s">
        <v>113</v>
      </c>
      <c r="AW201" s="2" t="s">
        <v>113</v>
      </c>
      <c r="AX201" s="2" t="s">
        <v>113</v>
      </c>
      <c r="AY201" s="2" t="s">
        <v>113</v>
      </c>
      <c r="AZ201" s="2" t="s">
        <v>113</v>
      </c>
      <c r="BA201" s="2" t="s">
        <v>113</v>
      </c>
      <c r="BB201" s="2" t="s">
        <v>113</v>
      </c>
      <c r="BC201" s="2" t="s">
        <v>113</v>
      </c>
      <c r="BD201" s="2" t="s">
        <v>113</v>
      </c>
      <c r="BE201" s="2" t="s">
        <v>113</v>
      </c>
      <c r="BF201" s="2" t="s">
        <v>113</v>
      </c>
      <c r="BG201" s="2" t="s">
        <v>113</v>
      </c>
      <c r="BH201" s="2" t="s">
        <v>113</v>
      </c>
      <c r="BI201" s="2" t="s">
        <v>113</v>
      </c>
      <c r="BJ201" s="2" t="s">
        <v>113</v>
      </c>
      <c r="BK201" s="2" t="s">
        <v>113</v>
      </c>
      <c r="BL201" s="2" t="s">
        <v>113</v>
      </c>
      <c r="BM201" s="2" t="s">
        <v>113</v>
      </c>
      <c r="BN201" s="2" t="s">
        <v>113</v>
      </c>
      <c r="BO201" s="2" t="s">
        <v>113</v>
      </c>
      <c r="BP201" s="2" t="s">
        <v>113</v>
      </c>
      <c r="BQ201" s="2" t="s">
        <v>113</v>
      </c>
      <c r="BR201" s="2" t="s">
        <v>113</v>
      </c>
      <c r="BS201" s="2" t="s">
        <v>113</v>
      </c>
      <c r="BT201" s="2" t="s">
        <v>113</v>
      </c>
      <c r="BU201" s="2" t="s">
        <v>113</v>
      </c>
      <c r="BV201" s="2" t="s">
        <v>113</v>
      </c>
      <c r="BW201" s="2" t="s">
        <v>113</v>
      </c>
      <c r="BX201" s="2" t="s">
        <v>113</v>
      </c>
      <c r="BY201" s="2" t="s">
        <v>113</v>
      </c>
      <c r="BZ201" s="2" t="s">
        <v>113</v>
      </c>
      <c r="CA201" s="2" t="s">
        <v>113</v>
      </c>
      <c r="CB201" s="2" t="s">
        <v>113</v>
      </c>
      <c r="CD201" s="2">
        <v>30</v>
      </c>
    </row>
    <row r="202" spans="18:82">
      <c r="R202" s="2">
        <v>42</v>
      </c>
      <c r="S202" s="2">
        <f t="shared" si="9"/>
        <v>46</v>
      </c>
      <c r="T202" s="2">
        <v>42</v>
      </c>
      <c r="U202" s="2">
        <f t="shared" si="10"/>
        <v>46</v>
      </c>
      <c r="AB202">
        <v>51</v>
      </c>
      <c r="AC202" s="2" t="s">
        <v>113</v>
      </c>
      <c r="AD202" s="2" t="s">
        <v>113</v>
      </c>
      <c r="AE202" s="2" t="s">
        <v>113</v>
      </c>
      <c r="AF202" s="2" t="s">
        <v>113</v>
      </c>
      <c r="AG202" s="2" t="s">
        <v>113</v>
      </c>
      <c r="AH202" s="2" t="s">
        <v>113</v>
      </c>
      <c r="AI202" s="2" t="s">
        <v>113</v>
      </c>
      <c r="AJ202" s="2" t="s">
        <v>113</v>
      </c>
      <c r="AK202" s="2" t="s">
        <v>113</v>
      </c>
      <c r="AL202" s="2" t="s">
        <v>113</v>
      </c>
      <c r="AM202" s="2" t="s">
        <v>113</v>
      </c>
      <c r="AN202" s="2" t="s">
        <v>113</v>
      </c>
      <c r="AO202" s="2" t="s">
        <v>113</v>
      </c>
      <c r="AP202" s="2" t="s">
        <v>113</v>
      </c>
      <c r="AQ202" s="2" t="s">
        <v>113</v>
      </c>
      <c r="AR202" s="2" t="s">
        <v>113</v>
      </c>
      <c r="AS202" s="2" t="s">
        <v>113</v>
      </c>
      <c r="AT202" s="2" t="s">
        <v>113</v>
      </c>
      <c r="AU202" s="2" t="s">
        <v>113</v>
      </c>
      <c r="AV202" s="2" t="s">
        <v>113</v>
      </c>
      <c r="AW202" s="2" t="s">
        <v>113</v>
      </c>
      <c r="AX202" s="2" t="s">
        <v>113</v>
      </c>
      <c r="AY202" s="2" t="s">
        <v>113</v>
      </c>
      <c r="AZ202" s="2" t="s">
        <v>113</v>
      </c>
      <c r="BA202" s="2" t="s">
        <v>113</v>
      </c>
      <c r="BB202" s="2" t="s">
        <v>113</v>
      </c>
      <c r="BC202" s="2" t="s">
        <v>113</v>
      </c>
      <c r="BD202" s="2" t="s">
        <v>113</v>
      </c>
      <c r="BE202" s="2" t="s">
        <v>113</v>
      </c>
      <c r="BF202" s="2" t="s">
        <v>113</v>
      </c>
      <c r="BG202" s="2" t="s">
        <v>113</v>
      </c>
      <c r="BH202" s="2" t="s">
        <v>113</v>
      </c>
      <c r="BI202" s="2" t="s">
        <v>113</v>
      </c>
      <c r="BJ202" s="2" t="s">
        <v>113</v>
      </c>
      <c r="BK202" s="2" t="s">
        <v>113</v>
      </c>
      <c r="BL202" s="2" t="s">
        <v>113</v>
      </c>
      <c r="BM202" s="2" t="s">
        <v>113</v>
      </c>
      <c r="BN202" s="2" t="s">
        <v>113</v>
      </c>
      <c r="BO202" s="2" t="s">
        <v>113</v>
      </c>
      <c r="BP202" s="2" t="s">
        <v>113</v>
      </c>
      <c r="BQ202" s="2" t="s">
        <v>113</v>
      </c>
      <c r="BR202" s="2" t="s">
        <v>113</v>
      </c>
      <c r="BS202" s="2" t="s">
        <v>113</v>
      </c>
      <c r="BT202" s="2" t="s">
        <v>113</v>
      </c>
      <c r="BU202" s="2" t="s">
        <v>113</v>
      </c>
      <c r="BV202" s="2" t="s">
        <v>113</v>
      </c>
      <c r="BW202" s="2" t="s">
        <v>113</v>
      </c>
      <c r="BX202" s="2" t="s">
        <v>113</v>
      </c>
      <c r="BY202" s="2" t="s">
        <v>113</v>
      </c>
      <c r="BZ202" s="2" t="s">
        <v>113</v>
      </c>
      <c r="CA202" s="2" t="s">
        <v>113</v>
      </c>
      <c r="CB202" s="2" t="s">
        <v>113</v>
      </c>
      <c r="CD202" s="2">
        <v>30</v>
      </c>
    </row>
    <row r="203" spans="18:82">
      <c r="R203" s="2">
        <v>42.5</v>
      </c>
      <c r="S203" s="2">
        <f t="shared" si="9"/>
        <v>46.5</v>
      </c>
      <c r="T203" s="2">
        <v>42.5</v>
      </c>
      <c r="U203" s="2">
        <f t="shared" si="10"/>
        <v>46.5</v>
      </c>
      <c r="AB203">
        <v>50.5</v>
      </c>
      <c r="AC203" s="2" t="s">
        <v>113</v>
      </c>
      <c r="AD203" s="2" t="s">
        <v>113</v>
      </c>
      <c r="AE203" s="2" t="s">
        <v>113</v>
      </c>
      <c r="AF203" s="2" t="s">
        <v>113</v>
      </c>
      <c r="AG203" s="2" t="s">
        <v>113</v>
      </c>
      <c r="AH203" s="2" t="s">
        <v>113</v>
      </c>
      <c r="AI203" s="2" t="s">
        <v>113</v>
      </c>
      <c r="AJ203" s="2" t="s">
        <v>113</v>
      </c>
      <c r="AK203" s="2" t="s">
        <v>113</v>
      </c>
      <c r="AL203" s="2" t="s">
        <v>113</v>
      </c>
      <c r="AM203" s="2" t="s">
        <v>113</v>
      </c>
      <c r="AN203" s="2" t="s">
        <v>113</v>
      </c>
      <c r="AO203" s="2" t="s">
        <v>113</v>
      </c>
      <c r="AP203" s="2" t="s">
        <v>113</v>
      </c>
      <c r="AQ203" s="2" t="s">
        <v>113</v>
      </c>
      <c r="AR203" s="2" t="s">
        <v>113</v>
      </c>
      <c r="AS203" s="2" t="s">
        <v>113</v>
      </c>
      <c r="AT203" s="2" t="s">
        <v>113</v>
      </c>
      <c r="AU203" s="2" t="s">
        <v>113</v>
      </c>
      <c r="AV203" s="2" t="s">
        <v>113</v>
      </c>
      <c r="AW203" s="2" t="s">
        <v>113</v>
      </c>
      <c r="AX203" s="2" t="s">
        <v>113</v>
      </c>
      <c r="AY203" s="2" t="s">
        <v>113</v>
      </c>
      <c r="AZ203" s="2" t="s">
        <v>113</v>
      </c>
      <c r="BA203" s="2" t="s">
        <v>113</v>
      </c>
      <c r="BB203" s="2" t="s">
        <v>113</v>
      </c>
      <c r="BC203" s="2" t="s">
        <v>113</v>
      </c>
      <c r="BD203" s="2" t="s">
        <v>113</v>
      </c>
      <c r="BE203" s="2" t="s">
        <v>113</v>
      </c>
      <c r="BF203" s="2" t="s">
        <v>113</v>
      </c>
      <c r="BG203" s="2" t="s">
        <v>113</v>
      </c>
      <c r="BH203" s="2" t="s">
        <v>113</v>
      </c>
      <c r="BI203" s="2" t="s">
        <v>113</v>
      </c>
      <c r="BJ203" s="2" t="s">
        <v>113</v>
      </c>
      <c r="BK203" s="2" t="s">
        <v>113</v>
      </c>
      <c r="BL203" s="2" t="s">
        <v>113</v>
      </c>
      <c r="BM203" s="2" t="s">
        <v>113</v>
      </c>
      <c r="BN203" s="2" t="s">
        <v>113</v>
      </c>
      <c r="BO203" s="2" t="s">
        <v>113</v>
      </c>
      <c r="BP203" s="2" t="s">
        <v>113</v>
      </c>
      <c r="BQ203" s="2" t="s">
        <v>113</v>
      </c>
      <c r="BR203" s="2" t="s">
        <v>113</v>
      </c>
      <c r="BS203" s="2" t="s">
        <v>113</v>
      </c>
      <c r="BT203" s="2" t="s">
        <v>113</v>
      </c>
      <c r="BU203" s="2" t="s">
        <v>113</v>
      </c>
      <c r="BV203" s="2" t="s">
        <v>113</v>
      </c>
      <c r="BW203" s="2" t="s">
        <v>113</v>
      </c>
      <c r="BX203" s="2" t="s">
        <v>113</v>
      </c>
      <c r="BY203" s="2" t="s">
        <v>113</v>
      </c>
      <c r="BZ203" s="2" t="s">
        <v>113</v>
      </c>
      <c r="CA203" s="2" t="s">
        <v>113</v>
      </c>
      <c r="CB203" s="2" t="s">
        <v>113</v>
      </c>
      <c r="CD203" s="2">
        <v>30</v>
      </c>
    </row>
    <row r="204" spans="18:82">
      <c r="R204" s="2">
        <v>43</v>
      </c>
      <c r="S204" s="2">
        <f t="shared" si="9"/>
        <v>47</v>
      </c>
      <c r="T204" s="2">
        <v>43</v>
      </c>
      <c r="U204" s="2">
        <f t="shared" si="10"/>
        <v>47</v>
      </c>
      <c r="AB204">
        <v>50</v>
      </c>
      <c r="AC204" s="2" t="s">
        <v>113</v>
      </c>
      <c r="AD204" s="2" t="s">
        <v>113</v>
      </c>
      <c r="AE204" s="2" t="s">
        <v>113</v>
      </c>
      <c r="AF204" s="2" t="s">
        <v>113</v>
      </c>
      <c r="AG204" s="2" t="s">
        <v>113</v>
      </c>
      <c r="AH204" s="2" t="s">
        <v>113</v>
      </c>
      <c r="AI204" s="2" t="s">
        <v>113</v>
      </c>
      <c r="AJ204" s="2" t="s">
        <v>113</v>
      </c>
      <c r="AK204" s="2" t="s">
        <v>113</v>
      </c>
      <c r="AL204" s="2" t="s">
        <v>113</v>
      </c>
      <c r="AM204" s="2" t="s">
        <v>113</v>
      </c>
      <c r="AN204" s="2" t="s">
        <v>113</v>
      </c>
      <c r="AO204" s="2" t="s">
        <v>113</v>
      </c>
      <c r="AP204" s="2" t="s">
        <v>113</v>
      </c>
      <c r="AQ204" s="2" t="s">
        <v>113</v>
      </c>
      <c r="AR204" s="2" t="s">
        <v>113</v>
      </c>
      <c r="AS204" s="2" t="s">
        <v>113</v>
      </c>
      <c r="AT204" s="2" t="s">
        <v>113</v>
      </c>
      <c r="AU204" s="2" t="s">
        <v>113</v>
      </c>
      <c r="AV204" s="2" t="s">
        <v>113</v>
      </c>
      <c r="AW204" s="2" t="s">
        <v>113</v>
      </c>
      <c r="AX204" s="2" t="s">
        <v>113</v>
      </c>
      <c r="AY204" s="2" t="s">
        <v>113</v>
      </c>
      <c r="AZ204" s="2" t="s">
        <v>113</v>
      </c>
      <c r="BA204" s="2" t="s">
        <v>113</v>
      </c>
      <c r="BB204" s="2" t="s">
        <v>113</v>
      </c>
      <c r="BC204" s="2" t="s">
        <v>113</v>
      </c>
      <c r="BD204" s="2" t="s">
        <v>113</v>
      </c>
      <c r="BE204" s="2" t="s">
        <v>113</v>
      </c>
      <c r="BF204" s="2" t="s">
        <v>113</v>
      </c>
      <c r="BG204" s="2" t="s">
        <v>113</v>
      </c>
      <c r="BH204" s="2" t="s">
        <v>113</v>
      </c>
      <c r="BI204" s="2" t="s">
        <v>113</v>
      </c>
      <c r="BJ204" s="2" t="s">
        <v>113</v>
      </c>
      <c r="BK204" s="2" t="s">
        <v>113</v>
      </c>
      <c r="BL204" s="2" t="s">
        <v>113</v>
      </c>
      <c r="BM204" s="2" t="s">
        <v>113</v>
      </c>
      <c r="BN204" s="2" t="s">
        <v>113</v>
      </c>
      <c r="BO204" s="2" t="s">
        <v>113</v>
      </c>
      <c r="BP204" s="2" t="s">
        <v>113</v>
      </c>
      <c r="BQ204" s="2" t="s">
        <v>113</v>
      </c>
      <c r="BR204" s="2" t="s">
        <v>113</v>
      </c>
      <c r="BS204" s="2" t="s">
        <v>113</v>
      </c>
      <c r="BT204" s="2" t="s">
        <v>113</v>
      </c>
      <c r="BU204" s="2" t="s">
        <v>113</v>
      </c>
      <c r="BV204" s="2" t="s">
        <v>113</v>
      </c>
      <c r="BW204" s="2" t="s">
        <v>113</v>
      </c>
      <c r="BX204" s="2" t="s">
        <v>113</v>
      </c>
      <c r="BY204" s="2" t="s">
        <v>113</v>
      </c>
      <c r="BZ204" s="2" t="s">
        <v>113</v>
      </c>
      <c r="CA204" s="2" t="s">
        <v>113</v>
      </c>
      <c r="CB204" s="2" t="s">
        <v>113</v>
      </c>
      <c r="CD204" s="2">
        <v>30</v>
      </c>
    </row>
    <row r="205" spans="18:82">
      <c r="R205" s="2">
        <v>43.5</v>
      </c>
      <c r="S205" s="2">
        <f t="shared" si="9"/>
        <v>47.5</v>
      </c>
      <c r="T205" s="2">
        <v>43.5</v>
      </c>
      <c r="U205" s="2">
        <f t="shared" si="10"/>
        <v>47.5</v>
      </c>
      <c r="AB205">
        <v>49.5</v>
      </c>
      <c r="AC205" s="2" t="s">
        <v>113</v>
      </c>
      <c r="AD205" s="2" t="s">
        <v>113</v>
      </c>
      <c r="AE205" s="2" t="s">
        <v>113</v>
      </c>
      <c r="AF205" s="2" t="s">
        <v>113</v>
      </c>
      <c r="AG205" s="2" t="s">
        <v>113</v>
      </c>
      <c r="AH205" s="2" t="s">
        <v>113</v>
      </c>
      <c r="AI205" s="2" t="s">
        <v>113</v>
      </c>
      <c r="AJ205" s="2" t="s">
        <v>113</v>
      </c>
      <c r="AK205" s="2" t="s">
        <v>113</v>
      </c>
      <c r="AL205" s="2" t="s">
        <v>113</v>
      </c>
      <c r="AM205" s="2" t="s">
        <v>113</v>
      </c>
      <c r="AN205" s="2" t="s">
        <v>113</v>
      </c>
      <c r="AO205" s="2" t="s">
        <v>113</v>
      </c>
      <c r="AP205" s="2" t="s">
        <v>113</v>
      </c>
      <c r="AQ205" s="2" t="s">
        <v>113</v>
      </c>
      <c r="AR205" s="2" t="s">
        <v>113</v>
      </c>
      <c r="AS205" s="2" t="s">
        <v>113</v>
      </c>
      <c r="AT205" s="2" t="s">
        <v>113</v>
      </c>
      <c r="AU205" s="2" t="s">
        <v>113</v>
      </c>
      <c r="AV205" s="2" t="s">
        <v>113</v>
      </c>
      <c r="AW205" s="2" t="s">
        <v>113</v>
      </c>
      <c r="AX205" s="2" t="s">
        <v>113</v>
      </c>
      <c r="AY205" s="2" t="s">
        <v>113</v>
      </c>
      <c r="AZ205" s="2" t="s">
        <v>113</v>
      </c>
      <c r="BA205" s="2" t="s">
        <v>113</v>
      </c>
      <c r="BB205" s="2" t="s">
        <v>113</v>
      </c>
      <c r="BC205" s="2" t="s">
        <v>113</v>
      </c>
      <c r="BD205" s="2" t="s">
        <v>113</v>
      </c>
      <c r="BE205" s="2" t="s">
        <v>113</v>
      </c>
      <c r="BF205" s="2" t="s">
        <v>113</v>
      </c>
      <c r="BG205" s="2" t="s">
        <v>113</v>
      </c>
      <c r="BH205" s="2" t="s">
        <v>113</v>
      </c>
      <c r="BI205" s="2" t="s">
        <v>113</v>
      </c>
      <c r="BJ205" s="2" t="s">
        <v>113</v>
      </c>
      <c r="BK205" s="2" t="s">
        <v>113</v>
      </c>
      <c r="BL205" s="2" t="s">
        <v>113</v>
      </c>
      <c r="BM205" s="2" t="s">
        <v>113</v>
      </c>
      <c r="BN205" s="2" t="s">
        <v>113</v>
      </c>
      <c r="BO205" s="2" t="s">
        <v>113</v>
      </c>
      <c r="BP205" s="2" t="s">
        <v>113</v>
      </c>
      <c r="BQ205" s="2" t="s">
        <v>113</v>
      </c>
      <c r="BR205" s="2" t="s">
        <v>113</v>
      </c>
      <c r="BS205" s="2" t="s">
        <v>113</v>
      </c>
      <c r="BT205" s="2" t="s">
        <v>113</v>
      </c>
      <c r="BU205" s="2" t="s">
        <v>113</v>
      </c>
      <c r="BV205" s="2" t="s">
        <v>113</v>
      </c>
      <c r="BW205" s="2" t="s">
        <v>113</v>
      </c>
      <c r="BX205" s="2" t="s">
        <v>113</v>
      </c>
      <c r="BY205" s="2" t="s">
        <v>113</v>
      </c>
      <c r="BZ205" s="2" t="s">
        <v>113</v>
      </c>
      <c r="CA205" s="2" t="s">
        <v>113</v>
      </c>
      <c r="CB205" s="2" t="s">
        <v>113</v>
      </c>
      <c r="CD205" s="2">
        <v>30</v>
      </c>
    </row>
    <row r="206" spans="18:82">
      <c r="R206" s="2">
        <v>44</v>
      </c>
      <c r="S206" s="2">
        <f t="shared" si="9"/>
        <v>48</v>
      </c>
      <c r="T206" s="2">
        <v>44</v>
      </c>
      <c r="U206" s="2">
        <f t="shared" si="10"/>
        <v>48</v>
      </c>
      <c r="AB206">
        <v>49</v>
      </c>
      <c r="AC206" s="2" t="s">
        <v>113</v>
      </c>
      <c r="AD206" s="2" t="s">
        <v>113</v>
      </c>
      <c r="AE206" s="2" t="s">
        <v>113</v>
      </c>
      <c r="AF206" s="2" t="s">
        <v>113</v>
      </c>
      <c r="AG206" s="2" t="s">
        <v>113</v>
      </c>
      <c r="AH206" s="2" t="s">
        <v>113</v>
      </c>
      <c r="AI206" s="2" t="s">
        <v>113</v>
      </c>
      <c r="AJ206" s="2" t="s">
        <v>113</v>
      </c>
      <c r="AK206" s="2" t="s">
        <v>113</v>
      </c>
      <c r="AL206" s="2" t="s">
        <v>113</v>
      </c>
      <c r="AM206" s="2" t="s">
        <v>113</v>
      </c>
      <c r="AN206" s="2" t="s">
        <v>113</v>
      </c>
      <c r="AO206" s="2" t="s">
        <v>113</v>
      </c>
      <c r="AP206" s="2" t="s">
        <v>113</v>
      </c>
      <c r="AQ206" s="2" t="s">
        <v>113</v>
      </c>
      <c r="AR206" s="2" t="s">
        <v>113</v>
      </c>
      <c r="AS206" s="2" t="s">
        <v>113</v>
      </c>
      <c r="AT206" s="2" t="s">
        <v>113</v>
      </c>
      <c r="AU206" s="2" t="s">
        <v>113</v>
      </c>
      <c r="AV206" s="2" t="s">
        <v>113</v>
      </c>
      <c r="AW206" s="2" t="s">
        <v>113</v>
      </c>
      <c r="AX206" s="2" t="s">
        <v>113</v>
      </c>
      <c r="AY206" s="2" t="s">
        <v>113</v>
      </c>
      <c r="AZ206" s="2" t="s">
        <v>113</v>
      </c>
      <c r="BA206" s="2" t="s">
        <v>113</v>
      </c>
      <c r="BB206" s="2" t="s">
        <v>113</v>
      </c>
      <c r="BC206" s="2" t="s">
        <v>113</v>
      </c>
      <c r="BD206" s="2" t="s">
        <v>113</v>
      </c>
      <c r="BE206" s="2" t="s">
        <v>113</v>
      </c>
      <c r="BF206" s="2" t="s">
        <v>113</v>
      </c>
      <c r="BG206" s="2" t="s">
        <v>113</v>
      </c>
      <c r="BH206" s="2" t="s">
        <v>113</v>
      </c>
      <c r="BI206" s="2" t="s">
        <v>113</v>
      </c>
      <c r="BJ206" s="2" t="s">
        <v>113</v>
      </c>
      <c r="BK206" s="2" t="s">
        <v>113</v>
      </c>
      <c r="BL206" s="2" t="s">
        <v>113</v>
      </c>
      <c r="BM206" s="2" t="s">
        <v>113</v>
      </c>
      <c r="BN206" s="2" t="s">
        <v>113</v>
      </c>
      <c r="BO206" s="2" t="s">
        <v>113</v>
      </c>
      <c r="BP206" s="2" t="s">
        <v>113</v>
      </c>
      <c r="BQ206" s="2" t="s">
        <v>113</v>
      </c>
      <c r="BR206" s="2" t="s">
        <v>113</v>
      </c>
      <c r="BS206" s="2" t="s">
        <v>113</v>
      </c>
      <c r="BT206" s="2" t="s">
        <v>113</v>
      </c>
      <c r="BU206" s="2" t="s">
        <v>113</v>
      </c>
      <c r="BV206" s="2" t="s">
        <v>113</v>
      </c>
      <c r="BW206" s="2" t="s">
        <v>113</v>
      </c>
      <c r="BX206" s="2" t="s">
        <v>113</v>
      </c>
      <c r="BY206" s="2" t="s">
        <v>113</v>
      </c>
      <c r="BZ206" s="2" t="s">
        <v>113</v>
      </c>
      <c r="CA206" s="2" t="s">
        <v>113</v>
      </c>
      <c r="CB206" s="2" t="s">
        <v>113</v>
      </c>
      <c r="CD206" s="2">
        <v>30</v>
      </c>
    </row>
    <row r="207" spans="18:82">
      <c r="R207" s="2">
        <v>44.5</v>
      </c>
      <c r="S207" s="2">
        <f t="shared" si="9"/>
        <v>48.5</v>
      </c>
      <c r="AB207">
        <v>48.5</v>
      </c>
      <c r="AC207" s="2" t="s">
        <v>113</v>
      </c>
      <c r="AD207" s="2" t="s">
        <v>113</v>
      </c>
      <c r="AE207" s="2" t="s">
        <v>113</v>
      </c>
      <c r="AF207" s="2" t="s">
        <v>113</v>
      </c>
      <c r="AG207" s="2" t="s">
        <v>113</v>
      </c>
      <c r="AH207" s="2" t="s">
        <v>113</v>
      </c>
      <c r="AI207" s="2" t="s">
        <v>113</v>
      </c>
      <c r="AJ207" s="2" t="s">
        <v>113</v>
      </c>
      <c r="AK207" s="2" t="s">
        <v>113</v>
      </c>
      <c r="AL207" s="2" t="s">
        <v>113</v>
      </c>
      <c r="AM207" s="2" t="s">
        <v>113</v>
      </c>
      <c r="AN207" s="2" t="s">
        <v>113</v>
      </c>
      <c r="AO207" s="2" t="s">
        <v>113</v>
      </c>
      <c r="AP207" s="2" t="s">
        <v>113</v>
      </c>
      <c r="AQ207" s="2" t="s">
        <v>113</v>
      </c>
      <c r="AR207" s="2" t="s">
        <v>113</v>
      </c>
      <c r="AS207" s="2" t="s">
        <v>113</v>
      </c>
      <c r="AT207" s="2" t="s">
        <v>113</v>
      </c>
      <c r="AU207" s="2" t="s">
        <v>113</v>
      </c>
      <c r="AV207" s="2" t="s">
        <v>113</v>
      </c>
      <c r="AW207" s="2" t="s">
        <v>113</v>
      </c>
      <c r="AX207" s="2" t="s">
        <v>113</v>
      </c>
      <c r="AY207" s="2" t="s">
        <v>113</v>
      </c>
      <c r="AZ207" s="2" t="s">
        <v>113</v>
      </c>
      <c r="BA207" s="2" t="s">
        <v>113</v>
      </c>
      <c r="BB207" s="2" t="s">
        <v>113</v>
      </c>
      <c r="BC207" s="2" t="s">
        <v>113</v>
      </c>
      <c r="BD207" s="2" t="s">
        <v>113</v>
      </c>
      <c r="BE207" s="2" t="s">
        <v>113</v>
      </c>
      <c r="BF207" s="2" t="s">
        <v>113</v>
      </c>
      <c r="BG207" s="2" t="s">
        <v>113</v>
      </c>
      <c r="BH207" s="2" t="s">
        <v>113</v>
      </c>
      <c r="BI207" s="2" t="s">
        <v>113</v>
      </c>
      <c r="BJ207" s="2" t="s">
        <v>113</v>
      </c>
      <c r="BK207" s="2" t="s">
        <v>113</v>
      </c>
      <c r="BL207" s="2" t="s">
        <v>113</v>
      </c>
      <c r="BM207" s="2" t="s">
        <v>113</v>
      </c>
      <c r="BN207" s="2" t="s">
        <v>113</v>
      </c>
      <c r="BO207" s="2" t="s">
        <v>113</v>
      </c>
      <c r="BP207" s="2" t="s">
        <v>113</v>
      </c>
      <c r="BQ207" s="2" t="s">
        <v>113</v>
      </c>
      <c r="BR207" s="2" t="s">
        <v>113</v>
      </c>
      <c r="BS207" s="2" t="s">
        <v>113</v>
      </c>
      <c r="BT207" s="2" t="s">
        <v>113</v>
      </c>
      <c r="BU207" s="2" t="s">
        <v>113</v>
      </c>
      <c r="BV207" s="2" t="s">
        <v>113</v>
      </c>
      <c r="BW207" s="2" t="s">
        <v>113</v>
      </c>
      <c r="BX207" s="2" t="s">
        <v>113</v>
      </c>
      <c r="BY207" s="2" t="s">
        <v>113</v>
      </c>
      <c r="BZ207" s="2" t="s">
        <v>113</v>
      </c>
      <c r="CA207" s="2" t="s">
        <v>113</v>
      </c>
      <c r="CB207" s="2" t="s">
        <v>113</v>
      </c>
      <c r="CD207" s="2">
        <v>30</v>
      </c>
    </row>
    <row r="208" spans="18:82">
      <c r="R208" s="2">
        <v>45</v>
      </c>
      <c r="S208" s="2">
        <f t="shared" si="9"/>
        <v>49</v>
      </c>
      <c r="AB208">
        <v>48</v>
      </c>
      <c r="AC208" s="2">
        <v>9</v>
      </c>
      <c r="AD208" s="2">
        <v>15</v>
      </c>
      <c r="AE208" s="2">
        <v>9</v>
      </c>
      <c r="AF208" s="2">
        <v>15</v>
      </c>
      <c r="AG208" s="2">
        <v>9</v>
      </c>
      <c r="AH208" s="2">
        <v>15</v>
      </c>
      <c r="AI208" s="2">
        <v>9</v>
      </c>
      <c r="AJ208" s="2">
        <v>15</v>
      </c>
      <c r="AK208" s="2">
        <v>9</v>
      </c>
      <c r="AL208" s="2">
        <v>15</v>
      </c>
      <c r="AM208" s="2">
        <v>9</v>
      </c>
      <c r="AN208" s="2">
        <v>15</v>
      </c>
      <c r="AO208" s="2">
        <v>9</v>
      </c>
      <c r="AP208" s="2">
        <v>15</v>
      </c>
      <c r="AQ208" s="2">
        <v>9</v>
      </c>
      <c r="AR208" s="2">
        <v>15</v>
      </c>
      <c r="AS208" s="2">
        <v>9</v>
      </c>
      <c r="AT208" s="2">
        <v>15</v>
      </c>
      <c r="AU208" s="2">
        <v>9</v>
      </c>
      <c r="AV208" s="2">
        <v>15</v>
      </c>
      <c r="CD208" s="2">
        <v>30</v>
      </c>
    </row>
    <row r="209" spans="18:82">
      <c r="R209" s="2">
        <v>45.5</v>
      </c>
      <c r="S209" s="2">
        <f t="shared" si="9"/>
        <v>49.5</v>
      </c>
      <c r="AB209">
        <v>47.5</v>
      </c>
      <c r="AC209" s="2">
        <v>8.75</v>
      </c>
      <c r="AD209" s="2">
        <v>15</v>
      </c>
      <c r="AE209" s="2">
        <v>8.75</v>
      </c>
      <c r="AF209" s="2">
        <v>15</v>
      </c>
      <c r="AG209" s="2">
        <v>8.75</v>
      </c>
      <c r="AH209" s="2">
        <v>15</v>
      </c>
      <c r="AI209" s="2">
        <v>8.75</v>
      </c>
      <c r="AJ209" s="2">
        <v>15</v>
      </c>
      <c r="AK209" s="2">
        <v>8.75</v>
      </c>
      <c r="AL209" s="2">
        <v>15</v>
      </c>
      <c r="AM209" s="2">
        <v>8.75</v>
      </c>
      <c r="AN209" s="2">
        <v>15</v>
      </c>
      <c r="AO209" s="2">
        <v>8.75</v>
      </c>
      <c r="AP209" s="2">
        <v>15</v>
      </c>
      <c r="AQ209" s="2">
        <v>8.75</v>
      </c>
      <c r="AR209" s="2">
        <v>15</v>
      </c>
      <c r="AS209" s="2">
        <v>8.75</v>
      </c>
      <c r="AT209" s="2">
        <v>15</v>
      </c>
      <c r="AU209" s="2">
        <v>8.75</v>
      </c>
      <c r="AV209" s="2">
        <v>15</v>
      </c>
      <c r="CD209" s="2">
        <v>30</v>
      </c>
    </row>
    <row r="210" spans="18:82">
      <c r="R210" s="2">
        <v>46</v>
      </c>
      <c r="S210" s="2">
        <f t="shared" si="9"/>
        <v>50</v>
      </c>
      <c r="AB210">
        <v>47</v>
      </c>
      <c r="AC210" s="2">
        <v>8.5</v>
      </c>
      <c r="AD210" s="2">
        <v>15</v>
      </c>
      <c r="AE210" s="2">
        <v>8.5</v>
      </c>
      <c r="AF210" s="2">
        <v>15</v>
      </c>
      <c r="AG210" s="2">
        <v>8.5</v>
      </c>
      <c r="AH210" s="2">
        <v>15</v>
      </c>
      <c r="AI210" s="2">
        <v>8.5</v>
      </c>
      <c r="AJ210" s="2">
        <v>15</v>
      </c>
      <c r="AK210" s="2">
        <v>8.5</v>
      </c>
      <c r="AL210" s="2">
        <v>15</v>
      </c>
      <c r="AM210" s="2">
        <v>8.5</v>
      </c>
      <c r="AN210" s="2">
        <v>15</v>
      </c>
      <c r="AO210" s="2">
        <v>8.5</v>
      </c>
      <c r="AP210" s="2">
        <v>15</v>
      </c>
      <c r="AQ210" s="2">
        <v>8.5</v>
      </c>
      <c r="AR210" s="2">
        <v>15</v>
      </c>
      <c r="AS210" s="2">
        <v>8.5</v>
      </c>
      <c r="AT210" s="2">
        <v>15</v>
      </c>
      <c r="AU210" s="2">
        <v>8.5</v>
      </c>
      <c r="AV210" s="2">
        <v>15</v>
      </c>
      <c r="CD210" s="2">
        <v>30</v>
      </c>
    </row>
    <row r="211" spans="18:82">
      <c r="R211" s="2">
        <v>46.5</v>
      </c>
      <c r="S211" s="2">
        <f t="shared" si="9"/>
        <v>50.5</v>
      </c>
      <c r="AB211">
        <v>46.5</v>
      </c>
      <c r="AC211" s="2">
        <v>8.25</v>
      </c>
      <c r="AD211" s="2">
        <v>15</v>
      </c>
      <c r="AE211" s="2">
        <v>8.25</v>
      </c>
      <c r="AF211" s="2">
        <v>15</v>
      </c>
      <c r="AG211" s="2">
        <v>8.25</v>
      </c>
      <c r="AH211" s="2">
        <v>15</v>
      </c>
      <c r="AI211" s="2">
        <v>8.25</v>
      </c>
      <c r="AJ211" s="2">
        <v>15</v>
      </c>
      <c r="AK211" s="2">
        <v>8.25</v>
      </c>
      <c r="AL211" s="2">
        <v>15</v>
      </c>
      <c r="AM211" s="2">
        <v>8.25</v>
      </c>
      <c r="AN211" s="2">
        <v>15</v>
      </c>
      <c r="AO211" s="2">
        <v>8.25</v>
      </c>
      <c r="AP211" s="2">
        <v>15</v>
      </c>
      <c r="AQ211" s="2">
        <v>8.25</v>
      </c>
      <c r="AR211" s="2">
        <v>15</v>
      </c>
      <c r="AS211" s="2">
        <v>8.25</v>
      </c>
      <c r="AT211" s="2">
        <v>15</v>
      </c>
      <c r="AU211" s="2">
        <v>8.25</v>
      </c>
      <c r="AV211" s="2">
        <v>15</v>
      </c>
      <c r="CD211" s="2">
        <v>30</v>
      </c>
    </row>
    <row r="212" spans="18:82">
      <c r="R212" s="2">
        <v>47</v>
      </c>
      <c r="S212" s="2">
        <f t="shared" si="9"/>
        <v>51</v>
      </c>
      <c r="AB212">
        <v>46</v>
      </c>
      <c r="AC212" s="2">
        <v>8</v>
      </c>
      <c r="AD212" s="2">
        <v>15</v>
      </c>
      <c r="AE212" s="2">
        <v>8</v>
      </c>
      <c r="AF212" s="2">
        <v>15</v>
      </c>
      <c r="AG212" s="2">
        <v>8</v>
      </c>
      <c r="AH212" s="2">
        <v>15</v>
      </c>
      <c r="AI212" s="2">
        <v>8</v>
      </c>
      <c r="AJ212" s="2">
        <v>15</v>
      </c>
      <c r="AK212" s="2">
        <v>8</v>
      </c>
      <c r="AL212" s="2">
        <v>15</v>
      </c>
      <c r="AM212" s="2">
        <v>8</v>
      </c>
      <c r="AN212" s="2">
        <v>15</v>
      </c>
      <c r="AO212" s="2">
        <v>8</v>
      </c>
      <c r="AP212" s="2">
        <v>15</v>
      </c>
      <c r="AQ212" s="2">
        <v>8</v>
      </c>
      <c r="AR212" s="2">
        <v>15</v>
      </c>
      <c r="AS212" s="2">
        <v>8</v>
      </c>
      <c r="AT212" s="2">
        <v>15</v>
      </c>
      <c r="AU212" s="2">
        <v>8</v>
      </c>
      <c r="AV212" s="2">
        <v>15</v>
      </c>
      <c r="CD212" s="2">
        <v>30</v>
      </c>
    </row>
    <row r="213" spans="18:82">
      <c r="R213" s="2">
        <v>47.5</v>
      </c>
      <c r="S213" s="2">
        <f t="shared" si="9"/>
        <v>51.5</v>
      </c>
      <c r="AB213">
        <v>45.5</v>
      </c>
      <c r="AC213" s="2">
        <v>7.75</v>
      </c>
      <c r="AD213" s="2">
        <v>15</v>
      </c>
      <c r="AE213" s="2">
        <v>7.75</v>
      </c>
      <c r="AF213" s="2">
        <v>15</v>
      </c>
      <c r="AG213" s="2">
        <v>7.75</v>
      </c>
      <c r="AH213" s="2">
        <v>15</v>
      </c>
      <c r="AI213" s="2">
        <v>7.75</v>
      </c>
      <c r="AJ213" s="2">
        <v>15</v>
      </c>
      <c r="AK213" s="2">
        <v>7.75</v>
      </c>
      <c r="AL213" s="2">
        <v>15</v>
      </c>
      <c r="AM213" s="2">
        <v>7.75</v>
      </c>
      <c r="AN213" s="2">
        <v>15</v>
      </c>
      <c r="AO213" s="2">
        <v>7.75</v>
      </c>
      <c r="AP213" s="2">
        <v>15</v>
      </c>
      <c r="AQ213" s="2">
        <v>7.75</v>
      </c>
      <c r="AR213" s="2">
        <v>15</v>
      </c>
      <c r="AS213" s="2">
        <v>7.75</v>
      </c>
      <c r="AT213" s="2">
        <v>15</v>
      </c>
      <c r="AU213" s="2">
        <v>7.75</v>
      </c>
      <c r="AV213" s="2">
        <v>15</v>
      </c>
      <c r="CD213" s="2">
        <v>30</v>
      </c>
    </row>
    <row r="214" spans="18:82">
      <c r="R214" s="2">
        <v>48</v>
      </c>
      <c r="S214" s="2">
        <f t="shared" si="9"/>
        <v>52</v>
      </c>
      <c r="AB214">
        <v>45</v>
      </c>
      <c r="AC214" s="2">
        <v>7.5</v>
      </c>
      <c r="AD214" s="2">
        <v>15</v>
      </c>
      <c r="AE214" s="2">
        <v>7.5</v>
      </c>
      <c r="AF214" s="2">
        <v>15</v>
      </c>
      <c r="AG214" s="2">
        <v>7.5</v>
      </c>
      <c r="AH214" s="2">
        <v>15</v>
      </c>
      <c r="AI214" s="2">
        <v>7.5</v>
      </c>
      <c r="AJ214" s="2">
        <v>15</v>
      </c>
      <c r="AK214" s="2">
        <v>7.5</v>
      </c>
      <c r="AL214" s="2">
        <v>15</v>
      </c>
      <c r="AM214" s="2">
        <v>7.5</v>
      </c>
      <c r="AN214" s="2">
        <v>15</v>
      </c>
      <c r="AO214" s="2">
        <v>7.5</v>
      </c>
      <c r="AP214" s="2">
        <v>15</v>
      </c>
      <c r="AQ214" s="2">
        <v>7.5</v>
      </c>
      <c r="AR214" s="2">
        <v>15</v>
      </c>
      <c r="AS214" s="2">
        <v>7.5</v>
      </c>
      <c r="AT214" s="2">
        <v>15</v>
      </c>
      <c r="AU214" s="2">
        <v>7.5</v>
      </c>
      <c r="AV214" s="2">
        <v>15</v>
      </c>
      <c r="CD214" s="2">
        <v>30</v>
      </c>
    </row>
    <row r="215" spans="18:82">
      <c r="R215" s="2">
        <v>48.5</v>
      </c>
      <c r="S215" s="2">
        <f t="shared" si="9"/>
        <v>52.5</v>
      </c>
      <c r="AB215">
        <v>44.5</v>
      </c>
      <c r="AC215" s="2">
        <v>7.25</v>
      </c>
      <c r="AD215" s="2">
        <v>15</v>
      </c>
      <c r="AE215" s="2">
        <v>7.25</v>
      </c>
      <c r="AF215" s="2">
        <v>15</v>
      </c>
      <c r="AG215" s="2">
        <v>7.25</v>
      </c>
      <c r="AH215" s="2">
        <v>15</v>
      </c>
      <c r="AI215" s="2">
        <v>7.25</v>
      </c>
      <c r="AJ215" s="2">
        <v>15</v>
      </c>
      <c r="AK215" s="2">
        <v>7.25</v>
      </c>
      <c r="AL215" s="2">
        <v>15</v>
      </c>
      <c r="AM215" s="2">
        <v>7.25</v>
      </c>
      <c r="AN215" s="2">
        <v>15</v>
      </c>
      <c r="AO215" s="2">
        <v>7.25</v>
      </c>
      <c r="AP215" s="2">
        <v>15</v>
      </c>
      <c r="AQ215" s="2">
        <v>7.25</v>
      </c>
      <c r="AR215" s="2">
        <v>15</v>
      </c>
      <c r="AS215" s="2">
        <v>7.25</v>
      </c>
      <c r="AT215" s="2">
        <v>15</v>
      </c>
      <c r="AU215" s="2">
        <v>7.25</v>
      </c>
      <c r="AV215" s="2">
        <v>15</v>
      </c>
      <c r="CD215" s="2">
        <v>30</v>
      </c>
    </row>
    <row r="216" spans="18:82">
      <c r="R216" s="2">
        <v>49</v>
      </c>
      <c r="S216" s="2">
        <f t="shared" si="9"/>
        <v>53</v>
      </c>
      <c r="AB216">
        <v>44</v>
      </c>
      <c r="AC216" s="2">
        <v>7</v>
      </c>
      <c r="AD216" s="2">
        <v>15</v>
      </c>
      <c r="AE216" s="2">
        <v>7</v>
      </c>
      <c r="AF216" s="2">
        <v>15</v>
      </c>
      <c r="AG216" s="2">
        <v>7</v>
      </c>
      <c r="AH216" s="2">
        <v>15</v>
      </c>
      <c r="AI216" s="2">
        <v>7</v>
      </c>
      <c r="AJ216" s="2">
        <v>15</v>
      </c>
      <c r="AK216" s="2">
        <v>7</v>
      </c>
      <c r="AL216" s="2">
        <v>15</v>
      </c>
      <c r="AM216" s="2">
        <v>7</v>
      </c>
      <c r="AN216" s="2">
        <v>15</v>
      </c>
      <c r="AO216" s="2">
        <v>7</v>
      </c>
      <c r="AP216" s="2">
        <v>15</v>
      </c>
      <c r="AQ216" s="2">
        <v>7</v>
      </c>
      <c r="AR216" s="2">
        <v>15</v>
      </c>
      <c r="AS216" s="2">
        <v>7</v>
      </c>
      <c r="AT216" s="2">
        <v>15</v>
      </c>
      <c r="AU216" s="2">
        <v>7</v>
      </c>
      <c r="AV216" s="2">
        <v>15</v>
      </c>
      <c r="CD216" s="2">
        <v>30</v>
      </c>
    </row>
    <row r="217" spans="18:82">
      <c r="R217" s="2">
        <v>49.5</v>
      </c>
      <c r="S217" s="2">
        <f t="shared" ref="S217:S248" si="11">R217+4</f>
        <v>53.5</v>
      </c>
      <c r="AB217">
        <v>43.5</v>
      </c>
      <c r="AC217" s="2">
        <v>6.75</v>
      </c>
      <c r="AD217" s="2">
        <v>15</v>
      </c>
      <c r="AE217" s="2">
        <v>6.75</v>
      </c>
      <c r="AF217" s="2">
        <v>15</v>
      </c>
      <c r="AG217" s="2">
        <v>6.75</v>
      </c>
      <c r="AH217" s="2">
        <v>15</v>
      </c>
      <c r="AI217" s="2">
        <v>6.75</v>
      </c>
      <c r="AJ217" s="2">
        <v>15</v>
      </c>
      <c r="AK217" s="2">
        <v>6.75</v>
      </c>
      <c r="AL217" s="2">
        <v>15</v>
      </c>
      <c r="AM217" s="2">
        <v>6.75</v>
      </c>
      <c r="AN217" s="2">
        <v>15</v>
      </c>
      <c r="AO217" s="2">
        <v>6.75</v>
      </c>
      <c r="AP217" s="2">
        <v>15</v>
      </c>
      <c r="AQ217" s="2">
        <v>6.75</v>
      </c>
      <c r="AR217" s="2">
        <v>15</v>
      </c>
      <c r="AS217" s="2">
        <v>6.75</v>
      </c>
      <c r="AT217" s="2">
        <v>15</v>
      </c>
      <c r="AU217" s="2">
        <v>6.75</v>
      </c>
      <c r="AV217" s="2">
        <v>15</v>
      </c>
      <c r="CD217" s="2">
        <v>30</v>
      </c>
    </row>
    <row r="218" spans="18:82">
      <c r="R218" s="2">
        <v>50</v>
      </c>
      <c r="S218" s="2">
        <f t="shared" si="11"/>
        <v>54</v>
      </c>
      <c r="AB218">
        <v>43</v>
      </c>
      <c r="AC218" s="2">
        <v>6.5</v>
      </c>
      <c r="AD218" s="2">
        <v>15</v>
      </c>
      <c r="AE218" s="2">
        <v>6.5</v>
      </c>
      <c r="AF218" s="2">
        <v>15</v>
      </c>
      <c r="AG218" s="2">
        <v>6.5</v>
      </c>
      <c r="AH218" s="2">
        <v>15</v>
      </c>
      <c r="AI218" s="2">
        <v>6.5</v>
      </c>
      <c r="AJ218" s="2">
        <v>15</v>
      </c>
      <c r="AK218" s="2">
        <v>6.5</v>
      </c>
      <c r="AL218" s="2">
        <v>15</v>
      </c>
      <c r="AM218" s="2">
        <v>6.5</v>
      </c>
      <c r="AN218" s="2">
        <v>15</v>
      </c>
      <c r="AO218" s="2">
        <v>6.5</v>
      </c>
      <c r="AP218" s="2">
        <v>15</v>
      </c>
      <c r="AQ218" s="2">
        <v>6.5</v>
      </c>
      <c r="AR218" s="2">
        <v>15</v>
      </c>
      <c r="AS218" s="2">
        <v>6.5</v>
      </c>
      <c r="AT218" s="2">
        <v>15</v>
      </c>
      <c r="AU218" s="2">
        <v>6.5</v>
      </c>
      <c r="AV218" s="2">
        <v>15</v>
      </c>
      <c r="CD218" s="2">
        <v>30</v>
      </c>
    </row>
    <row r="219" spans="18:82">
      <c r="R219" s="2">
        <v>50.5</v>
      </c>
      <c r="S219" s="2">
        <f t="shared" si="11"/>
        <v>54.5</v>
      </c>
      <c r="AB219">
        <v>42.5</v>
      </c>
      <c r="AC219" s="2">
        <v>6.25</v>
      </c>
      <c r="AD219" s="2">
        <v>15</v>
      </c>
      <c r="AE219" s="2">
        <v>6.25</v>
      </c>
      <c r="AF219" s="2">
        <v>15</v>
      </c>
      <c r="AG219" s="2">
        <v>6.25</v>
      </c>
      <c r="AH219" s="2">
        <v>15</v>
      </c>
      <c r="AI219" s="2">
        <v>6.25</v>
      </c>
      <c r="AJ219" s="2">
        <v>15</v>
      </c>
      <c r="AK219" s="2">
        <v>6.25</v>
      </c>
      <c r="AL219" s="2">
        <v>15</v>
      </c>
      <c r="AM219" s="2">
        <v>6.25</v>
      </c>
      <c r="AN219" s="2">
        <v>15</v>
      </c>
      <c r="AO219" s="2">
        <v>6.25</v>
      </c>
      <c r="AP219" s="2">
        <v>15</v>
      </c>
      <c r="AQ219" s="2">
        <v>6.25</v>
      </c>
      <c r="AR219" s="2">
        <v>15</v>
      </c>
      <c r="AS219" s="2">
        <v>6.25</v>
      </c>
      <c r="AT219" s="2">
        <v>15</v>
      </c>
      <c r="AU219" s="2">
        <v>6.25</v>
      </c>
      <c r="AV219" s="2">
        <v>15</v>
      </c>
      <c r="CD219" s="2">
        <v>30</v>
      </c>
    </row>
    <row r="220" spans="18:82">
      <c r="R220" s="2">
        <v>51</v>
      </c>
      <c r="S220" s="2">
        <f t="shared" si="11"/>
        <v>55</v>
      </c>
      <c r="AB220">
        <v>42</v>
      </c>
      <c r="AC220" s="2">
        <v>6</v>
      </c>
      <c r="AD220" s="2">
        <v>15</v>
      </c>
      <c r="AE220" s="2">
        <v>6</v>
      </c>
      <c r="AF220" s="2">
        <v>15</v>
      </c>
      <c r="AG220" s="2">
        <v>6</v>
      </c>
      <c r="AH220" s="2">
        <v>15</v>
      </c>
      <c r="AI220" s="2">
        <v>6</v>
      </c>
      <c r="AJ220" s="2">
        <v>15</v>
      </c>
      <c r="AK220" s="2">
        <v>6</v>
      </c>
      <c r="AL220" s="2">
        <v>15</v>
      </c>
      <c r="AM220" s="2">
        <v>6</v>
      </c>
      <c r="AN220" s="2">
        <v>15</v>
      </c>
      <c r="AO220" s="2">
        <v>6</v>
      </c>
      <c r="AP220" s="2">
        <v>15</v>
      </c>
      <c r="AQ220" s="2">
        <v>6</v>
      </c>
      <c r="AR220" s="2">
        <v>15</v>
      </c>
      <c r="AS220" s="2">
        <v>6</v>
      </c>
      <c r="AT220" s="2">
        <v>15</v>
      </c>
      <c r="AU220" s="2">
        <v>6</v>
      </c>
      <c r="AV220" s="2">
        <v>15</v>
      </c>
      <c r="CD220" s="2">
        <v>30</v>
      </c>
    </row>
    <row r="221" spans="18:82">
      <c r="R221" s="2">
        <v>51.5</v>
      </c>
      <c r="S221" s="2">
        <f t="shared" si="11"/>
        <v>55.5</v>
      </c>
      <c r="AB221">
        <v>41.5</v>
      </c>
      <c r="AC221" s="2">
        <v>5.75</v>
      </c>
      <c r="AD221" s="2">
        <v>15</v>
      </c>
      <c r="AE221" s="2">
        <v>5.75</v>
      </c>
      <c r="AF221" s="2">
        <v>15</v>
      </c>
      <c r="AG221" s="2">
        <v>5.75</v>
      </c>
      <c r="AH221" s="2">
        <v>15</v>
      </c>
      <c r="AI221" s="2">
        <v>5.75</v>
      </c>
      <c r="AJ221" s="2">
        <v>15</v>
      </c>
      <c r="AK221" s="2">
        <v>5.75</v>
      </c>
      <c r="AL221" s="2">
        <v>15</v>
      </c>
      <c r="AM221" s="2">
        <v>5.75</v>
      </c>
      <c r="AN221" s="2">
        <v>15</v>
      </c>
      <c r="AO221" s="2">
        <v>5.75</v>
      </c>
      <c r="AP221" s="2">
        <v>15</v>
      </c>
      <c r="AQ221" s="2">
        <v>5.75</v>
      </c>
      <c r="AR221" s="2">
        <v>15</v>
      </c>
      <c r="AS221" s="2">
        <v>5.75</v>
      </c>
      <c r="AT221" s="2">
        <v>15</v>
      </c>
      <c r="AU221" s="2">
        <v>5.75</v>
      </c>
      <c r="AV221" s="2">
        <v>15</v>
      </c>
      <c r="CD221" s="2">
        <v>30</v>
      </c>
    </row>
    <row r="222" spans="18:82">
      <c r="R222" s="2">
        <v>52</v>
      </c>
      <c r="S222" s="2">
        <f t="shared" si="11"/>
        <v>56</v>
      </c>
      <c r="AB222">
        <v>41</v>
      </c>
      <c r="AC222" s="2">
        <v>5.5</v>
      </c>
      <c r="AD222" s="2">
        <v>15</v>
      </c>
      <c r="AE222" s="2">
        <v>5.5</v>
      </c>
      <c r="AF222" s="2">
        <v>15</v>
      </c>
      <c r="AG222" s="2">
        <v>5.5</v>
      </c>
      <c r="AH222" s="2">
        <v>15</v>
      </c>
      <c r="AI222" s="2">
        <v>5.5</v>
      </c>
      <c r="AJ222" s="2">
        <v>15</v>
      </c>
      <c r="AK222" s="2">
        <v>5.5</v>
      </c>
      <c r="AL222" s="2">
        <v>15</v>
      </c>
      <c r="AM222" s="2">
        <v>5.5</v>
      </c>
      <c r="AN222" s="2">
        <v>15</v>
      </c>
      <c r="AO222" s="2">
        <v>5.5</v>
      </c>
      <c r="AP222" s="2">
        <v>15</v>
      </c>
      <c r="AQ222" s="2">
        <v>5.5</v>
      </c>
      <c r="AR222" s="2">
        <v>15</v>
      </c>
      <c r="AS222" s="2">
        <v>5.5</v>
      </c>
      <c r="AT222" s="2">
        <v>15</v>
      </c>
      <c r="AU222" s="2">
        <v>5.5</v>
      </c>
      <c r="AV222" s="2">
        <v>15</v>
      </c>
      <c r="CD222" s="2">
        <v>30</v>
      </c>
    </row>
    <row r="223" spans="18:82">
      <c r="R223" s="2">
        <v>52.5</v>
      </c>
      <c r="S223" s="2">
        <f t="shared" si="11"/>
        <v>56.5</v>
      </c>
      <c r="AB223">
        <v>40.5</v>
      </c>
      <c r="AC223" s="2">
        <v>5.25</v>
      </c>
      <c r="AD223" s="2">
        <v>15</v>
      </c>
      <c r="AE223" s="2">
        <v>5.25</v>
      </c>
      <c r="AF223" s="2">
        <v>15</v>
      </c>
      <c r="AG223" s="2">
        <v>5.25</v>
      </c>
      <c r="AH223" s="2">
        <v>15</v>
      </c>
      <c r="AI223" s="2">
        <v>5.25</v>
      </c>
      <c r="AJ223" s="2">
        <v>15</v>
      </c>
      <c r="AK223" s="2">
        <v>5.25</v>
      </c>
      <c r="AL223" s="2">
        <v>15</v>
      </c>
      <c r="AM223" s="2">
        <v>5.25</v>
      </c>
      <c r="AN223" s="2">
        <v>15</v>
      </c>
      <c r="AO223" s="2">
        <v>5.25</v>
      </c>
      <c r="AP223" s="2">
        <v>15</v>
      </c>
      <c r="AQ223" s="2">
        <v>5.25</v>
      </c>
      <c r="AR223" s="2">
        <v>15</v>
      </c>
      <c r="AS223" s="2">
        <v>5.25</v>
      </c>
      <c r="AT223" s="2">
        <v>15</v>
      </c>
      <c r="AU223" s="2">
        <v>5.25</v>
      </c>
      <c r="AV223" s="2">
        <v>15</v>
      </c>
      <c r="CD223" s="2">
        <v>30</v>
      </c>
    </row>
    <row r="224" spans="18:82">
      <c r="R224" s="2">
        <v>53</v>
      </c>
      <c r="S224" s="2">
        <f t="shared" si="11"/>
        <v>57</v>
      </c>
      <c r="AB224">
        <v>40</v>
      </c>
      <c r="AC224" s="2">
        <v>5</v>
      </c>
      <c r="AD224" s="2">
        <v>15</v>
      </c>
      <c r="AE224" s="2">
        <v>5</v>
      </c>
      <c r="AF224" s="2">
        <v>15</v>
      </c>
      <c r="AG224" s="2">
        <v>5</v>
      </c>
      <c r="AH224" s="2">
        <v>15</v>
      </c>
      <c r="AI224" s="2">
        <v>5</v>
      </c>
      <c r="AJ224" s="2">
        <v>15</v>
      </c>
      <c r="AK224" s="2">
        <v>5</v>
      </c>
      <c r="AL224" s="2">
        <v>15</v>
      </c>
      <c r="AM224" s="2">
        <v>5</v>
      </c>
      <c r="AN224" s="2">
        <v>15</v>
      </c>
      <c r="AO224" s="2">
        <v>5</v>
      </c>
      <c r="AP224" s="2">
        <v>15</v>
      </c>
      <c r="AQ224" s="2">
        <v>5</v>
      </c>
      <c r="AR224" s="2">
        <v>15</v>
      </c>
      <c r="AS224" s="2">
        <v>5</v>
      </c>
      <c r="AT224" s="2">
        <v>15</v>
      </c>
      <c r="AU224" s="2">
        <v>5</v>
      </c>
      <c r="AV224" s="2">
        <v>15</v>
      </c>
      <c r="CD224" s="2">
        <v>30</v>
      </c>
    </row>
    <row r="225" spans="18:82">
      <c r="R225" s="2">
        <v>53.5</v>
      </c>
      <c r="S225" s="2">
        <f t="shared" si="11"/>
        <v>57.5</v>
      </c>
      <c r="AB225">
        <v>39.5</v>
      </c>
      <c r="AC225" s="2">
        <v>4.75</v>
      </c>
      <c r="AD225" s="2">
        <v>15</v>
      </c>
      <c r="AE225" s="2">
        <v>4.75</v>
      </c>
      <c r="AF225" s="2">
        <v>15</v>
      </c>
      <c r="AG225" s="2">
        <v>4.75</v>
      </c>
      <c r="AH225" s="2">
        <v>15</v>
      </c>
      <c r="AI225" s="2">
        <v>4.75</v>
      </c>
      <c r="AJ225" s="2">
        <v>15</v>
      </c>
      <c r="AK225" s="2">
        <v>4.75</v>
      </c>
      <c r="AL225" s="2">
        <v>15</v>
      </c>
      <c r="AM225" s="2">
        <v>4.75</v>
      </c>
      <c r="AN225" s="2">
        <v>15</v>
      </c>
      <c r="AO225" s="2">
        <v>4.75</v>
      </c>
      <c r="AP225" s="2">
        <v>15</v>
      </c>
      <c r="AQ225" s="2">
        <v>4.75</v>
      </c>
      <c r="AR225" s="2">
        <v>15</v>
      </c>
      <c r="AS225" s="2">
        <v>4.75</v>
      </c>
      <c r="AT225" s="2">
        <v>15</v>
      </c>
      <c r="AU225" s="2">
        <v>4.75</v>
      </c>
      <c r="AV225" s="2">
        <v>15</v>
      </c>
      <c r="CD225" s="2">
        <v>30</v>
      </c>
    </row>
    <row r="226" spans="18:82">
      <c r="R226" s="2">
        <v>54</v>
      </c>
      <c r="S226" s="2">
        <f t="shared" si="11"/>
        <v>58</v>
      </c>
      <c r="AB226">
        <v>39</v>
      </c>
      <c r="AC226" s="2">
        <v>4.5</v>
      </c>
      <c r="AD226" s="2">
        <v>15</v>
      </c>
      <c r="AE226" s="2">
        <v>4.5</v>
      </c>
      <c r="AF226" s="2">
        <v>15</v>
      </c>
      <c r="AG226" s="2">
        <v>4.5</v>
      </c>
      <c r="AH226" s="2">
        <v>15</v>
      </c>
      <c r="AI226" s="2">
        <v>4.5</v>
      </c>
      <c r="AJ226" s="2">
        <v>15</v>
      </c>
      <c r="AK226" s="2">
        <v>4.5</v>
      </c>
      <c r="AL226" s="2">
        <v>15</v>
      </c>
      <c r="AM226" s="2">
        <v>4.5</v>
      </c>
      <c r="AN226" s="2">
        <v>15</v>
      </c>
      <c r="AO226" s="2">
        <v>4.5</v>
      </c>
      <c r="AP226" s="2">
        <v>15</v>
      </c>
      <c r="AQ226" s="2">
        <v>4.5</v>
      </c>
      <c r="AR226" s="2">
        <v>15</v>
      </c>
      <c r="AS226" s="2">
        <v>4.5</v>
      </c>
      <c r="AT226" s="2">
        <v>15</v>
      </c>
      <c r="AU226" s="2">
        <v>4.5</v>
      </c>
      <c r="AV226" s="2">
        <v>15</v>
      </c>
      <c r="CD226" s="2">
        <v>30</v>
      </c>
    </row>
    <row r="227" spans="18:82">
      <c r="R227" s="2">
        <v>54.5</v>
      </c>
      <c r="S227" s="2">
        <f t="shared" si="11"/>
        <v>58.5</v>
      </c>
      <c r="AB227">
        <v>38.5</v>
      </c>
      <c r="AC227" s="2">
        <v>4.25</v>
      </c>
      <c r="AD227" s="2">
        <v>15</v>
      </c>
      <c r="AE227" s="2">
        <v>4.25</v>
      </c>
      <c r="AF227" s="2">
        <v>15</v>
      </c>
      <c r="AG227" s="2">
        <v>4.25</v>
      </c>
      <c r="AH227" s="2">
        <v>15</v>
      </c>
      <c r="AI227" s="2">
        <v>4.25</v>
      </c>
      <c r="AJ227" s="2">
        <v>15</v>
      </c>
      <c r="AK227" s="2">
        <v>4.25</v>
      </c>
      <c r="AL227" s="2">
        <v>15</v>
      </c>
      <c r="AM227" s="2">
        <v>4.25</v>
      </c>
      <c r="AN227" s="2">
        <v>15</v>
      </c>
      <c r="AO227" s="2">
        <v>4.25</v>
      </c>
      <c r="AP227" s="2">
        <v>15</v>
      </c>
      <c r="AQ227" s="2">
        <v>4.25</v>
      </c>
      <c r="AR227" s="2">
        <v>15</v>
      </c>
      <c r="AS227" s="2">
        <v>4.25</v>
      </c>
      <c r="AT227" s="2">
        <v>15</v>
      </c>
      <c r="AU227" s="2">
        <v>4.25</v>
      </c>
      <c r="AV227" s="2">
        <v>15</v>
      </c>
      <c r="CD227" s="2">
        <v>30</v>
      </c>
    </row>
    <row r="228" spans="18:82">
      <c r="R228" s="2">
        <v>55</v>
      </c>
      <c r="S228" s="2">
        <f t="shared" si="11"/>
        <v>59</v>
      </c>
      <c r="AB228">
        <v>38</v>
      </c>
      <c r="AC228" s="2">
        <v>4</v>
      </c>
      <c r="AD228" s="2">
        <v>15</v>
      </c>
      <c r="AE228" s="2">
        <v>4</v>
      </c>
      <c r="AF228" s="2">
        <v>15</v>
      </c>
      <c r="AG228" s="2">
        <v>4</v>
      </c>
      <c r="AH228" s="2">
        <v>15</v>
      </c>
      <c r="AI228" s="2">
        <v>4</v>
      </c>
      <c r="AJ228" s="2">
        <v>15</v>
      </c>
      <c r="AK228" s="2">
        <v>4</v>
      </c>
      <c r="AL228" s="2">
        <v>15</v>
      </c>
      <c r="AM228" s="2">
        <v>4</v>
      </c>
      <c r="AN228" s="2">
        <v>15</v>
      </c>
      <c r="AO228" s="2">
        <v>4</v>
      </c>
      <c r="AP228" s="2">
        <v>15</v>
      </c>
      <c r="AQ228" s="2">
        <v>4</v>
      </c>
      <c r="AR228" s="2">
        <v>15</v>
      </c>
      <c r="AS228" s="2">
        <v>4</v>
      </c>
      <c r="AT228" s="2">
        <v>15</v>
      </c>
      <c r="AU228" s="2">
        <v>4</v>
      </c>
      <c r="AV228" s="2">
        <v>15</v>
      </c>
      <c r="CD228" s="2">
        <v>30</v>
      </c>
    </row>
    <row r="229" spans="18:82">
      <c r="R229" s="2">
        <v>55.5</v>
      </c>
      <c r="S229" s="2">
        <f t="shared" si="11"/>
        <v>59.5</v>
      </c>
      <c r="AB229">
        <v>37.5</v>
      </c>
      <c r="AC229" s="2">
        <v>3.75</v>
      </c>
      <c r="AD229" s="2">
        <v>15</v>
      </c>
      <c r="AE229" s="2">
        <v>3.75</v>
      </c>
      <c r="AF229" s="2">
        <v>15</v>
      </c>
      <c r="AG229" s="2">
        <v>3.75</v>
      </c>
      <c r="AH229" s="2">
        <v>15</v>
      </c>
      <c r="AI229" s="2">
        <v>3.75</v>
      </c>
      <c r="AJ229" s="2">
        <v>15</v>
      </c>
      <c r="AK229" s="2">
        <v>3.75</v>
      </c>
      <c r="AL229" s="2">
        <v>15</v>
      </c>
      <c r="AM229" s="2">
        <v>3.75</v>
      </c>
      <c r="AN229" s="2">
        <v>15</v>
      </c>
      <c r="AO229" s="2">
        <v>3.75</v>
      </c>
      <c r="AP229" s="2">
        <v>15</v>
      </c>
      <c r="AQ229" s="2">
        <v>3.75</v>
      </c>
      <c r="AR229" s="2">
        <v>15</v>
      </c>
      <c r="AS229" s="2">
        <v>3.75</v>
      </c>
      <c r="AT229" s="2">
        <v>15</v>
      </c>
      <c r="AU229" s="2">
        <v>3.75</v>
      </c>
      <c r="AV229" s="2">
        <v>15</v>
      </c>
      <c r="CD229" s="2">
        <v>30</v>
      </c>
    </row>
    <row r="230" spans="18:82">
      <c r="R230" s="2">
        <v>56</v>
      </c>
      <c r="S230" s="2">
        <f t="shared" si="11"/>
        <v>60</v>
      </c>
      <c r="AB230">
        <v>37</v>
      </c>
      <c r="AC230" s="2">
        <v>3.5</v>
      </c>
      <c r="AD230" s="2">
        <v>15</v>
      </c>
      <c r="AE230" s="2">
        <v>3.5</v>
      </c>
      <c r="AF230" s="2">
        <v>15</v>
      </c>
      <c r="AG230" s="2">
        <v>3.5</v>
      </c>
      <c r="AH230" s="2">
        <v>15</v>
      </c>
      <c r="AI230" s="2">
        <v>3.5</v>
      </c>
      <c r="AJ230" s="2">
        <v>15</v>
      </c>
      <c r="AK230" s="2">
        <v>3.5</v>
      </c>
      <c r="AL230" s="2">
        <v>15</v>
      </c>
      <c r="AM230" s="2">
        <v>3.5</v>
      </c>
      <c r="AN230" s="2">
        <v>15</v>
      </c>
      <c r="AO230" s="2">
        <v>3.5</v>
      </c>
      <c r="AP230" s="2">
        <v>15</v>
      </c>
      <c r="AQ230" s="2">
        <v>3.5</v>
      </c>
      <c r="AR230" s="2">
        <v>15</v>
      </c>
      <c r="AS230" s="2">
        <v>3.5</v>
      </c>
      <c r="AT230" s="2">
        <v>15</v>
      </c>
      <c r="AU230" s="2">
        <v>3.5</v>
      </c>
      <c r="AV230" s="2">
        <v>15</v>
      </c>
      <c r="CD230" s="2">
        <v>30</v>
      </c>
    </row>
    <row r="231" spans="18:82">
      <c r="R231" s="2">
        <v>56.5</v>
      </c>
      <c r="S231" s="2">
        <f t="shared" si="11"/>
        <v>60.5</v>
      </c>
      <c r="AB231">
        <v>36.5</v>
      </c>
      <c r="AC231" s="2">
        <v>3.25</v>
      </c>
      <c r="AD231" s="2">
        <v>15</v>
      </c>
      <c r="AE231" s="2">
        <v>3.25</v>
      </c>
      <c r="AF231" s="2">
        <v>15</v>
      </c>
      <c r="AG231" s="2">
        <v>3.25</v>
      </c>
      <c r="AH231" s="2">
        <v>15</v>
      </c>
      <c r="AI231" s="2">
        <v>3.25</v>
      </c>
      <c r="AJ231" s="2">
        <v>15</v>
      </c>
      <c r="AK231" s="2">
        <v>3.25</v>
      </c>
      <c r="AL231" s="2">
        <v>15</v>
      </c>
      <c r="AM231" s="2">
        <v>3.25</v>
      </c>
      <c r="AN231" s="2">
        <v>15</v>
      </c>
      <c r="AO231" s="2">
        <v>3.25</v>
      </c>
      <c r="AP231" s="2">
        <v>15</v>
      </c>
      <c r="AQ231" s="2">
        <v>3.25</v>
      </c>
      <c r="AR231" s="2">
        <v>15</v>
      </c>
      <c r="AS231" s="2">
        <v>3.25</v>
      </c>
      <c r="AT231" s="2">
        <v>15</v>
      </c>
      <c r="AU231" s="2">
        <v>3.25</v>
      </c>
      <c r="AV231" s="2">
        <v>15</v>
      </c>
      <c r="CD231" s="2">
        <v>30</v>
      </c>
    </row>
    <row r="232" spans="18:82">
      <c r="R232" s="2">
        <v>57</v>
      </c>
      <c r="S232" s="2">
        <f t="shared" si="11"/>
        <v>61</v>
      </c>
      <c r="AB232">
        <v>36</v>
      </c>
      <c r="AC232" s="2">
        <v>3</v>
      </c>
      <c r="AD232" s="2">
        <v>15</v>
      </c>
      <c r="AE232" s="2">
        <v>3</v>
      </c>
      <c r="AF232" s="2">
        <v>15</v>
      </c>
      <c r="AG232" s="2">
        <v>3</v>
      </c>
      <c r="AH232" s="2">
        <v>15</v>
      </c>
      <c r="AI232" s="2">
        <v>3</v>
      </c>
      <c r="AJ232" s="2">
        <v>15</v>
      </c>
      <c r="AK232" s="2">
        <v>3</v>
      </c>
      <c r="AL232" s="2">
        <v>15</v>
      </c>
      <c r="AM232" s="2">
        <v>3</v>
      </c>
      <c r="AN232" s="2">
        <v>15</v>
      </c>
      <c r="AO232" s="2">
        <v>3</v>
      </c>
      <c r="AP232" s="2">
        <v>15</v>
      </c>
      <c r="AQ232" s="2">
        <v>3</v>
      </c>
      <c r="AR232" s="2">
        <v>15</v>
      </c>
      <c r="AS232" s="2">
        <v>3</v>
      </c>
      <c r="AT232" s="2">
        <v>15</v>
      </c>
      <c r="AU232" s="2">
        <v>3</v>
      </c>
      <c r="AV232" s="2">
        <v>15</v>
      </c>
      <c r="CD232" s="2">
        <v>30</v>
      </c>
    </row>
    <row r="233" spans="18:82">
      <c r="R233" s="2">
        <v>57.5</v>
      </c>
      <c r="S233" s="2">
        <f t="shared" si="11"/>
        <v>61.5</v>
      </c>
      <c r="AB233">
        <v>35.5</v>
      </c>
      <c r="AC233" s="2">
        <v>2.75</v>
      </c>
      <c r="AD233" s="2">
        <v>15</v>
      </c>
      <c r="AE233" s="2">
        <v>2.75</v>
      </c>
      <c r="AF233" s="2">
        <v>15</v>
      </c>
      <c r="AG233" s="2">
        <v>2.75</v>
      </c>
      <c r="AH233" s="2">
        <v>15</v>
      </c>
      <c r="AI233" s="2">
        <v>2.75</v>
      </c>
      <c r="AJ233" s="2">
        <v>15</v>
      </c>
      <c r="AK233" s="2">
        <v>2.75</v>
      </c>
      <c r="AL233" s="2">
        <v>15</v>
      </c>
      <c r="AM233" s="2">
        <v>2.75</v>
      </c>
      <c r="AN233" s="2">
        <v>15</v>
      </c>
      <c r="AO233" s="2">
        <v>2.75</v>
      </c>
      <c r="AP233" s="2">
        <v>15</v>
      </c>
      <c r="AQ233" s="2">
        <v>2.75</v>
      </c>
      <c r="AR233" s="2">
        <v>15</v>
      </c>
      <c r="AS233" s="2">
        <v>2.75</v>
      </c>
      <c r="AT233" s="2">
        <v>15</v>
      </c>
      <c r="AU233" s="2">
        <v>2.75</v>
      </c>
      <c r="AV233" s="2">
        <v>15</v>
      </c>
      <c r="CD233" s="2">
        <v>30</v>
      </c>
    </row>
    <row r="234" spans="18:82">
      <c r="R234" s="2">
        <v>58</v>
      </c>
      <c r="S234" s="2">
        <f t="shared" si="11"/>
        <v>62</v>
      </c>
      <c r="AB234">
        <v>35</v>
      </c>
      <c r="AC234" s="2">
        <v>2.5</v>
      </c>
      <c r="AD234" s="2">
        <v>15</v>
      </c>
      <c r="AE234" s="2">
        <v>2.5</v>
      </c>
      <c r="AF234" s="2">
        <v>15</v>
      </c>
      <c r="AG234" s="2">
        <v>2.5</v>
      </c>
      <c r="AH234" s="2">
        <v>15</v>
      </c>
      <c r="AI234" s="2">
        <v>2.5</v>
      </c>
      <c r="AJ234" s="2">
        <v>15</v>
      </c>
      <c r="AK234" s="2">
        <v>2.5</v>
      </c>
      <c r="AL234" s="2">
        <v>15</v>
      </c>
      <c r="AM234" s="2">
        <v>2.5</v>
      </c>
      <c r="AN234" s="2">
        <v>15</v>
      </c>
      <c r="AO234" s="2">
        <v>2.5</v>
      </c>
      <c r="AP234" s="2">
        <v>15</v>
      </c>
      <c r="AQ234" s="2">
        <v>2.5</v>
      </c>
      <c r="AR234" s="2">
        <v>15</v>
      </c>
      <c r="AS234" s="2">
        <v>2.5</v>
      </c>
      <c r="AT234" s="2">
        <v>15</v>
      </c>
      <c r="AU234" s="2">
        <v>2.5</v>
      </c>
      <c r="AV234" s="2">
        <v>15</v>
      </c>
      <c r="CD234" s="2">
        <v>30</v>
      </c>
    </row>
    <row r="235" spans="18:82">
      <c r="R235" s="2">
        <v>58.5</v>
      </c>
      <c r="S235" s="2">
        <f t="shared" si="11"/>
        <v>62.5</v>
      </c>
      <c r="AB235">
        <v>34.5</v>
      </c>
      <c r="AC235" s="2">
        <v>2.25</v>
      </c>
      <c r="AD235" s="2">
        <v>15</v>
      </c>
      <c r="AE235" s="2">
        <v>2.25</v>
      </c>
      <c r="AF235" s="2">
        <v>15</v>
      </c>
      <c r="AG235" s="2">
        <v>2.25</v>
      </c>
      <c r="AH235" s="2">
        <v>15</v>
      </c>
      <c r="AI235" s="2">
        <v>2.25</v>
      </c>
      <c r="AJ235" s="2">
        <v>15</v>
      </c>
      <c r="AK235" s="2">
        <v>2.25</v>
      </c>
      <c r="AL235" s="2">
        <v>15</v>
      </c>
      <c r="AM235" s="2">
        <v>2.25</v>
      </c>
      <c r="AN235" s="2">
        <v>15</v>
      </c>
      <c r="AO235" s="2">
        <v>2.25</v>
      </c>
      <c r="AP235" s="2">
        <v>15</v>
      </c>
      <c r="AQ235" s="2">
        <v>2.25</v>
      </c>
      <c r="AR235" s="2">
        <v>15</v>
      </c>
      <c r="AS235" s="2">
        <v>2.25</v>
      </c>
      <c r="AT235" s="2">
        <v>15</v>
      </c>
      <c r="AU235" s="2">
        <v>2.25</v>
      </c>
      <c r="AV235" s="2">
        <v>15</v>
      </c>
      <c r="CD235" s="2">
        <v>30</v>
      </c>
    </row>
    <row r="236" spans="18:82">
      <c r="R236" s="2">
        <v>59</v>
      </c>
      <c r="S236" s="2">
        <f t="shared" si="11"/>
        <v>63</v>
      </c>
      <c r="AB236">
        <v>34</v>
      </c>
      <c r="AC236" s="2">
        <v>2</v>
      </c>
      <c r="AD236" s="2">
        <v>15</v>
      </c>
      <c r="AE236" s="2">
        <v>2</v>
      </c>
      <c r="AF236" s="2">
        <v>15</v>
      </c>
      <c r="AG236" s="2">
        <v>2</v>
      </c>
      <c r="AH236" s="2">
        <v>15</v>
      </c>
      <c r="AI236" s="2">
        <v>2</v>
      </c>
      <c r="AJ236" s="2">
        <v>15</v>
      </c>
      <c r="AK236" s="2">
        <v>2</v>
      </c>
      <c r="AL236" s="2">
        <v>15</v>
      </c>
      <c r="AM236" s="2">
        <v>2</v>
      </c>
      <c r="AN236" s="2">
        <v>15</v>
      </c>
      <c r="AO236" s="2">
        <v>2</v>
      </c>
      <c r="AP236" s="2">
        <v>15</v>
      </c>
      <c r="AQ236" s="2">
        <v>2</v>
      </c>
      <c r="AR236" s="2">
        <v>15</v>
      </c>
      <c r="AS236" s="2">
        <v>2</v>
      </c>
      <c r="AT236" s="2">
        <v>15</v>
      </c>
      <c r="AU236" s="2">
        <v>2</v>
      </c>
      <c r="AV236" s="2">
        <v>15</v>
      </c>
      <c r="CD236" s="2">
        <v>30</v>
      </c>
    </row>
    <row r="237" spans="18:82">
      <c r="R237" s="2">
        <v>59.5</v>
      </c>
      <c r="S237" s="2">
        <f t="shared" si="11"/>
        <v>63.5</v>
      </c>
      <c r="AB237">
        <v>33.5</v>
      </c>
      <c r="AC237" s="2">
        <v>2</v>
      </c>
      <c r="AD237" s="2">
        <v>14.75</v>
      </c>
      <c r="AE237" s="2">
        <v>2</v>
      </c>
      <c r="AF237" s="2">
        <v>14.75</v>
      </c>
      <c r="AG237" s="2">
        <v>2</v>
      </c>
      <c r="AH237" s="2">
        <v>14.75</v>
      </c>
      <c r="AI237" s="2">
        <v>2</v>
      </c>
      <c r="AJ237" s="2">
        <v>14.75</v>
      </c>
      <c r="AK237" s="2">
        <v>2</v>
      </c>
      <c r="AL237" s="2">
        <v>14.75</v>
      </c>
      <c r="AM237" s="2">
        <v>2</v>
      </c>
      <c r="AN237" s="2">
        <v>14.75</v>
      </c>
      <c r="AO237" s="2">
        <v>2</v>
      </c>
      <c r="AP237" s="2">
        <v>14.75</v>
      </c>
      <c r="AQ237" s="2">
        <v>2</v>
      </c>
      <c r="AR237" s="2">
        <v>14.75</v>
      </c>
      <c r="AS237" s="2">
        <v>2</v>
      </c>
      <c r="AT237" s="2">
        <v>14.75</v>
      </c>
      <c r="AU237" s="2">
        <v>2</v>
      </c>
      <c r="AV237" s="2">
        <v>14.75</v>
      </c>
    </row>
    <row r="238" spans="18:82">
      <c r="R238" s="2">
        <v>60</v>
      </c>
      <c r="S238" s="2">
        <f t="shared" si="11"/>
        <v>64</v>
      </c>
      <c r="AB238">
        <v>33</v>
      </c>
      <c r="AC238" s="2">
        <v>2</v>
      </c>
      <c r="AD238" s="2">
        <v>14.5</v>
      </c>
      <c r="AE238" s="2">
        <v>2</v>
      </c>
      <c r="AF238" s="2">
        <v>14.5</v>
      </c>
      <c r="AG238" s="2">
        <v>2</v>
      </c>
      <c r="AH238" s="2">
        <v>14.5</v>
      </c>
      <c r="AI238" s="2">
        <v>2</v>
      </c>
      <c r="AJ238" s="2">
        <v>14.5</v>
      </c>
      <c r="AK238" s="2">
        <v>2</v>
      </c>
      <c r="AL238" s="2">
        <v>14.5</v>
      </c>
      <c r="AM238" s="2">
        <v>2</v>
      </c>
      <c r="AN238" s="2">
        <v>14.5</v>
      </c>
      <c r="AO238" s="2">
        <v>2</v>
      </c>
      <c r="AP238" s="2">
        <v>14.5</v>
      </c>
      <c r="AQ238" s="2">
        <v>2</v>
      </c>
      <c r="AR238" s="2">
        <v>14.5</v>
      </c>
      <c r="AS238" s="2">
        <v>2</v>
      </c>
      <c r="AT238" s="2">
        <v>14.5</v>
      </c>
      <c r="AU238" s="2">
        <v>2</v>
      </c>
      <c r="AV238" s="2">
        <v>14.5</v>
      </c>
    </row>
    <row r="239" spans="18:82">
      <c r="R239" s="2">
        <v>60.5</v>
      </c>
      <c r="S239" s="2">
        <f t="shared" si="11"/>
        <v>64.5</v>
      </c>
      <c r="AB239">
        <v>32.5</v>
      </c>
      <c r="AC239" s="2">
        <v>2</v>
      </c>
      <c r="AD239" s="2">
        <v>14.25</v>
      </c>
      <c r="AE239" s="2">
        <v>2</v>
      </c>
      <c r="AF239" s="2">
        <v>14.25</v>
      </c>
      <c r="AG239" s="2">
        <v>2</v>
      </c>
      <c r="AH239" s="2">
        <v>14.25</v>
      </c>
      <c r="AI239" s="2">
        <v>2</v>
      </c>
      <c r="AJ239" s="2">
        <v>14.25</v>
      </c>
      <c r="AK239" s="2">
        <v>2</v>
      </c>
      <c r="AL239" s="2">
        <v>14.25</v>
      </c>
      <c r="AM239" s="2">
        <v>2</v>
      </c>
      <c r="AN239" s="2">
        <v>14.25</v>
      </c>
      <c r="AO239" s="2">
        <v>2</v>
      </c>
      <c r="AP239" s="2">
        <v>14.25</v>
      </c>
      <c r="AQ239" s="2">
        <v>2</v>
      </c>
      <c r="AR239" s="2">
        <v>14.25</v>
      </c>
      <c r="AS239" s="2">
        <v>2</v>
      </c>
      <c r="AT239" s="2">
        <v>14.25</v>
      </c>
      <c r="AU239" s="2">
        <v>2</v>
      </c>
      <c r="AV239" s="2">
        <v>14.25</v>
      </c>
    </row>
    <row r="240" spans="18:82">
      <c r="R240" s="2">
        <v>61</v>
      </c>
      <c r="S240" s="2">
        <f t="shared" si="11"/>
        <v>65</v>
      </c>
      <c r="AB240">
        <v>32</v>
      </c>
      <c r="AC240" s="2">
        <v>2</v>
      </c>
      <c r="AD240" s="2">
        <v>14</v>
      </c>
      <c r="AE240" s="2">
        <v>2</v>
      </c>
      <c r="AF240" s="2">
        <v>14</v>
      </c>
      <c r="AG240" s="2">
        <v>2</v>
      </c>
      <c r="AH240" s="2">
        <v>14</v>
      </c>
      <c r="AI240" s="2">
        <v>2</v>
      </c>
      <c r="AJ240" s="2">
        <v>14</v>
      </c>
      <c r="AK240" s="2">
        <v>2</v>
      </c>
      <c r="AL240" s="2">
        <v>14</v>
      </c>
      <c r="AM240" s="2">
        <v>2</v>
      </c>
      <c r="AN240" s="2">
        <v>14</v>
      </c>
      <c r="AO240" s="2">
        <v>2</v>
      </c>
      <c r="AP240" s="2">
        <v>14</v>
      </c>
      <c r="AQ240" s="2">
        <v>2</v>
      </c>
      <c r="AR240" s="2">
        <v>14</v>
      </c>
      <c r="AS240" s="2">
        <v>2</v>
      </c>
      <c r="AT240" s="2">
        <v>14</v>
      </c>
      <c r="AU240" s="2">
        <v>2</v>
      </c>
      <c r="AV240" s="2">
        <v>14</v>
      </c>
    </row>
    <row r="241" spans="18:48">
      <c r="R241" s="2">
        <v>61.5</v>
      </c>
      <c r="S241" s="2">
        <f t="shared" si="11"/>
        <v>65.5</v>
      </c>
      <c r="AB241">
        <v>31.5</v>
      </c>
      <c r="AC241" s="2">
        <v>2</v>
      </c>
      <c r="AD241" s="2">
        <v>13.75</v>
      </c>
      <c r="AE241" s="2">
        <v>2</v>
      </c>
      <c r="AF241" s="2">
        <v>13.75</v>
      </c>
      <c r="AG241" s="2">
        <v>2</v>
      </c>
      <c r="AH241" s="2">
        <v>13.75</v>
      </c>
      <c r="AI241" s="2">
        <v>2</v>
      </c>
      <c r="AJ241" s="2">
        <v>13.75</v>
      </c>
      <c r="AK241" s="2">
        <v>2</v>
      </c>
      <c r="AL241" s="2">
        <v>13.75</v>
      </c>
      <c r="AM241" s="2">
        <v>2</v>
      </c>
      <c r="AN241" s="2">
        <v>13.75</v>
      </c>
      <c r="AO241" s="2">
        <v>2</v>
      </c>
      <c r="AP241" s="2">
        <v>13.75</v>
      </c>
      <c r="AQ241" s="2">
        <v>2</v>
      </c>
      <c r="AR241" s="2">
        <v>13.75</v>
      </c>
      <c r="AS241" s="2">
        <v>2</v>
      </c>
      <c r="AT241" s="2">
        <v>13.75</v>
      </c>
      <c r="AU241" s="2">
        <v>2</v>
      </c>
      <c r="AV241" s="2">
        <v>13.75</v>
      </c>
    </row>
    <row r="242" spans="18:48">
      <c r="R242" s="2">
        <v>62</v>
      </c>
      <c r="S242" s="2">
        <f t="shared" si="11"/>
        <v>66</v>
      </c>
      <c r="AB242">
        <v>31</v>
      </c>
      <c r="AC242" s="2">
        <v>2</v>
      </c>
      <c r="AD242" s="2">
        <v>13.5</v>
      </c>
      <c r="AE242" s="2">
        <v>2</v>
      </c>
      <c r="AF242" s="2">
        <v>13.5</v>
      </c>
      <c r="AG242" s="2">
        <v>2</v>
      </c>
      <c r="AH242" s="2">
        <v>13.5</v>
      </c>
      <c r="AI242" s="2">
        <v>2</v>
      </c>
      <c r="AJ242" s="2">
        <v>13.5</v>
      </c>
      <c r="AK242" s="2">
        <v>2</v>
      </c>
      <c r="AL242" s="2">
        <v>13.5</v>
      </c>
      <c r="AM242" s="2">
        <v>2</v>
      </c>
      <c r="AN242" s="2">
        <v>13.5</v>
      </c>
      <c r="AO242" s="2">
        <v>2</v>
      </c>
      <c r="AP242" s="2">
        <v>13.5</v>
      </c>
      <c r="AQ242" s="2">
        <v>2</v>
      </c>
      <c r="AR242" s="2">
        <v>13.5</v>
      </c>
      <c r="AS242" s="2">
        <v>2</v>
      </c>
      <c r="AT242" s="2">
        <v>13.5</v>
      </c>
      <c r="AU242" s="2">
        <v>2</v>
      </c>
      <c r="AV242" s="2">
        <v>13.5</v>
      </c>
    </row>
    <row r="243" spans="18:48">
      <c r="R243" s="2">
        <v>62.5</v>
      </c>
      <c r="S243" s="2">
        <f t="shared" si="11"/>
        <v>66.5</v>
      </c>
      <c r="AB243">
        <v>30.5</v>
      </c>
      <c r="AC243" s="2">
        <v>2</v>
      </c>
      <c r="AD243" s="2">
        <v>13.25</v>
      </c>
      <c r="AE243" s="2">
        <v>2</v>
      </c>
      <c r="AF243" s="2">
        <v>13.25</v>
      </c>
      <c r="AG243" s="2">
        <v>2</v>
      </c>
      <c r="AH243" s="2">
        <v>13.25</v>
      </c>
      <c r="AI243" s="2">
        <v>2</v>
      </c>
      <c r="AJ243" s="2">
        <v>13.25</v>
      </c>
      <c r="AK243" s="2">
        <v>2</v>
      </c>
      <c r="AL243" s="2">
        <v>13.25</v>
      </c>
      <c r="AM243" s="2">
        <v>2</v>
      </c>
      <c r="AN243" s="2">
        <v>13.25</v>
      </c>
      <c r="AO243" s="2">
        <v>2</v>
      </c>
      <c r="AP243" s="2">
        <v>13.25</v>
      </c>
      <c r="AQ243" s="2">
        <v>2</v>
      </c>
      <c r="AR243" s="2">
        <v>13.25</v>
      </c>
      <c r="AS243" s="2">
        <v>2</v>
      </c>
      <c r="AT243" s="2">
        <v>13.25</v>
      </c>
      <c r="AU243" s="2">
        <v>2</v>
      </c>
      <c r="AV243" s="2">
        <v>13.25</v>
      </c>
    </row>
    <row r="244" spans="18:48">
      <c r="R244" s="2">
        <v>63</v>
      </c>
      <c r="S244" s="2">
        <f t="shared" si="11"/>
        <v>67</v>
      </c>
      <c r="AB244">
        <v>30</v>
      </c>
      <c r="AC244" s="2">
        <v>2</v>
      </c>
      <c r="AD244" s="2">
        <v>13</v>
      </c>
      <c r="AE244" s="2">
        <v>2</v>
      </c>
      <c r="AF244" s="2">
        <v>13</v>
      </c>
      <c r="AG244" s="2">
        <v>2</v>
      </c>
      <c r="AH244" s="2">
        <v>13</v>
      </c>
      <c r="AI244" s="2">
        <v>2</v>
      </c>
      <c r="AJ244" s="2">
        <v>13</v>
      </c>
      <c r="AK244" s="2">
        <v>2</v>
      </c>
      <c r="AL244" s="2">
        <v>13</v>
      </c>
      <c r="AM244" s="2">
        <v>2</v>
      </c>
      <c r="AN244" s="2">
        <v>13</v>
      </c>
      <c r="AO244" s="2">
        <v>2</v>
      </c>
      <c r="AP244" s="2">
        <v>13</v>
      </c>
      <c r="AQ244" s="2">
        <v>2</v>
      </c>
      <c r="AR244" s="2">
        <v>13</v>
      </c>
      <c r="AS244" s="2">
        <v>2</v>
      </c>
      <c r="AT244" s="2">
        <v>13</v>
      </c>
      <c r="AU244" s="2">
        <v>2</v>
      </c>
      <c r="AV244" s="2">
        <v>13</v>
      </c>
    </row>
    <row r="245" spans="18:48">
      <c r="R245" s="2">
        <v>63.5</v>
      </c>
      <c r="S245" s="2">
        <f t="shared" si="11"/>
        <v>67.5</v>
      </c>
      <c r="AB245">
        <v>29.5</v>
      </c>
      <c r="AC245" s="2">
        <v>2</v>
      </c>
      <c r="AD245" s="2">
        <v>12.75</v>
      </c>
      <c r="AE245" s="2">
        <v>2</v>
      </c>
      <c r="AF245" s="2">
        <v>12.75</v>
      </c>
      <c r="AG245" s="2">
        <v>2</v>
      </c>
      <c r="AH245" s="2">
        <v>12.75</v>
      </c>
      <c r="AI245" s="2">
        <v>2</v>
      </c>
      <c r="AJ245" s="2">
        <v>12.75</v>
      </c>
      <c r="AK245" s="2">
        <v>2</v>
      </c>
      <c r="AL245" s="2">
        <v>12.75</v>
      </c>
      <c r="AM245" s="2">
        <v>2</v>
      </c>
      <c r="AN245" s="2">
        <v>12.75</v>
      </c>
      <c r="AO245" s="2">
        <v>2</v>
      </c>
      <c r="AP245" s="2">
        <v>12.75</v>
      </c>
      <c r="AQ245" s="2">
        <v>2</v>
      </c>
      <c r="AR245" s="2">
        <v>12.75</v>
      </c>
      <c r="AS245" s="2">
        <v>2</v>
      </c>
      <c r="AT245" s="2">
        <v>12.75</v>
      </c>
      <c r="AU245" s="2">
        <v>2</v>
      </c>
      <c r="AV245" s="2">
        <v>12.75</v>
      </c>
    </row>
    <row r="246" spans="18:48">
      <c r="R246" s="2">
        <v>64</v>
      </c>
      <c r="S246" s="2">
        <f t="shared" si="11"/>
        <v>68</v>
      </c>
      <c r="AB246">
        <v>29</v>
      </c>
      <c r="AC246" s="2">
        <v>2</v>
      </c>
      <c r="AD246" s="2">
        <v>12.5</v>
      </c>
      <c r="AE246" s="2">
        <v>2</v>
      </c>
      <c r="AF246" s="2">
        <v>12.5</v>
      </c>
      <c r="AG246" s="2">
        <v>2</v>
      </c>
      <c r="AH246" s="2">
        <v>12.5</v>
      </c>
      <c r="AI246" s="2">
        <v>2</v>
      </c>
      <c r="AJ246" s="2">
        <v>12.5</v>
      </c>
      <c r="AK246" s="2">
        <v>2</v>
      </c>
      <c r="AL246" s="2">
        <v>12.5</v>
      </c>
      <c r="AM246" s="2">
        <v>2</v>
      </c>
      <c r="AN246" s="2">
        <v>12.5</v>
      </c>
      <c r="AO246" s="2">
        <v>2</v>
      </c>
      <c r="AP246" s="2">
        <v>12.5</v>
      </c>
      <c r="AQ246" s="2">
        <v>2</v>
      </c>
      <c r="AR246" s="2">
        <v>12.5</v>
      </c>
      <c r="AS246" s="2">
        <v>2</v>
      </c>
      <c r="AT246" s="2">
        <v>12.5</v>
      </c>
      <c r="AU246" s="2">
        <v>2</v>
      </c>
      <c r="AV246" s="2">
        <v>12.5</v>
      </c>
    </row>
    <row r="247" spans="18:48">
      <c r="R247" s="2">
        <v>64.5</v>
      </c>
      <c r="S247" s="2">
        <f t="shared" si="11"/>
        <v>68.5</v>
      </c>
      <c r="AB247">
        <v>28.5</v>
      </c>
      <c r="AC247" s="2">
        <v>2</v>
      </c>
      <c r="AD247" s="2">
        <v>12.25</v>
      </c>
      <c r="AE247" s="2">
        <v>2</v>
      </c>
      <c r="AF247" s="2">
        <v>12.25</v>
      </c>
      <c r="AG247" s="2">
        <v>2</v>
      </c>
      <c r="AH247" s="2">
        <v>12.25</v>
      </c>
      <c r="AI247" s="2">
        <v>2</v>
      </c>
      <c r="AJ247" s="2">
        <v>12.25</v>
      </c>
      <c r="AK247" s="2">
        <v>2</v>
      </c>
      <c r="AL247" s="2">
        <v>12.25</v>
      </c>
      <c r="AM247" s="2">
        <v>2</v>
      </c>
      <c r="AN247" s="2">
        <v>12.25</v>
      </c>
      <c r="AO247" s="2">
        <v>2</v>
      </c>
      <c r="AP247" s="2">
        <v>12.25</v>
      </c>
      <c r="AQ247" s="2">
        <v>2</v>
      </c>
      <c r="AR247" s="2">
        <v>12.25</v>
      </c>
      <c r="AS247" s="2">
        <v>2</v>
      </c>
      <c r="AT247" s="2">
        <v>12.25</v>
      </c>
      <c r="AU247" s="2">
        <v>2</v>
      </c>
      <c r="AV247" s="2">
        <v>12.25</v>
      </c>
    </row>
    <row r="248" spans="18:48">
      <c r="R248" s="2">
        <v>65</v>
      </c>
      <c r="S248" s="2">
        <f t="shared" si="11"/>
        <v>69</v>
      </c>
      <c r="AB248">
        <v>28</v>
      </c>
      <c r="AC248" s="2">
        <v>2</v>
      </c>
      <c r="AD248" s="2">
        <v>12</v>
      </c>
      <c r="AE248" s="2">
        <v>2</v>
      </c>
      <c r="AF248" s="2">
        <v>12</v>
      </c>
      <c r="AG248" s="2">
        <v>2</v>
      </c>
      <c r="AH248" s="2">
        <v>12</v>
      </c>
      <c r="AI248" s="2">
        <v>2</v>
      </c>
      <c r="AJ248" s="2">
        <v>12</v>
      </c>
      <c r="AK248" s="2">
        <v>2</v>
      </c>
      <c r="AL248" s="2">
        <v>12</v>
      </c>
      <c r="AM248" s="2">
        <v>2</v>
      </c>
      <c r="AN248" s="2">
        <v>12</v>
      </c>
      <c r="AO248" s="2">
        <v>2</v>
      </c>
      <c r="AP248" s="2">
        <v>12</v>
      </c>
      <c r="AQ248" s="2">
        <v>2</v>
      </c>
      <c r="AR248" s="2">
        <v>12</v>
      </c>
      <c r="AS248" s="2">
        <v>2</v>
      </c>
      <c r="AT248" s="2">
        <v>12</v>
      </c>
      <c r="AU248" s="2">
        <v>2</v>
      </c>
      <c r="AV248" s="2">
        <v>12</v>
      </c>
    </row>
    <row r="249" spans="18:48">
      <c r="R249" s="2">
        <v>65.5</v>
      </c>
      <c r="S249" s="2">
        <f t="shared" ref="S249:S302" si="12">R249+4</f>
        <v>69.5</v>
      </c>
      <c r="AB249">
        <v>27.5</v>
      </c>
      <c r="AC249" s="2">
        <v>2</v>
      </c>
      <c r="AD249" s="2">
        <v>11.75</v>
      </c>
      <c r="AE249" s="2">
        <v>2</v>
      </c>
      <c r="AF249" s="2">
        <v>11.75</v>
      </c>
      <c r="AG249" s="2">
        <v>2</v>
      </c>
      <c r="AH249" s="2">
        <v>11.75</v>
      </c>
      <c r="AI249" s="2">
        <v>2</v>
      </c>
      <c r="AJ249" s="2">
        <v>11.75</v>
      </c>
      <c r="AK249" s="2">
        <v>2</v>
      </c>
      <c r="AL249" s="2">
        <v>11.75</v>
      </c>
      <c r="AM249" s="2">
        <v>2</v>
      </c>
      <c r="AN249" s="2">
        <v>11.75</v>
      </c>
      <c r="AO249" s="2">
        <v>2</v>
      </c>
      <c r="AP249" s="2">
        <v>11.75</v>
      </c>
      <c r="AQ249" s="2">
        <v>2</v>
      </c>
      <c r="AR249" s="2">
        <v>11.75</v>
      </c>
      <c r="AS249" s="2">
        <v>2</v>
      </c>
      <c r="AT249" s="2">
        <v>11.75</v>
      </c>
      <c r="AU249" s="2">
        <v>2</v>
      </c>
      <c r="AV249" s="2">
        <v>11.75</v>
      </c>
    </row>
    <row r="250" spans="18:48">
      <c r="R250" s="2">
        <v>66</v>
      </c>
      <c r="S250" s="2">
        <f t="shared" si="12"/>
        <v>70</v>
      </c>
      <c r="AB250">
        <v>27</v>
      </c>
      <c r="AC250" s="2">
        <v>2</v>
      </c>
      <c r="AD250" s="2">
        <v>11.5</v>
      </c>
      <c r="AE250" s="2">
        <v>2</v>
      </c>
      <c r="AF250" s="2">
        <v>11.5</v>
      </c>
      <c r="AG250" s="2">
        <v>2</v>
      </c>
      <c r="AH250" s="2">
        <v>11.5</v>
      </c>
      <c r="AI250" s="2">
        <v>2</v>
      </c>
      <c r="AJ250" s="2">
        <v>11.5</v>
      </c>
      <c r="AK250" s="2">
        <v>2</v>
      </c>
      <c r="AL250" s="2">
        <v>11.5</v>
      </c>
      <c r="AM250" s="2">
        <v>2</v>
      </c>
      <c r="AN250" s="2">
        <v>11.5</v>
      </c>
      <c r="AO250" s="2">
        <v>2</v>
      </c>
      <c r="AP250" s="2">
        <v>11.5</v>
      </c>
      <c r="AQ250" s="2">
        <v>2</v>
      </c>
      <c r="AR250" s="2">
        <v>11.5</v>
      </c>
      <c r="AS250" s="2">
        <v>2</v>
      </c>
      <c r="AT250" s="2">
        <v>11.5</v>
      </c>
      <c r="AU250" s="2">
        <v>2</v>
      </c>
      <c r="AV250" s="2">
        <v>11.5</v>
      </c>
    </row>
    <row r="251" spans="18:48">
      <c r="R251" s="2">
        <v>66.5</v>
      </c>
      <c r="S251" s="2">
        <f t="shared" si="12"/>
        <v>70.5</v>
      </c>
      <c r="AB251">
        <v>26.5</v>
      </c>
      <c r="AC251" s="2">
        <v>2</v>
      </c>
      <c r="AD251" s="2">
        <v>11.25</v>
      </c>
      <c r="AE251" s="2">
        <v>2</v>
      </c>
      <c r="AF251" s="2">
        <v>11.25</v>
      </c>
      <c r="AG251" s="2">
        <v>2</v>
      </c>
      <c r="AH251" s="2">
        <v>11.25</v>
      </c>
      <c r="AI251" s="2">
        <v>2</v>
      </c>
      <c r="AJ251" s="2">
        <v>11.25</v>
      </c>
      <c r="AK251" s="2">
        <v>2</v>
      </c>
      <c r="AL251" s="2">
        <v>11.25</v>
      </c>
      <c r="AM251" s="2">
        <v>2</v>
      </c>
      <c r="AN251" s="2">
        <v>11.25</v>
      </c>
      <c r="AO251" s="2">
        <v>2</v>
      </c>
      <c r="AP251" s="2">
        <v>11.25</v>
      </c>
      <c r="AQ251" s="2">
        <v>2</v>
      </c>
      <c r="AR251" s="2">
        <v>11.25</v>
      </c>
      <c r="AS251" s="2">
        <v>2</v>
      </c>
      <c r="AT251" s="2">
        <v>11.25</v>
      </c>
      <c r="AU251" s="2">
        <v>2</v>
      </c>
      <c r="AV251" s="2">
        <v>11.25</v>
      </c>
    </row>
    <row r="252" spans="18:48">
      <c r="R252" s="2">
        <v>67</v>
      </c>
      <c r="S252" s="2">
        <f t="shared" si="12"/>
        <v>71</v>
      </c>
      <c r="AB252">
        <v>26</v>
      </c>
      <c r="AC252" s="2">
        <v>2</v>
      </c>
      <c r="AD252" s="2">
        <v>11</v>
      </c>
      <c r="AE252" s="2">
        <v>2</v>
      </c>
      <c r="AF252" s="2">
        <v>11</v>
      </c>
      <c r="AG252" s="2">
        <v>2</v>
      </c>
      <c r="AH252" s="2">
        <v>11</v>
      </c>
      <c r="AI252" s="2">
        <v>2</v>
      </c>
      <c r="AJ252" s="2">
        <v>11</v>
      </c>
      <c r="AK252" s="2">
        <v>2</v>
      </c>
      <c r="AL252" s="2">
        <v>11</v>
      </c>
      <c r="AM252" s="2">
        <v>2</v>
      </c>
      <c r="AN252" s="2">
        <v>11</v>
      </c>
      <c r="AO252" s="2">
        <v>2</v>
      </c>
      <c r="AP252" s="2">
        <v>11</v>
      </c>
      <c r="AQ252" s="2">
        <v>2</v>
      </c>
      <c r="AR252" s="2">
        <v>11</v>
      </c>
      <c r="AS252" s="2">
        <v>2</v>
      </c>
      <c r="AT252" s="2">
        <v>11</v>
      </c>
      <c r="AU252" s="2">
        <v>2</v>
      </c>
      <c r="AV252" s="2">
        <v>11</v>
      </c>
    </row>
    <row r="253" spans="18:48">
      <c r="R253" s="2">
        <v>67.5</v>
      </c>
      <c r="S253" s="2">
        <f t="shared" si="12"/>
        <v>71.5</v>
      </c>
      <c r="AB253">
        <v>25.5</v>
      </c>
      <c r="AC253" s="2">
        <v>2</v>
      </c>
      <c r="AD253" s="2">
        <v>10.75</v>
      </c>
      <c r="AE253" s="2">
        <v>2</v>
      </c>
      <c r="AF253" s="2">
        <v>10.75</v>
      </c>
      <c r="AG253" s="2">
        <v>2</v>
      </c>
      <c r="AH253" s="2">
        <v>10.75</v>
      </c>
      <c r="AI253" s="2">
        <v>2</v>
      </c>
      <c r="AJ253" s="2">
        <v>10.75</v>
      </c>
      <c r="AK253" s="2">
        <v>2</v>
      </c>
      <c r="AL253" s="2">
        <v>10.75</v>
      </c>
      <c r="AM253" s="2">
        <v>2</v>
      </c>
      <c r="AN253" s="2">
        <v>10.75</v>
      </c>
      <c r="AO253" s="2">
        <v>2</v>
      </c>
      <c r="AP253" s="2">
        <v>10.75</v>
      </c>
      <c r="AQ253" s="2">
        <v>2</v>
      </c>
      <c r="AR253" s="2">
        <v>10.75</v>
      </c>
      <c r="AS253" s="2">
        <v>2</v>
      </c>
      <c r="AT253" s="2">
        <v>10.75</v>
      </c>
      <c r="AU253" s="2">
        <v>2</v>
      </c>
      <c r="AV253" s="2">
        <v>10.75</v>
      </c>
    </row>
    <row r="254" spans="18:48">
      <c r="R254" s="2">
        <v>68</v>
      </c>
      <c r="S254" s="2">
        <f t="shared" si="12"/>
        <v>72</v>
      </c>
      <c r="AB254">
        <v>25</v>
      </c>
      <c r="AC254" s="2">
        <v>2</v>
      </c>
      <c r="AD254" s="2">
        <v>10.5</v>
      </c>
      <c r="AE254" s="2">
        <v>2</v>
      </c>
      <c r="AF254" s="2">
        <v>10.5</v>
      </c>
      <c r="AG254" s="2">
        <v>2</v>
      </c>
      <c r="AH254" s="2">
        <v>10.5</v>
      </c>
      <c r="AI254" s="2">
        <v>2</v>
      </c>
      <c r="AJ254" s="2">
        <v>10.5</v>
      </c>
      <c r="AK254" s="2">
        <v>2</v>
      </c>
      <c r="AL254" s="2">
        <v>10.5</v>
      </c>
      <c r="AM254" s="2">
        <v>2</v>
      </c>
      <c r="AN254" s="2">
        <v>10.5</v>
      </c>
      <c r="AO254" s="2">
        <v>2</v>
      </c>
      <c r="AP254" s="2">
        <v>10.5</v>
      </c>
      <c r="AQ254" s="2">
        <v>2</v>
      </c>
      <c r="AR254" s="2">
        <v>10.5</v>
      </c>
      <c r="AS254" s="2">
        <v>2</v>
      </c>
      <c r="AT254" s="2">
        <v>10.5</v>
      </c>
      <c r="AU254" s="2">
        <v>2</v>
      </c>
      <c r="AV254" s="2">
        <v>10.5</v>
      </c>
    </row>
    <row r="255" spans="18:48">
      <c r="R255" s="2">
        <v>68.5</v>
      </c>
      <c r="S255" s="2">
        <f t="shared" si="12"/>
        <v>72.5</v>
      </c>
      <c r="AB255">
        <v>24.5</v>
      </c>
      <c r="AC255" s="2">
        <v>2</v>
      </c>
      <c r="AD255" s="2">
        <v>10.25</v>
      </c>
      <c r="AE255" s="2">
        <v>2</v>
      </c>
      <c r="AF255" s="2">
        <v>10.25</v>
      </c>
      <c r="AG255" s="2">
        <v>2</v>
      </c>
      <c r="AH255" s="2">
        <v>10.25</v>
      </c>
      <c r="AI255" s="2">
        <v>2</v>
      </c>
      <c r="AJ255" s="2">
        <v>10.25</v>
      </c>
      <c r="AK255" s="2">
        <v>2</v>
      </c>
      <c r="AL255" s="2">
        <v>10.25</v>
      </c>
      <c r="AM255" s="2">
        <v>2</v>
      </c>
      <c r="AN255" s="2">
        <v>10.25</v>
      </c>
      <c r="AO255" s="2">
        <v>2</v>
      </c>
      <c r="AP255" s="2">
        <v>10.25</v>
      </c>
      <c r="AQ255" s="2">
        <v>2</v>
      </c>
      <c r="AR255" s="2">
        <v>10.25</v>
      </c>
      <c r="AS255" s="2">
        <v>2</v>
      </c>
      <c r="AT255" s="2">
        <v>10.25</v>
      </c>
      <c r="AU255" s="2">
        <v>2</v>
      </c>
      <c r="AV255" s="2">
        <v>10.25</v>
      </c>
    </row>
    <row r="256" spans="18:48">
      <c r="R256" s="2">
        <v>69</v>
      </c>
      <c r="S256" s="2">
        <f t="shared" si="12"/>
        <v>73</v>
      </c>
      <c r="AB256">
        <v>24</v>
      </c>
      <c r="AC256" s="2">
        <v>2</v>
      </c>
      <c r="AD256" s="2">
        <v>10</v>
      </c>
      <c r="AE256" s="2">
        <v>2</v>
      </c>
      <c r="AF256" s="2">
        <v>10</v>
      </c>
      <c r="AG256" s="2">
        <v>2</v>
      </c>
      <c r="AH256" s="2">
        <v>10</v>
      </c>
      <c r="AI256" s="2">
        <v>2</v>
      </c>
      <c r="AJ256" s="2">
        <v>10</v>
      </c>
      <c r="AK256" s="2">
        <v>2</v>
      </c>
      <c r="AL256" s="2">
        <v>10</v>
      </c>
      <c r="AM256" s="2">
        <v>2</v>
      </c>
      <c r="AN256" s="2">
        <v>10</v>
      </c>
      <c r="AO256" s="2">
        <v>2</v>
      </c>
      <c r="AP256" s="2">
        <v>10</v>
      </c>
      <c r="AQ256" s="2">
        <v>2</v>
      </c>
      <c r="AR256" s="2">
        <v>10</v>
      </c>
      <c r="AS256" s="2">
        <v>2</v>
      </c>
      <c r="AT256" s="2">
        <v>10</v>
      </c>
      <c r="AU256" s="2">
        <v>2</v>
      </c>
      <c r="AV256" s="2">
        <v>10</v>
      </c>
    </row>
    <row r="257" spans="18:48">
      <c r="R257" s="2">
        <v>69.5</v>
      </c>
      <c r="S257" s="2">
        <f t="shared" si="12"/>
        <v>73.5</v>
      </c>
      <c r="AB257">
        <v>23.5</v>
      </c>
      <c r="AC257" s="2">
        <v>2</v>
      </c>
      <c r="AD257" s="2">
        <v>9.75</v>
      </c>
      <c r="AE257" s="2">
        <v>2</v>
      </c>
      <c r="AF257" s="2">
        <v>9.75</v>
      </c>
      <c r="AG257" s="2">
        <v>2</v>
      </c>
      <c r="AH257" s="2">
        <v>9.75</v>
      </c>
      <c r="AI257" s="2">
        <v>2</v>
      </c>
      <c r="AJ257" s="2">
        <v>9.75</v>
      </c>
      <c r="AK257" s="2">
        <v>2</v>
      </c>
      <c r="AL257" s="2">
        <v>9.75</v>
      </c>
      <c r="AM257" s="2">
        <v>2</v>
      </c>
      <c r="AN257" s="2">
        <v>9.75</v>
      </c>
      <c r="AO257" s="2">
        <v>2</v>
      </c>
      <c r="AP257" s="2">
        <v>9.75</v>
      </c>
      <c r="AQ257" s="2">
        <v>2</v>
      </c>
      <c r="AR257" s="2">
        <v>9.75</v>
      </c>
      <c r="AS257" s="2">
        <v>2</v>
      </c>
      <c r="AT257" s="2">
        <v>9.75</v>
      </c>
      <c r="AU257" s="2">
        <v>2</v>
      </c>
      <c r="AV257" s="2">
        <v>9.75</v>
      </c>
    </row>
    <row r="258" spans="18:48">
      <c r="R258" s="2">
        <v>70</v>
      </c>
      <c r="S258" s="2">
        <f t="shared" si="12"/>
        <v>74</v>
      </c>
      <c r="AB258">
        <v>23</v>
      </c>
      <c r="AC258" s="2">
        <v>2</v>
      </c>
      <c r="AD258" s="2">
        <v>9.5</v>
      </c>
      <c r="AE258" s="2">
        <v>2</v>
      </c>
      <c r="AF258" s="2">
        <v>9.5</v>
      </c>
      <c r="AG258" s="2">
        <v>2</v>
      </c>
      <c r="AH258" s="2">
        <v>9.5</v>
      </c>
      <c r="AI258" s="2">
        <v>2</v>
      </c>
      <c r="AJ258" s="2">
        <v>9.5</v>
      </c>
      <c r="AK258" s="2">
        <v>2</v>
      </c>
      <c r="AL258" s="2">
        <v>9.5</v>
      </c>
      <c r="AM258" s="2">
        <v>2</v>
      </c>
      <c r="AN258" s="2">
        <v>9.5</v>
      </c>
      <c r="AO258" s="2">
        <v>2</v>
      </c>
      <c r="AP258" s="2">
        <v>9.5</v>
      </c>
      <c r="AQ258" s="2">
        <v>2</v>
      </c>
      <c r="AR258" s="2">
        <v>9.5</v>
      </c>
      <c r="AS258" s="2">
        <v>2</v>
      </c>
      <c r="AT258" s="2">
        <v>9.5</v>
      </c>
      <c r="AU258" s="2">
        <v>2</v>
      </c>
      <c r="AV258" s="2">
        <v>9.5</v>
      </c>
    </row>
    <row r="259" spans="18:48">
      <c r="R259" s="2">
        <v>70.5</v>
      </c>
      <c r="S259" s="2">
        <f t="shared" si="12"/>
        <v>74.5</v>
      </c>
      <c r="AB259">
        <v>22.5</v>
      </c>
      <c r="AC259" s="2">
        <v>2</v>
      </c>
      <c r="AD259" s="2">
        <v>9.25</v>
      </c>
      <c r="AE259" s="2">
        <v>2</v>
      </c>
      <c r="AF259" s="2">
        <v>9.25</v>
      </c>
      <c r="AG259" s="2">
        <v>2</v>
      </c>
      <c r="AH259" s="2">
        <v>9.25</v>
      </c>
      <c r="AI259" s="2">
        <v>2</v>
      </c>
      <c r="AJ259" s="2">
        <v>9.25</v>
      </c>
      <c r="AK259" s="2">
        <v>2</v>
      </c>
      <c r="AL259" s="2">
        <v>9.25</v>
      </c>
      <c r="AM259" s="2">
        <v>2</v>
      </c>
      <c r="AN259" s="2">
        <v>9.25</v>
      </c>
      <c r="AO259" s="2">
        <v>2</v>
      </c>
      <c r="AP259" s="2">
        <v>9.25</v>
      </c>
      <c r="AQ259" s="2">
        <v>2</v>
      </c>
      <c r="AR259" s="2">
        <v>9.25</v>
      </c>
      <c r="AS259" s="2">
        <v>2</v>
      </c>
      <c r="AT259" s="2">
        <v>9.25</v>
      </c>
      <c r="AU259" s="2">
        <v>2</v>
      </c>
      <c r="AV259" s="2">
        <v>9.25</v>
      </c>
    </row>
    <row r="260" spans="18:48">
      <c r="R260" s="2">
        <v>71</v>
      </c>
      <c r="S260" s="2">
        <f t="shared" si="12"/>
        <v>75</v>
      </c>
      <c r="AB260">
        <v>22</v>
      </c>
      <c r="AC260" s="2">
        <v>2</v>
      </c>
      <c r="AD260" s="2">
        <v>9</v>
      </c>
      <c r="AE260" s="2">
        <v>2</v>
      </c>
      <c r="AF260" s="2">
        <v>9</v>
      </c>
      <c r="AG260" s="2">
        <v>2</v>
      </c>
      <c r="AH260" s="2">
        <v>9</v>
      </c>
      <c r="AI260" s="2">
        <v>2</v>
      </c>
      <c r="AJ260" s="2">
        <v>9</v>
      </c>
      <c r="AK260" s="2">
        <v>2</v>
      </c>
      <c r="AL260" s="2">
        <v>9</v>
      </c>
      <c r="AM260" s="2">
        <v>2</v>
      </c>
      <c r="AN260" s="2">
        <v>9</v>
      </c>
      <c r="AO260" s="2">
        <v>2</v>
      </c>
      <c r="AP260" s="2">
        <v>9</v>
      </c>
      <c r="AQ260" s="2">
        <v>2</v>
      </c>
      <c r="AR260" s="2">
        <v>9</v>
      </c>
      <c r="AS260" s="2">
        <v>2</v>
      </c>
      <c r="AT260" s="2">
        <v>9</v>
      </c>
      <c r="AU260" s="2">
        <v>2</v>
      </c>
      <c r="AV260" s="2">
        <v>9</v>
      </c>
    </row>
    <row r="261" spans="18:48">
      <c r="R261" s="2">
        <v>71.5</v>
      </c>
      <c r="S261" s="2">
        <f t="shared" si="12"/>
        <v>75.5</v>
      </c>
      <c r="AB261">
        <v>21.5</v>
      </c>
      <c r="AC261" s="2">
        <v>2</v>
      </c>
      <c r="AD261" s="2">
        <v>8.75</v>
      </c>
      <c r="AE261" s="2">
        <v>2</v>
      </c>
      <c r="AF261" s="2">
        <v>8.75</v>
      </c>
      <c r="AG261" s="2">
        <v>2</v>
      </c>
      <c r="AH261" s="2">
        <v>8.75</v>
      </c>
      <c r="AI261" s="2">
        <v>2</v>
      </c>
      <c r="AJ261" s="2">
        <v>8.75</v>
      </c>
      <c r="AK261" s="2">
        <v>2</v>
      </c>
      <c r="AL261" s="2">
        <v>8.75</v>
      </c>
      <c r="AM261" s="2">
        <v>2</v>
      </c>
      <c r="AN261" s="2">
        <v>8.75</v>
      </c>
      <c r="AO261" s="2">
        <v>2</v>
      </c>
      <c r="AP261" s="2">
        <v>8.75</v>
      </c>
      <c r="AQ261" s="2">
        <v>2</v>
      </c>
      <c r="AR261" s="2">
        <v>8.75</v>
      </c>
      <c r="AS261" s="2">
        <v>2</v>
      </c>
      <c r="AT261" s="2">
        <v>8.75</v>
      </c>
      <c r="AU261" s="2">
        <v>2</v>
      </c>
      <c r="AV261" s="2">
        <v>8.75</v>
      </c>
    </row>
    <row r="262" spans="18:48">
      <c r="R262" s="2">
        <v>72</v>
      </c>
      <c r="S262" s="2">
        <f t="shared" si="12"/>
        <v>76</v>
      </c>
      <c r="AB262">
        <v>21</v>
      </c>
      <c r="AC262" s="2">
        <v>2</v>
      </c>
      <c r="AD262" s="2">
        <v>8.5</v>
      </c>
      <c r="AE262" s="2">
        <v>2</v>
      </c>
      <c r="AF262" s="2">
        <v>8.5</v>
      </c>
      <c r="AG262" s="2">
        <v>2</v>
      </c>
      <c r="AH262" s="2">
        <v>8.5</v>
      </c>
      <c r="AI262" s="2">
        <v>2</v>
      </c>
      <c r="AJ262" s="2">
        <v>8.5</v>
      </c>
      <c r="AK262" s="2">
        <v>2</v>
      </c>
      <c r="AL262" s="2">
        <v>8.5</v>
      </c>
      <c r="AM262" s="2">
        <v>2</v>
      </c>
      <c r="AN262" s="2">
        <v>8.5</v>
      </c>
      <c r="AO262" s="2">
        <v>2</v>
      </c>
      <c r="AP262" s="2">
        <v>8.5</v>
      </c>
      <c r="AQ262" s="2">
        <v>2</v>
      </c>
      <c r="AR262" s="2">
        <v>8.5</v>
      </c>
      <c r="AS262" s="2">
        <v>2</v>
      </c>
      <c r="AT262" s="2">
        <v>8.5</v>
      </c>
      <c r="AU262" s="2">
        <v>2</v>
      </c>
      <c r="AV262" s="2">
        <v>8.5</v>
      </c>
    </row>
    <row r="263" spans="18:48">
      <c r="R263" s="2">
        <v>72.5</v>
      </c>
      <c r="S263" s="2">
        <f t="shared" si="12"/>
        <v>76.5</v>
      </c>
      <c r="AB263">
        <v>20.5</v>
      </c>
      <c r="AC263" s="2">
        <v>2</v>
      </c>
      <c r="AD263" s="2">
        <v>8.25</v>
      </c>
      <c r="AE263" s="2">
        <v>2</v>
      </c>
      <c r="AF263" s="2">
        <v>8.25</v>
      </c>
      <c r="AG263" s="2">
        <v>2</v>
      </c>
      <c r="AH263" s="2">
        <v>8.25</v>
      </c>
      <c r="AI263" s="2">
        <v>2</v>
      </c>
      <c r="AJ263" s="2">
        <v>8.25</v>
      </c>
      <c r="AK263" s="2">
        <v>2</v>
      </c>
      <c r="AL263" s="2">
        <v>8.25</v>
      </c>
      <c r="AM263" s="2">
        <v>2</v>
      </c>
      <c r="AN263" s="2">
        <v>8.25</v>
      </c>
      <c r="AO263" s="2">
        <v>2</v>
      </c>
      <c r="AP263" s="2">
        <v>8.25</v>
      </c>
      <c r="AQ263" s="2">
        <v>2</v>
      </c>
      <c r="AR263" s="2">
        <v>8.25</v>
      </c>
      <c r="AS263" s="2">
        <v>2</v>
      </c>
      <c r="AT263" s="2">
        <v>8.25</v>
      </c>
      <c r="AU263" s="2">
        <v>2</v>
      </c>
      <c r="AV263" s="2">
        <v>8.25</v>
      </c>
    </row>
    <row r="264" spans="18:48">
      <c r="R264" s="2">
        <v>73</v>
      </c>
      <c r="S264" s="2">
        <f t="shared" si="12"/>
        <v>77</v>
      </c>
      <c r="AB264">
        <v>20</v>
      </c>
      <c r="AC264" s="2">
        <v>2</v>
      </c>
      <c r="AD264" s="2">
        <v>8</v>
      </c>
      <c r="AE264" s="2">
        <v>2</v>
      </c>
      <c r="AF264" s="2">
        <v>8</v>
      </c>
      <c r="AG264" s="2">
        <v>2</v>
      </c>
      <c r="AH264" s="2">
        <v>8</v>
      </c>
      <c r="AI264" s="2">
        <v>2</v>
      </c>
      <c r="AJ264" s="2">
        <v>8</v>
      </c>
      <c r="AK264" s="2">
        <v>2</v>
      </c>
      <c r="AL264" s="2">
        <v>8</v>
      </c>
      <c r="AM264" s="2">
        <v>2</v>
      </c>
      <c r="AN264" s="2">
        <v>8</v>
      </c>
      <c r="AO264" s="2">
        <v>2</v>
      </c>
      <c r="AP264" s="2">
        <v>8</v>
      </c>
      <c r="AQ264" s="2">
        <v>2</v>
      </c>
      <c r="AR264" s="2">
        <v>8</v>
      </c>
      <c r="AS264" s="2">
        <v>2</v>
      </c>
      <c r="AT264" s="2">
        <v>8</v>
      </c>
      <c r="AU264" s="2">
        <v>2</v>
      </c>
      <c r="AV264" s="2">
        <v>8</v>
      </c>
    </row>
    <row r="265" spans="18:48">
      <c r="R265" s="2">
        <v>73.5</v>
      </c>
      <c r="S265" s="2">
        <f t="shared" si="12"/>
        <v>77.5</v>
      </c>
      <c r="AB265">
        <v>19.5</v>
      </c>
      <c r="AC265" s="2">
        <v>2</v>
      </c>
      <c r="AD265" s="2">
        <v>7.75</v>
      </c>
      <c r="AE265" s="2">
        <v>2</v>
      </c>
      <c r="AF265" s="2">
        <v>7.75</v>
      </c>
      <c r="AG265" s="2">
        <v>2</v>
      </c>
      <c r="AH265" s="2">
        <v>7.75</v>
      </c>
      <c r="AI265" s="2">
        <v>2</v>
      </c>
      <c r="AJ265" s="2">
        <v>7.75</v>
      </c>
      <c r="AK265" s="2">
        <v>2</v>
      </c>
      <c r="AL265" s="2">
        <v>7.75</v>
      </c>
      <c r="AM265" s="2">
        <v>2</v>
      </c>
      <c r="AN265" s="2">
        <v>7.75</v>
      </c>
      <c r="AO265" s="2">
        <v>2</v>
      </c>
      <c r="AP265" s="2">
        <v>7.75</v>
      </c>
      <c r="AQ265" s="2">
        <v>2</v>
      </c>
      <c r="AR265" s="2">
        <v>7.75</v>
      </c>
      <c r="AS265" s="2">
        <v>2</v>
      </c>
      <c r="AT265" s="2">
        <v>7.75</v>
      </c>
      <c r="AU265" s="2">
        <v>2</v>
      </c>
      <c r="AV265" s="2">
        <v>7.75</v>
      </c>
    </row>
    <row r="266" spans="18:48">
      <c r="R266" s="2">
        <v>74</v>
      </c>
      <c r="S266" s="2">
        <f t="shared" si="12"/>
        <v>78</v>
      </c>
      <c r="AB266">
        <v>19</v>
      </c>
      <c r="AC266" s="2">
        <v>2</v>
      </c>
      <c r="AD266" s="2">
        <v>7.5</v>
      </c>
      <c r="AE266" s="2">
        <v>2</v>
      </c>
      <c r="AF266" s="2">
        <v>7.5</v>
      </c>
      <c r="AG266" s="2">
        <v>2</v>
      </c>
      <c r="AH266" s="2">
        <v>7.5</v>
      </c>
      <c r="AI266" s="2">
        <v>2</v>
      </c>
      <c r="AJ266" s="2">
        <v>7.5</v>
      </c>
      <c r="AK266" s="2">
        <v>2</v>
      </c>
      <c r="AL266" s="2">
        <v>7.5</v>
      </c>
      <c r="AM266" s="2">
        <v>2</v>
      </c>
      <c r="AN266" s="2">
        <v>7.5</v>
      </c>
      <c r="AO266" s="2">
        <v>2</v>
      </c>
      <c r="AP266" s="2">
        <v>7.5</v>
      </c>
      <c r="AQ266" s="2">
        <v>2</v>
      </c>
      <c r="AR266" s="2">
        <v>7.5</v>
      </c>
      <c r="AS266" s="2">
        <v>2</v>
      </c>
      <c r="AT266" s="2">
        <v>7.5</v>
      </c>
      <c r="AU266" s="2">
        <v>2</v>
      </c>
      <c r="AV266" s="2">
        <v>7.5</v>
      </c>
    </row>
    <row r="267" spans="18:48">
      <c r="R267" s="2">
        <v>74.5</v>
      </c>
      <c r="S267" s="2">
        <f t="shared" si="12"/>
        <v>78.5</v>
      </c>
      <c r="AB267">
        <v>18.5</v>
      </c>
      <c r="AC267" s="2">
        <v>2</v>
      </c>
      <c r="AD267" s="2">
        <v>7.25</v>
      </c>
      <c r="AE267" s="2">
        <v>2</v>
      </c>
      <c r="AF267" s="2">
        <v>7.25</v>
      </c>
      <c r="AG267" s="2">
        <v>2</v>
      </c>
      <c r="AH267" s="2">
        <v>7.25</v>
      </c>
      <c r="AI267" s="2">
        <v>2</v>
      </c>
      <c r="AJ267" s="2">
        <v>7.25</v>
      </c>
      <c r="AK267" s="2">
        <v>2</v>
      </c>
      <c r="AL267" s="2">
        <v>7.25</v>
      </c>
      <c r="AM267" s="2">
        <v>2</v>
      </c>
      <c r="AN267" s="2">
        <v>7.25</v>
      </c>
      <c r="AO267" s="2">
        <v>2</v>
      </c>
      <c r="AP267" s="2">
        <v>7.25</v>
      </c>
      <c r="AQ267" s="2">
        <v>2</v>
      </c>
      <c r="AR267" s="2">
        <v>7.25</v>
      </c>
      <c r="AS267" s="2">
        <v>2</v>
      </c>
      <c r="AT267" s="2">
        <v>7.25</v>
      </c>
      <c r="AU267" s="2">
        <v>2</v>
      </c>
      <c r="AV267" s="2">
        <v>7.25</v>
      </c>
    </row>
    <row r="268" spans="18:48">
      <c r="R268" s="2">
        <v>75</v>
      </c>
      <c r="S268" s="2">
        <f t="shared" si="12"/>
        <v>79</v>
      </c>
      <c r="AB268">
        <v>18</v>
      </c>
      <c r="AC268" s="2">
        <v>2</v>
      </c>
      <c r="AD268" s="2">
        <v>7</v>
      </c>
      <c r="AE268" s="2">
        <v>2</v>
      </c>
      <c r="AF268" s="2">
        <v>7</v>
      </c>
      <c r="AG268" s="2">
        <v>2</v>
      </c>
      <c r="AH268" s="2">
        <v>7</v>
      </c>
      <c r="AI268" s="2">
        <v>2</v>
      </c>
      <c r="AJ268" s="2">
        <v>7</v>
      </c>
      <c r="AK268" s="2">
        <v>2</v>
      </c>
      <c r="AL268" s="2">
        <v>7</v>
      </c>
      <c r="AM268" s="2">
        <v>2</v>
      </c>
      <c r="AN268" s="2">
        <v>7</v>
      </c>
      <c r="AO268" s="2">
        <v>2</v>
      </c>
      <c r="AP268" s="2">
        <v>7</v>
      </c>
      <c r="AQ268" s="2">
        <v>2</v>
      </c>
      <c r="AR268" s="2">
        <v>7</v>
      </c>
      <c r="AS268" s="2">
        <v>2</v>
      </c>
      <c r="AT268" s="2">
        <v>7</v>
      </c>
      <c r="AU268" s="2">
        <v>2</v>
      </c>
      <c r="AV268" s="2">
        <v>7</v>
      </c>
    </row>
    <row r="269" spans="18:48">
      <c r="R269" s="2">
        <v>75.5</v>
      </c>
      <c r="S269" s="2">
        <f t="shared" si="12"/>
        <v>79.5</v>
      </c>
      <c r="AB269">
        <v>17.5</v>
      </c>
      <c r="AC269" s="2">
        <v>2</v>
      </c>
      <c r="AD269" s="2">
        <v>6.75</v>
      </c>
      <c r="AE269" s="2">
        <v>2</v>
      </c>
      <c r="AF269" s="2">
        <v>6.75</v>
      </c>
      <c r="AG269" s="2">
        <v>2</v>
      </c>
      <c r="AH269" s="2">
        <v>6.75</v>
      </c>
      <c r="AI269" s="2">
        <v>2</v>
      </c>
      <c r="AJ269" s="2">
        <v>6.75</v>
      </c>
      <c r="AK269" s="2">
        <v>2</v>
      </c>
      <c r="AL269" s="2">
        <v>6.75</v>
      </c>
      <c r="AM269" s="2">
        <v>2</v>
      </c>
      <c r="AN269" s="2">
        <v>6.75</v>
      </c>
      <c r="AO269" s="2">
        <v>2</v>
      </c>
      <c r="AP269" s="2">
        <v>6.75</v>
      </c>
      <c r="AQ269" s="2">
        <v>2</v>
      </c>
      <c r="AR269" s="2">
        <v>6.75</v>
      </c>
      <c r="AS269" s="2">
        <v>2</v>
      </c>
      <c r="AT269" s="2">
        <v>6.75</v>
      </c>
      <c r="AU269" s="2">
        <v>2</v>
      </c>
      <c r="AV269" s="2">
        <v>6.75</v>
      </c>
    </row>
    <row r="270" spans="18:48">
      <c r="R270" s="2">
        <v>76</v>
      </c>
      <c r="S270" s="2">
        <f t="shared" si="12"/>
        <v>80</v>
      </c>
      <c r="AB270">
        <v>17</v>
      </c>
      <c r="AC270" s="2">
        <v>2</v>
      </c>
      <c r="AD270" s="2">
        <v>6.5</v>
      </c>
      <c r="AE270" s="2">
        <v>2</v>
      </c>
      <c r="AF270" s="2">
        <v>6.5</v>
      </c>
      <c r="AG270" s="2">
        <v>2</v>
      </c>
      <c r="AH270" s="2">
        <v>6.5</v>
      </c>
      <c r="AI270" s="2">
        <v>2</v>
      </c>
      <c r="AJ270" s="2">
        <v>6.5</v>
      </c>
      <c r="AK270" s="2">
        <v>2</v>
      </c>
      <c r="AL270" s="2">
        <v>6.5</v>
      </c>
      <c r="AM270" s="2">
        <v>2</v>
      </c>
      <c r="AN270" s="2">
        <v>6.5</v>
      </c>
      <c r="AO270" s="2">
        <v>2</v>
      </c>
      <c r="AP270" s="2">
        <v>6.5</v>
      </c>
      <c r="AQ270" s="2">
        <v>2</v>
      </c>
      <c r="AR270" s="2">
        <v>6.5</v>
      </c>
      <c r="AS270" s="2">
        <v>2</v>
      </c>
      <c r="AT270" s="2">
        <v>6.5</v>
      </c>
      <c r="AU270" s="2">
        <v>2</v>
      </c>
      <c r="AV270" s="2">
        <v>6.5</v>
      </c>
    </row>
    <row r="271" spans="18:48">
      <c r="R271" s="2">
        <v>76.5</v>
      </c>
      <c r="S271" s="2">
        <f t="shared" si="12"/>
        <v>80.5</v>
      </c>
      <c r="AB271">
        <v>16.5</v>
      </c>
      <c r="AC271" s="2">
        <v>2</v>
      </c>
      <c r="AD271" s="2">
        <v>6.25</v>
      </c>
      <c r="AE271" s="2">
        <v>2</v>
      </c>
      <c r="AF271" s="2">
        <v>6.25</v>
      </c>
      <c r="AG271" s="2">
        <v>2</v>
      </c>
      <c r="AH271" s="2">
        <v>6.25</v>
      </c>
      <c r="AI271" s="2">
        <v>2</v>
      </c>
      <c r="AJ271" s="2">
        <v>6.25</v>
      </c>
      <c r="AK271" s="2">
        <v>2</v>
      </c>
      <c r="AL271" s="2">
        <v>6.25</v>
      </c>
      <c r="AM271" s="2">
        <v>2</v>
      </c>
      <c r="AN271" s="2">
        <v>6.25</v>
      </c>
      <c r="AO271" s="2">
        <v>2</v>
      </c>
      <c r="AP271" s="2">
        <v>6.25</v>
      </c>
      <c r="AQ271" s="2">
        <v>2</v>
      </c>
      <c r="AR271" s="2">
        <v>6.25</v>
      </c>
      <c r="AS271" s="2">
        <v>2</v>
      </c>
      <c r="AT271" s="2">
        <v>6.25</v>
      </c>
      <c r="AU271" s="2">
        <v>2</v>
      </c>
      <c r="AV271" s="2">
        <v>6.25</v>
      </c>
    </row>
    <row r="272" spans="18:48">
      <c r="R272" s="2">
        <v>77</v>
      </c>
      <c r="S272" s="2">
        <f t="shared" si="12"/>
        <v>81</v>
      </c>
      <c r="AB272">
        <v>16</v>
      </c>
      <c r="AC272" s="2">
        <v>2</v>
      </c>
      <c r="AD272" s="2">
        <v>6</v>
      </c>
      <c r="AE272" s="2">
        <v>2</v>
      </c>
      <c r="AF272" s="2">
        <v>6</v>
      </c>
      <c r="AG272" s="2">
        <v>2</v>
      </c>
      <c r="AH272" s="2">
        <v>6</v>
      </c>
      <c r="AI272" s="2">
        <v>2</v>
      </c>
      <c r="AJ272" s="2">
        <v>6</v>
      </c>
      <c r="AK272" s="2">
        <v>2</v>
      </c>
      <c r="AL272" s="2">
        <v>6</v>
      </c>
      <c r="AM272" s="2">
        <v>2</v>
      </c>
      <c r="AN272" s="2">
        <v>6</v>
      </c>
      <c r="AO272" s="2">
        <v>2</v>
      </c>
      <c r="AP272" s="2">
        <v>6</v>
      </c>
      <c r="AQ272" s="2">
        <v>2</v>
      </c>
      <c r="AR272" s="2">
        <v>6</v>
      </c>
      <c r="AS272" s="2">
        <v>2</v>
      </c>
      <c r="AT272" s="2">
        <v>6</v>
      </c>
      <c r="AU272" s="2">
        <v>2</v>
      </c>
      <c r="AV272" s="2">
        <v>6</v>
      </c>
    </row>
    <row r="273" spans="18:48">
      <c r="R273" s="2">
        <v>77.5</v>
      </c>
      <c r="S273" s="2">
        <f t="shared" si="12"/>
        <v>81.5</v>
      </c>
      <c r="AB273">
        <v>15.5</v>
      </c>
      <c r="AC273" s="2">
        <v>2</v>
      </c>
      <c r="AD273" s="2">
        <v>5.75</v>
      </c>
      <c r="AE273" s="2">
        <v>2</v>
      </c>
      <c r="AF273" s="2">
        <v>5.75</v>
      </c>
      <c r="AG273" s="2">
        <v>2</v>
      </c>
      <c r="AH273" s="2">
        <v>5.75</v>
      </c>
      <c r="AI273" s="2">
        <v>2</v>
      </c>
      <c r="AJ273" s="2">
        <v>5.75</v>
      </c>
      <c r="AK273" s="2">
        <v>2</v>
      </c>
      <c r="AL273" s="2">
        <v>5.75</v>
      </c>
      <c r="AM273" s="2">
        <v>2</v>
      </c>
      <c r="AN273" s="2">
        <v>5.75</v>
      </c>
      <c r="AO273" s="2">
        <v>2</v>
      </c>
      <c r="AP273" s="2">
        <v>5.75</v>
      </c>
      <c r="AQ273" s="2">
        <v>2</v>
      </c>
      <c r="AR273" s="2">
        <v>5.75</v>
      </c>
      <c r="AS273" s="2">
        <v>2</v>
      </c>
      <c r="AT273" s="2">
        <v>5.75</v>
      </c>
      <c r="AU273" s="2">
        <v>2</v>
      </c>
      <c r="AV273" s="2">
        <v>5.75</v>
      </c>
    </row>
    <row r="274" spans="18:48">
      <c r="R274" s="2">
        <v>78</v>
      </c>
      <c r="S274" s="2">
        <f t="shared" si="12"/>
        <v>82</v>
      </c>
      <c r="AB274">
        <v>15</v>
      </c>
      <c r="AC274" s="2">
        <v>2</v>
      </c>
      <c r="AD274" s="2">
        <v>5.5</v>
      </c>
      <c r="AE274" s="2">
        <v>2</v>
      </c>
      <c r="AF274" s="2">
        <v>5.5</v>
      </c>
      <c r="AG274" s="2">
        <v>2</v>
      </c>
      <c r="AH274" s="2">
        <v>5.5</v>
      </c>
      <c r="AI274" s="2">
        <v>2</v>
      </c>
      <c r="AJ274" s="2">
        <v>5.5</v>
      </c>
      <c r="AK274" s="2">
        <v>2</v>
      </c>
      <c r="AL274" s="2">
        <v>5.5</v>
      </c>
      <c r="AM274" s="2">
        <v>2</v>
      </c>
      <c r="AN274" s="2">
        <v>5.5</v>
      </c>
      <c r="AO274" s="2">
        <v>2</v>
      </c>
      <c r="AP274" s="2">
        <v>5.5</v>
      </c>
      <c r="AQ274" s="2">
        <v>2</v>
      </c>
      <c r="AR274" s="2">
        <v>5.5</v>
      </c>
      <c r="AS274" s="2">
        <v>2</v>
      </c>
      <c r="AT274" s="2">
        <v>5.5</v>
      </c>
      <c r="AU274" s="2">
        <v>2</v>
      </c>
      <c r="AV274" s="2">
        <v>5.5</v>
      </c>
    </row>
    <row r="275" spans="18:48">
      <c r="R275" s="2">
        <v>78.5</v>
      </c>
      <c r="S275" s="2">
        <f t="shared" si="12"/>
        <v>82.5</v>
      </c>
      <c r="AB275">
        <v>14.5</v>
      </c>
      <c r="AC275" s="2">
        <v>2</v>
      </c>
      <c r="AD275" s="2">
        <v>5.25</v>
      </c>
      <c r="AE275" s="2">
        <v>2</v>
      </c>
      <c r="AF275" s="2">
        <v>5.25</v>
      </c>
      <c r="AG275" s="2">
        <v>2</v>
      </c>
      <c r="AH275" s="2">
        <v>5.25</v>
      </c>
      <c r="AI275" s="2">
        <v>2</v>
      </c>
      <c r="AJ275" s="2">
        <v>5.25</v>
      </c>
      <c r="AK275" s="2">
        <v>2</v>
      </c>
      <c r="AL275" s="2">
        <v>5.25</v>
      </c>
      <c r="AM275" s="2">
        <v>2</v>
      </c>
      <c r="AN275" s="2">
        <v>5.25</v>
      </c>
      <c r="AO275" s="2">
        <v>2</v>
      </c>
      <c r="AP275" s="2">
        <v>5.25</v>
      </c>
      <c r="AQ275" s="2">
        <v>2</v>
      </c>
      <c r="AR275" s="2">
        <v>5.25</v>
      </c>
      <c r="AS275" s="2">
        <v>2</v>
      </c>
      <c r="AT275" s="2">
        <v>5.25</v>
      </c>
      <c r="AU275" s="2">
        <v>2</v>
      </c>
      <c r="AV275" s="2">
        <v>5.25</v>
      </c>
    </row>
    <row r="276" spans="18:48">
      <c r="R276" s="2">
        <v>79</v>
      </c>
      <c r="S276" s="2">
        <f t="shared" si="12"/>
        <v>83</v>
      </c>
      <c r="AB276">
        <v>14</v>
      </c>
      <c r="AC276" s="2">
        <v>2</v>
      </c>
      <c r="AD276" s="2">
        <v>5</v>
      </c>
      <c r="AE276" s="2">
        <v>2</v>
      </c>
      <c r="AF276" s="2">
        <v>5</v>
      </c>
      <c r="AG276" s="2">
        <v>2</v>
      </c>
      <c r="AH276" s="2">
        <v>5</v>
      </c>
      <c r="AI276" s="2">
        <v>2</v>
      </c>
      <c r="AJ276" s="2">
        <v>5</v>
      </c>
      <c r="AK276" s="2">
        <v>2</v>
      </c>
      <c r="AL276" s="2">
        <v>5</v>
      </c>
      <c r="AM276" s="2">
        <v>2</v>
      </c>
      <c r="AN276" s="2">
        <v>5</v>
      </c>
      <c r="AO276" s="2">
        <v>2</v>
      </c>
      <c r="AP276" s="2">
        <v>5</v>
      </c>
      <c r="AQ276" s="2">
        <v>2</v>
      </c>
      <c r="AR276" s="2">
        <v>5</v>
      </c>
      <c r="AS276" s="2">
        <v>2</v>
      </c>
      <c r="AT276" s="2">
        <v>5</v>
      </c>
      <c r="AU276" s="2">
        <v>2</v>
      </c>
      <c r="AV276" s="2">
        <v>5</v>
      </c>
    </row>
    <row r="277" spans="18:48">
      <c r="R277" s="2">
        <v>79.5</v>
      </c>
      <c r="S277" s="2">
        <f t="shared" si="12"/>
        <v>83.5</v>
      </c>
      <c r="AB277">
        <v>13.5</v>
      </c>
      <c r="AC277" s="2">
        <v>2</v>
      </c>
      <c r="AD277" s="2">
        <v>4.75</v>
      </c>
      <c r="AE277" s="2">
        <v>2</v>
      </c>
      <c r="AF277" s="2">
        <v>4.75</v>
      </c>
      <c r="AG277" s="2">
        <v>2</v>
      </c>
      <c r="AH277" s="2">
        <v>4.75</v>
      </c>
      <c r="AI277" s="2">
        <v>2</v>
      </c>
      <c r="AJ277" s="2">
        <v>4.75</v>
      </c>
      <c r="AK277" s="2">
        <v>2</v>
      </c>
      <c r="AL277" s="2">
        <v>4.75</v>
      </c>
      <c r="AM277" s="2">
        <v>2</v>
      </c>
      <c r="AN277" s="2">
        <v>4.75</v>
      </c>
      <c r="AO277" s="2">
        <v>2</v>
      </c>
      <c r="AP277" s="2">
        <v>4.75</v>
      </c>
      <c r="AQ277" s="2">
        <v>2</v>
      </c>
      <c r="AR277" s="2">
        <v>4.75</v>
      </c>
      <c r="AS277" s="2">
        <v>2</v>
      </c>
      <c r="AT277" s="2">
        <v>4.75</v>
      </c>
      <c r="AU277" s="2">
        <v>2</v>
      </c>
      <c r="AV277" s="2">
        <v>4.75</v>
      </c>
    </row>
    <row r="278" spans="18:48">
      <c r="R278" s="2">
        <v>80</v>
      </c>
      <c r="S278" s="2">
        <f t="shared" si="12"/>
        <v>84</v>
      </c>
      <c r="AB278">
        <v>13</v>
      </c>
      <c r="AC278" s="2">
        <v>2</v>
      </c>
      <c r="AD278" s="2">
        <v>4.5</v>
      </c>
      <c r="AE278" s="2">
        <v>2</v>
      </c>
      <c r="AF278" s="2">
        <v>4.5</v>
      </c>
      <c r="AG278" s="2">
        <v>2</v>
      </c>
      <c r="AH278" s="2">
        <v>4.5</v>
      </c>
      <c r="AI278" s="2">
        <v>2</v>
      </c>
      <c r="AJ278" s="2">
        <v>4.5</v>
      </c>
      <c r="AK278" s="2">
        <v>2</v>
      </c>
      <c r="AL278" s="2">
        <v>4.5</v>
      </c>
      <c r="AM278" s="2">
        <v>2</v>
      </c>
      <c r="AN278" s="2">
        <v>4.5</v>
      </c>
      <c r="AO278" s="2">
        <v>2</v>
      </c>
      <c r="AP278" s="2">
        <v>4.5</v>
      </c>
      <c r="AQ278" s="2">
        <v>2</v>
      </c>
      <c r="AR278" s="2">
        <v>4.5</v>
      </c>
      <c r="AS278" s="2">
        <v>2</v>
      </c>
      <c r="AT278" s="2">
        <v>4.5</v>
      </c>
      <c r="AU278" s="2">
        <v>2</v>
      </c>
      <c r="AV278" s="2">
        <v>4.5</v>
      </c>
    </row>
    <row r="279" spans="18:48">
      <c r="R279" s="2">
        <v>80.5</v>
      </c>
      <c r="S279" s="2">
        <f t="shared" si="12"/>
        <v>84.5</v>
      </c>
      <c r="AB279">
        <v>12.5</v>
      </c>
      <c r="AC279" s="2">
        <v>2</v>
      </c>
      <c r="AD279" s="2">
        <v>4.25</v>
      </c>
      <c r="AE279" s="2">
        <v>2</v>
      </c>
      <c r="AF279" s="2">
        <v>4.25</v>
      </c>
      <c r="AG279" s="2">
        <v>2</v>
      </c>
      <c r="AH279" s="2">
        <v>4.25</v>
      </c>
      <c r="AI279" s="2">
        <v>2</v>
      </c>
      <c r="AJ279" s="2">
        <v>4.25</v>
      </c>
      <c r="AK279" s="2">
        <v>2</v>
      </c>
      <c r="AL279" s="2">
        <v>4.25</v>
      </c>
      <c r="AM279" s="2">
        <v>2</v>
      </c>
      <c r="AN279" s="2">
        <v>4.25</v>
      </c>
      <c r="AO279" s="2">
        <v>2</v>
      </c>
      <c r="AP279" s="2">
        <v>4.25</v>
      </c>
      <c r="AQ279" s="2">
        <v>2</v>
      </c>
      <c r="AR279" s="2">
        <v>4.25</v>
      </c>
      <c r="AS279" s="2">
        <v>2</v>
      </c>
      <c r="AT279" s="2">
        <v>4.25</v>
      </c>
      <c r="AU279" s="2">
        <v>2</v>
      </c>
      <c r="AV279" s="2">
        <v>4.25</v>
      </c>
    </row>
    <row r="280" spans="18:48">
      <c r="R280" s="2">
        <v>81</v>
      </c>
      <c r="S280" s="2">
        <f t="shared" si="12"/>
        <v>85</v>
      </c>
      <c r="AB280">
        <v>12</v>
      </c>
      <c r="AC280" s="2">
        <v>2</v>
      </c>
      <c r="AD280" s="2">
        <v>4</v>
      </c>
      <c r="AE280" s="2">
        <v>2</v>
      </c>
      <c r="AF280" s="2">
        <v>4</v>
      </c>
      <c r="AG280" s="2">
        <v>2</v>
      </c>
      <c r="AH280" s="2">
        <v>4</v>
      </c>
      <c r="AI280" s="2">
        <v>2</v>
      </c>
      <c r="AJ280" s="2">
        <v>4</v>
      </c>
      <c r="AK280" s="2">
        <v>2</v>
      </c>
      <c r="AL280" s="2">
        <v>4</v>
      </c>
      <c r="AM280" s="2">
        <v>2</v>
      </c>
      <c r="AN280" s="2">
        <v>4</v>
      </c>
      <c r="AO280" s="2">
        <v>2</v>
      </c>
      <c r="AP280" s="2">
        <v>4</v>
      </c>
      <c r="AQ280" s="2">
        <v>2</v>
      </c>
      <c r="AR280" s="2">
        <v>4</v>
      </c>
      <c r="AS280" s="2">
        <v>2</v>
      </c>
      <c r="AT280" s="2">
        <v>4</v>
      </c>
      <c r="AU280" s="2">
        <v>2</v>
      </c>
      <c r="AV280" s="2">
        <v>4</v>
      </c>
    </row>
    <row r="281" spans="18:48">
      <c r="R281" s="2">
        <v>81.5</v>
      </c>
      <c r="S281" s="2">
        <f t="shared" si="12"/>
        <v>85.5</v>
      </c>
    </row>
    <row r="282" spans="18:48">
      <c r="R282" s="2">
        <v>82</v>
      </c>
      <c r="S282" s="2">
        <f t="shared" si="12"/>
        <v>86</v>
      </c>
    </row>
    <row r="283" spans="18:48">
      <c r="R283" s="2">
        <v>82.5</v>
      </c>
      <c r="S283" s="2">
        <f t="shared" si="12"/>
        <v>86.5</v>
      </c>
    </row>
    <row r="284" spans="18:48">
      <c r="R284" s="2">
        <v>83</v>
      </c>
      <c r="S284" s="2">
        <f t="shared" si="12"/>
        <v>87</v>
      </c>
    </row>
    <row r="285" spans="18:48">
      <c r="R285" s="2">
        <v>83.5</v>
      </c>
      <c r="S285" s="2">
        <f t="shared" si="12"/>
        <v>87.5</v>
      </c>
    </row>
    <row r="286" spans="18:48">
      <c r="R286" s="2">
        <v>84</v>
      </c>
      <c r="S286" s="2">
        <f t="shared" si="12"/>
        <v>88</v>
      </c>
    </row>
    <row r="287" spans="18:48">
      <c r="R287" s="2">
        <v>84.5</v>
      </c>
      <c r="S287" s="2">
        <f t="shared" si="12"/>
        <v>88.5</v>
      </c>
    </row>
    <row r="288" spans="18:48">
      <c r="R288" s="2">
        <v>85</v>
      </c>
      <c r="S288" s="2">
        <f t="shared" si="12"/>
        <v>89</v>
      </c>
    </row>
    <row r="289" spans="18:19">
      <c r="R289" s="2">
        <v>85.5</v>
      </c>
      <c r="S289" s="2">
        <f t="shared" si="12"/>
        <v>89.5</v>
      </c>
    </row>
    <row r="290" spans="18:19">
      <c r="R290" s="2">
        <v>86</v>
      </c>
      <c r="S290" s="2">
        <f t="shared" si="12"/>
        <v>90</v>
      </c>
    </row>
    <row r="291" spans="18:19">
      <c r="R291" s="2">
        <v>86.5</v>
      </c>
      <c r="S291" s="2">
        <f t="shared" si="12"/>
        <v>90.5</v>
      </c>
    </row>
    <row r="292" spans="18:19">
      <c r="R292" s="2">
        <v>87</v>
      </c>
      <c r="S292" s="2">
        <f t="shared" si="12"/>
        <v>91</v>
      </c>
    </row>
    <row r="293" spans="18:19">
      <c r="R293" s="2">
        <v>87.5</v>
      </c>
      <c r="S293" s="2">
        <f t="shared" si="12"/>
        <v>91.5</v>
      </c>
    </row>
    <row r="294" spans="18:19">
      <c r="R294" s="2">
        <v>88</v>
      </c>
      <c r="S294" s="2">
        <f t="shared" si="12"/>
        <v>92</v>
      </c>
    </row>
    <row r="295" spans="18:19">
      <c r="R295" s="2">
        <v>88.5</v>
      </c>
      <c r="S295" s="2">
        <f t="shared" si="12"/>
        <v>92.5</v>
      </c>
    </row>
    <row r="296" spans="18:19">
      <c r="R296" s="2">
        <v>89</v>
      </c>
      <c r="S296" s="2">
        <f t="shared" si="12"/>
        <v>93</v>
      </c>
    </row>
    <row r="297" spans="18:19">
      <c r="R297" s="2">
        <v>89.5</v>
      </c>
      <c r="S297" s="2">
        <f t="shared" si="12"/>
        <v>93.5</v>
      </c>
    </row>
    <row r="298" spans="18:19">
      <c r="R298" s="2">
        <v>90</v>
      </c>
      <c r="S298" s="2">
        <f t="shared" si="12"/>
        <v>94</v>
      </c>
    </row>
    <row r="299" spans="18:19">
      <c r="R299" s="2">
        <v>90.5</v>
      </c>
      <c r="S299" s="2">
        <f t="shared" si="12"/>
        <v>94.5</v>
      </c>
    </row>
    <row r="300" spans="18:19">
      <c r="R300" s="2">
        <v>91</v>
      </c>
      <c r="S300" s="2">
        <f t="shared" si="12"/>
        <v>95</v>
      </c>
    </row>
    <row r="301" spans="18:19">
      <c r="R301" s="2">
        <v>91.5</v>
      </c>
      <c r="S301" s="2">
        <f t="shared" si="12"/>
        <v>95.5</v>
      </c>
    </row>
    <row r="302" spans="18:19">
      <c r="R302" s="2">
        <v>92</v>
      </c>
      <c r="S302" s="2">
        <f t="shared" si="12"/>
        <v>96</v>
      </c>
    </row>
    <row r="303" spans="18:19">
      <c r="R303" s="2"/>
    </row>
    <row r="304" spans="18:19">
      <c r="R304" s="2"/>
    </row>
    <row r="305" spans="18:18">
      <c r="R305" s="2"/>
    </row>
    <row r="306" spans="18:18">
      <c r="R306" s="2"/>
    </row>
  </sheetData>
  <sheetProtection algorithmName="SHA-512" hashValue="s7SfcxIleOj+klqI+E+OOJ5GwwPMZkWvkU/FQCoD6Dq2rwVqm6snHSs6ZN4PtbBnOjGLsHx7V/H8gnJaVUdc1g==" saltValue="gKsS4roXrxKZwRXY6l6VnA==" spinCount="100000" sheet="1" objects="1" scenarios="1"/>
  <mergeCells count="5">
    <mergeCell ref="C8:E8"/>
    <mergeCell ref="C9:E9"/>
    <mergeCell ref="C10:E10"/>
    <mergeCell ref="B15:C15"/>
    <mergeCell ref="B16:C16"/>
  </mergeCells>
  <conditionalFormatting sqref="D18:E18">
    <cfRule type="containsText" dxfId="44" priority="1" operator="containsText" text="NOPE">
      <formula>NOT(ISERROR(SEARCH("NOPE",D18)))</formula>
    </cfRule>
    <cfRule type="notContainsBlanks" dxfId="43" priority="2">
      <formula>LEN(TRIM(D18))&gt;0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81305-7244-47AF-BC9C-7DDB98435E58}">
  <sheetPr codeName="Sheet14">
    <tabColor rgb="FF92D050"/>
    <pageSetUpPr fitToPage="1"/>
  </sheetPr>
  <dimension ref="A1:AS42"/>
  <sheetViews>
    <sheetView workbookViewId="0">
      <selection activeCell="L13" sqref="L13"/>
    </sheetView>
  </sheetViews>
  <sheetFormatPr defaultRowHeight="15"/>
  <cols>
    <col min="1" max="1" width="32.7109375" customWidth="1"/>
    <col min="2" max="2" width="11.28515625" style="2" customWidth="1"/>
    <col min="3" max="3" width="10.42578125" style="2" customWidth="1"/>
    <col min="4" max="4" width="10.85546875" style="2" customWidth="1"/>
    <col min="5" max="5" width="10.5703125" style="73" bestFit="1" customWidth="1"/>
    <col min="6" max="6" width="12.28515625" customWidth="1"/>
    <col min="7" max="7" width="10.7109375" customWidth="1"/>
    <col min="9" max="9" width="2.7109375" customWidth="1"/>
    <col min="10" max="10" width="9.7109375" style="2" bestFit="1" customWidth="1"/>
    <col min="11" max="13" width="9.140625" style="2"/>
    <col min="14" max="14" width="10.5703125" style="2" bestFit="1" customWidth="1"/>
    <col min="15" max="45" width="9.140625" style="2"/>
  </cols>
  <sheetData>
    <row r="1" spans="2:11">
      <c r="B1" s="2" t="s">
        <v>328</v>
      </c>
      <c r="C1" s="2" t="s">
        <v>186</v>
      </c>
      <c r="D1" s="2" t="s">
        <v>205</v>
      </c>
      <c r="E1" s="6" t="s">
        <v>282</v>
      </c>
      <c r="F1" s="2" t="s">
        <v>329</v>
      </c>
      <c r="G1" s="2"/>
      <c r="H1" s="2"/>
    </row>
    <row r="2" spans="2:11">
      <c r="B2" s="2">
        <v>3461</v>
      </c>
      <c r="C2" s="154">
        <v>44818</v>
      </c>
      <c r="D2" s="2">
        <v>442.98</v>
      </c>
      <c r="E2" s="73">
        <v>6932.63</v>
      </c>
      <c r="F2" s="5">
        <f>E2/D2</f>
        <v>15.649984197932186</v>
      </c>
      <c r="G2" s="5"/>
      <c r="H2" s="5"/>
      <c r="J2" s="154">
        <v>43287</v>
      </c>
      <c r="K2" s="2">
        <v>15.65</v>
      </c>
    </row>
    <row r="3" spans="2:11">
      <c r="B3" s="2">
        <v>3459</v>
      </c>
      <c r="C3" s="154">
        <v>44817</v>
      </c>
      <c r="D3" s="2">
        <v>443.04</v>
      </c>
      <c r="E3" s="73">
        <v>6933.57</v>
      </c>
      <c r="F3" s="5">
        <f>E3/D3</f>
        <v>15.649986457204765</v>
      </c>
      <c r="G3" s="5"/>
      <c r="H3" s="5"/>
      <c r="J3" s="154">
        <v>44874</v>
      </c>
      <c r="K3" s="2">
        <v>20.62</v>
      </c>
    </row>
    <row r="4" spans="2:11">
      <c r="C4" s="154"/>
      <c r="F4" s="5"/>
      <c r="G4" s="5"/>
      <c r="H4" s="5"/>
    </row>
    <row r="5" spans="2:11">
      <c r="C5" s="154"/>
      <c r="F5" s="5"/>
      <c r="G5" s="5"/>
      <c r="H5" s="5"/>
    </row>
    <row r="6" spans="2:11">
      <c r="C6" s="154"/>
      <c r="F6" s="5"/>
      <c r="G6" s="5"/>
      <c r="H6" s="5"/>
    </row>
    <row r="7" spans="2:11">
      <c r="C7" s="154"/>
      <c r="F7" s="5"/>
      <c r="G7" s="5"/>
      <c r="H7" s="5"/>
    </row>
    <row r="8" spans="2:11">
      <c r="B8" s="29" t="s">
        <v>330</v>
      </c>
      <c r="C8" s="154"/>
      <c r="F8" s="156">
        <f>G32+(F42/6)</f>
        <v>3596.936632760001</v>
      </c>
      <c r="G8" s="5"/>
      <c r="H8" s="5"/>
    </row>
    <row r="9" spans="2:11">
      <c r="C9" s="154"/>
      <c r="D9" s="2" t="s">
        <v>331</v>
      </c>
      <c r="F9" s="105">
        <f>1-F8/E2</f>
        <v>0.48115843009651449</v>
      </c>
      <c r="G9" s="5"/>
      <c r="H9" s="5"/>
    </row>
    <row r="10" spans="2:11">
      <c r="C10" s="154"/>
      <c r="F10" s="5"/>
      <c r="G10" s="5"/>
      <c r="H10" s="5"/>
    </row>
    <row r="11" spans="2:11">
      <c r="C11" s="154"/>
      <c r="D11" s="2" t="s">
        <v>332</v>
      </c>
      <c r="F11" s="5">
        <f>F8/M26</f>
        <v>7.9735048509458153</v>
      </c>
      <c r="G11" s="5"/>
      <c r="H11" s="5"/>
    </row>
    <row r="12" spans="2:11">
      <c r="C12" s="154"/>
      <c r="D12" s="29" t="s">
        <v>333</v>
      </c>
      <c r="F12" s="158">
        <f>F11*1.5385</f>
        <v>12.267237213180136</v>
      </c>
      <c r="G12" s="105">
        <f>1-F11/F12</f>
        <v>0.3500162495937601</v>
      </c>
      <c r="H12" s="5"/>
    </row>
    <row r="13" spans="2:11">
      <c r="C13" s="154"/>
      <c r="D13" s="2" t="s">
        <v>274</v>
      </c>
      <c r="F13" s="5">
        <f>F12*M26</f>
        <v>5533.8870095012608</v>
      </c>
      <c r="G13" s="5"/>
      <c r="H13" s="5"/>
    </row>
    <row r="14" spans="2:11">
      <c r="C14" s="154"/>
      <c r="F14" s="5"/>
      <c r="G14" s="5"/>
      <c r="H14" s="5"/>
    </row>
    <row r="15" spans="2:11">
      <c r="C15" s="154"/>
      <c r="F15" s="5"/>
      <c r="G15" s="5"/>
      <c r="H15" s="5"/>
    </row>
    <row r="18" spans="1:15">
      <c r="C18" s="22">
        <f>SUM(C20:C24)</f>
        <v>19.730800000000002</v>
      </c>
      <c r="F18" s="2" t="s">
        <v>247</v>
      </c>
      <c r="G18" s="2" t="s">
        <v>334</v>
      </c>
      <c r="H18" s="2"/>
    </row>
    <row r="19" spans="1:15">
      <c r="A19" t="s">
        <v>335</v>
      </c>
      <c r="B19" s="2" t="s">
        <v>222</v>
      </c>
      <c r="C19" s="2" t="s">
        <v>336</v>
      </c>
      <c r="D19" s="2" t="s">
        <v>337</v>
      </c>
      <c r="E19" s="6" t="s">
        <v>338</v>
      </c>
      <c r="F19" s="2" t="s">
        <v>339</v>
      </c>
      <c r="G19" s="2" t="s">
        <v>339</v>
      </c>
      <c r="H19" s="2"/>
    </row>
    <row r="20" spans="1:15">
      <c r="A20" t="s">
        <v>340</v>
      </c>
      <c r="B20" s="2">
        <v>20</v>
      </c>
      <c r="C20" s="6">
        <f>Parts!M121</f>
        <v>4.4668000000000001</v>
      </c>
      <c r="D20" s="6">
        <f>B20*C20</f>
        <v>89.335999999999999</v>
      </c>
      <c r="E20" s="155">
        <v>2</v>
      </c>
      <c r="F20" s="5">
        <f>D20*E20</f>
        <v>178.672</v>
      </c>
      <c r="G20" s="5">
        <f>F20*1.09</f>
        <v>194.75248000000002</v>
      </c>
      <c r="H20" s="5"/>
    </row>
    <row r="21" spans="1:15">
      <c r="A21" t="s">
        <v>341</v>
      </c>
      <c r="B21" s="2">
        <v>20</v>
      </c>
      <c r="C21" s="6">
        <f>Parts!M122</f>
        <v>5.6349999999999998</v>
      </c>
      <c r="D21" s="6">
        <f t="shared" ref="D21:D24" si="0">B21*C21</f>
        <v>112.69999999999999</v>
      </c>
      <c r="E21" s="155"/>
      <c r="F21" s="5">
        <f t="shared" ref="F21:F31" si="1">D21*E21</f>
        <v>0</v>
      </c>
      <c r="G21" s="5">
        <f t="shared" ref="G21:G31" si="2">F21*1.09</f>
        <v>0</v>
      </c>
    </row>
    <row r="22" spans="1:15">
      <c r="A22" t="s">
        <v>342</v>
      </c>
      <c r="B22" s="2">
        <v>20</v>
      </c>
      <c r="C22" s="6">
        <f>Parts!M123</f>
        <v>1.8472000000000002</v>
      </c>
      <c r="D22" s="6">
        <f t="shared" si="0"/>
        <v>36.944000000000003</v>
      </c>
      <c r="E22" s="155">
        <f>100/12</f>
        <v>8.3333333333333339</v>
      </c>
      <c r="F22" s="5">
        <f>D22*E22</f>
        <v>307.86666666666673</v>
      </c>
      <c r="G22" s="5">
        <f t="shared" si="2"/>
        <v>335.57466666666676</v>
      </c>
    </row>
    <row r="23" spans="1:15">
      <c r="A23" t="s">
        <v>343</v>
      </c>
      <c r="B23" s="2">
        <v>20</v>
      </c>
      <c r="C23" s="6">
        <f>Parts!M124</f>
        <v>3.0390000000000001</v>
      </c>
      <c r="D23" s="6">
        <f t="shared" si="0"/>
        <v>60.78</v>
      </c>
      <c r="E23" s="155">
        <v>2</v>
      </c>
      <c r="F23" s="5">
        <f t="shared" si="1"/>
        <v>121.56</v>
      </c>
      <c r="G23" s="5">
        <f t="shared" si="2"/>
        <v>132.50040000000001</v>
      </c>
    </row>
    <row r="24" spans="1:15">
      <c r="A24" t="s">
        <v>344</v>
      </c>
      <c r="B24" s="2">
        <v>11.67</v>
      </c>
      <c r="C24" s="6">
        <f>Parts!M125</f>
        <v>4.7428000000000008</v>
      </c>
      <c r="D24" s="6">
        <f t="shared" si="0"/>
        <v>55.348476000000012</v>
      </c>
      <c r="E24" s="155">
        <v>39</v>
      </c>
      <c r="F24" s="5">
        <f t="shared" si="1"/>
        <v>2158.5905640000005</v>
      </c>
      <c r="G24" s="5">
        <f t="shared" si="2"/>
        <v>2352.8637147600007</v>
      </c>
    </row>
    <row r="25" spans="1:15">
      <c r="A25" t="s">
        <v>345</v>
      </c>
      <c r="C25" s="22"/>
      <c r="D25" s="2">
        <f>Parts!M15</f>
        <v>1.9293000000000002</v>
      </c>
      <c r="E25" s="155">
        <v>42</v>
      </c>
      <c r="F25" s="5">
        <f t="shared" si="1"/>
        <v>81.030600000000007</v>
      </c>
      <c r="G25" s="5">
        <f t="shared" si="2"/>
        <v>88.323354000000009</v>
      </c>
      <c r="J25" s="303" t="s">
        <v>346</v>
      </c>
      <c r="K25" s="303"/>
    </row>
    <row r="26" spans="1:15">
      <c r="A26" t="s">
        <v>347</v>
      </c>
      <c r="D26" s="2">
        <f>Parts!M16</f>
        <v>0.66490000000000005</v>
      </c>
      <c r="E26" s="155">
        <v>32</v>
      </c>
      <c r="F26" s="5">
        <f t="shared" si="1"/>
        <v>21.276800000000001</v>
      </c>
      <c r="G26" s="5">
        <f t="shared" si="2"/>
        <v>23.191712000000003</v>
      </c>
      <c r="L26" s="31">
        <f>SUM(L28:L30)</f>
        <v>38.666666666666671</v>
      </c>
      <c r="M26" s="31">
        <f>SUM(M28:M30)</f>
        <v>451.11111111111109</v>
      </c>
      <c r="N26" s="22">
        <f>M26*F3</f>
        <v>7059.8827795834823</v>
      </c>
      <c r="O26" s="31"/>
    </row>
    <row r="27" spans="1:15">
      <c r="A27" t="s">
        <v>348</v>
      </c>
      <c r="D27" s="2">
        <f>Parts!M48</f>
        <v>0.15260000000000001</v>
      </c>
      <c r="E27" s="155">
        <v>9</v>
      </c>
      <c r="F27" s="5">
        <f t="shared" si="1"/>
        <v>1.3734000000000002</v>
      </c>
      <c r="G27" s="5">
        <f t="shared" si="2"/>
        <v>1.4970060000000003</v>
      </c>
      <c r="J27" s="2" t="s">
        <v>349</v>
      </c>
      <c r="K27" s="2" t="s">
        <v>350</v>
      </c>
      <c r="L27" s="2" t="s">
        <v>79</v>
      </c>
      <c r="M27" s="2" t="s">
        <v>205</v>
      </c>
    </row>
    <row r="28" spans="1:15">
      <c r="A28" t="s">
        <v>351</v>
      </c>
      <c r="D28" s="2">
        <f>Parts!M29</f>
        <v>0.17440000000000003</v>
      </c>
      <c r="E28" s="155">
        <v>9</v>
      </c>
      <c r="F28" s="5">
        <f t="shared" si="1"/>
        <v>1.5696000000000003</v>
      </c>
      <c r="G28" s="5">
        <f t="shared" si="2"/>
        <v>1.7108640000000004</v>
      </c>
      <c r="J28" s="2">
        <v>144</v>
      </c>
      <c r="K28" s="2">
        <v>140</v>
      </c>
      <c r="L28" s="31">
        <f>J28/12</f>
        <v>12</v>
      </c>
      <c r="M28" s="31">
        <f>J28*K28/144</f>
        <v>140</v>
      </c>
    </row>
    <row r="29" spans="1:15">
      <c r="A29" t="s">
        <v>352</v>
      </c>
      <c r="D29" s="2">
        <f>Parts!M6</f>
        <v>0.30520000000000003</v>
      </c>
      <c r="E29" s="155">
        <v>41</v>
      </c>
      <c r="F29" s="5">
        <f t="shared" si="1"/>
        <v>12.513200000000001</v>
      </c>
      <c r="G29" s="5">
        <f t="shared" si="2"/>
        <v>13.639388000000002</v>
      </c>
      <c r="J29" s="2">
        <v>96</v>
      </c>
      <c r="K29" s="2">
        <v>140</v>
      </c>
      <c r="L29" s="31">
        <f t="shared" ref="L29:L30" si="3">J29/12</f>
        <v>8</v>
      </c>
      <c r="M29" s="31">
        <f t="shared" ref="M29:M30" si="4">J29*K29/144</f>
        <v>93.333333333333329</v>
      </c>
    </row>
    <row r="30" spans="1:15">
      <c r="A30" t="s">
        <v>353</v>
      </c>
      <c r="D30" s="2">
        <f>Parts!M5</f>
        <v>0.19620000000000001</v>
      </c>
      <c r="E30" s="155">
        <v>41</v>
      </c>
      <c r="F30" s="5">
        <f t="shared" si="1"/>
        <v>8.0442</v>
      </c>
      <c r="G30" s="5">
        <f t="shared" si="2"/>
        <v>8.7681780000000007</v>
      </c>
      <c r="J30" s="2">
        <v>224</v>
      </c>
      <c r="K30" s="2">
        <v>140</v>
      </c>
      <c r="L30" s="31">
        <f t="shared" si="3"/>
        <v>18.666666666666668</v>
      </c>
      <c r="M30" s="31">
        <f t="shared" si="4"/>
        <v>217.77777777777777</v>
      </c>
    </row>
    <row r="31" spans="1:15">
      <c r="A31" t="s">
        <v>354</v>
      </c>
      <c r="D31" s="2">
        <f>Parts!M26</f>
        <v>8.7200000000000014E-2</v>
      </c>
      <c r="E31" s="155">
        <v>32</v>
      </c>
      <c r="F31" s="5">
        <f t="shared" si="1"/>
        <v>2.7904000000000004</v>
      </c>
      <c r="G31" s="5">
        <f t="shared" si="2"/>
        <v>3.0415360000000007</v>
      </c>
    </row>
    <row r="32" spans="1:15">
      <c r="F32" s="254" t="s">
        <v>355</v>
      </c>
      <c r="G32" s="156">
        <f>SUM(G20:G31)</f>
        <v>3155.8632994266677</v>
      </c>
    </row>
    <row r="37" spans="1:8">
      <c r="B37" s="29" t="s">
        <v>356</v>
      </c>
    </row>
    <row r="38" spans="1:8">
      <c r="B38" s="29" t="s">
        <v>357</v>
      </c>
      <c r="G38" s="2" t="s">
        <v>329</v>
      </c>
      <c r="H38" s="2" t="s">
        <v>336</v>
      </c>
    </row>
    <row r="39" spans="1:8">
      <c r="A39" s="8" t="s">
        <v>358</v>
      </c>
      <c r="B39" s="2">
        <v>5</v>
      </c>
      <c r="E39" s="73">
        <v>300</v>
      </c>
      <c r="F39" s="73">
        <f>B39*E39</f>
        <v>1500</v>
      </c>
      <c r="G39" s="73">
        <f>F39/$M$26</f>
        <v>3.3251231527093599</v>
      </c>
      <c r="H39" s="5">
        <f>F39/$L$26</f>
        <v>38.793103448275858</v>
      </c>
    </row>
    <row r="40" spans="1:8">
      <c r="A40" s="8" t="s">
        <v>359</v>
      </c>
      <c r="B40" s="2">
        <v>1200</v>
      </c>
      <c r="C40" s="2">
        <v>12</v>
      </c>
      <c r="D40" s="2">
        <f>B40/C40</f>
        <v>100</v>
      </c>
      <c r="E40" s="73">
        <v>4.5</v>
      </c>
      <c r="F40" s="5">
        <f>D40*E40</f>
        <v>450</v>
      </c>
      <c r="G40" s="73">
        <f t="shared" ref="G40:G41" si="5">F40/$M$26</f>
        <v>0.99753694581280794</v>
      </c>
      <c r="H40" s="5">
        <f t="shared" ref="H40:H41" si="6">F40/$L$26</f>
        <v>11.637931034482758</v>
      </c>
    </row>
    <row r="41" spans="1:8">
      <c r="A41" s="8" t="s">
        <v>360</v>
      </c>
      <c r="B41" s="31">
        <v>2</v>
      </c>
      <c r="E41" s="73">
        <v>348.22</v>
      </c>
      <c r="F41" s="157">
        <f>B41*E41</f>
        <v>696.44</v>
      </c>
      <c r="G41" s="73">
        <f t="shared" si="5"/>
        <v>1.5438325123152712</v>
      </c>
      <c r="H41" s="5">
        <f t="shared" si="6"/>
        <v>18.011379310344825</v>
      </c>
    </row>
    <row r="42" spans="1:8">
      <c r="F42" s="156">
        <f>SUM(F39:F41)</f>
        <v>2646.44</v>
      </c>
      <c r="G42" s="156">
        <f>F42/M26</f>
        <v>5.8664926108374384</v>
      </c>
      <c r="H42" s="156">
        <f>F42/L26</f>
        <v>68.442413793103441</v>
      </c>
    </row>
  </sheetData>
  <sheetProtection algorithmName="SHA-512" hashValue="rtTQJ9jSYiL3kHr2CXufy5mGFIE5MCDyvPUfBX6+XMY9CGd8IlTlfSLmQwJzJKDNyv/040GFbg/9ZT/ezM6FGQ==" saltValue="4CJGq0eiAeUWsVtyG/A8aQ==" spinCount="100000" sheet="1" objects="1" scenarios="1"/>
  <mergeCells count="1">
    <mergeCell ref="J25:K25"/>
  </mergeCells>
  <pageMargins left="0.7" right="0.7" top="0.75" bottom="0.75" header="0.3" footer="0.3"/>
  <pageSetup scale="77" orientation="landscape" horizontalDpi="4294967295" verticalDpi="4294967295" r:id="rId1"/>
  <ignoredErrors>
    <ignoredError sqref="E22 F4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EE66B-DB27-4D40-BBF0-736B82C52500}">
  <sheetPr codeName="Sheet1">
    <tabColor rgb="FF92D050"/>
    <pageSetUpPr fitToPage="1"/>
  </sheetPr>
  <dimension ref="A1:AP138"/>
  <sheetViews>
    <sheetView view="pageBreakPreview" zoomScale="110" zoomScaleNormal="100" zoomScaleSheetLayoutView="110" workbookViewId="0">
      <selection activeCell="K29" sqref="K29"/>
    </sheetView>
  </sheetViews>
  <sheetFormatPr defaultRowHeight="15"/>
  <cols>
    <col min="1" max="1" width="5.28515625" style="2" customWidth="1"/>
    <col min="2" max="2" width="13" customWidth="1"/>
    <col min="3" max="4" width="13.5703125" customWidth="1"/>
    <col min="5" max="5" width="9.140625" style="2"/>
    <col min="6" max="6" width="10.5703125" style="2" customWidth="1"/>
    <col min="7" max="8" width="10.140625" style="2" customWidth="1"/>
    <col min="9" max="9" width="12.140625" style="2" customWidth="1"/>
    <col min="10" max="10" width="2.85546875" style="2" customWidth="1"/>
    <col min="11" max="11" width="12.5703125" style="2" customWidth="1"/>
    <col min="12" max="12" width="26" style="2" customWidth="1"/>
    <col min="13" max="13" width="10.140625" style="2" customWidth="1"/>
    <col min="14" max="14" width="2.5703125" style="2" customWidth="1"/>
    <col min="15" max="15" width="11" customWidth="1"/>
    <col min="16" max="16" width="11.7109375" customWidth="1"/>
    <col min="18" max="18" width="10.7109375" customWidth="1"/>
    <col min="19" max="20" width="10.28515625" customWidth="1"/>
    <col min="21" max="21" width="9.140625" style="2"/>
    <col min="22" max="22" width="11.7109375" customWidth="1"/>
    <col min="23" max="24" width="10.140625" customWidth="1"/>
    <col min="25" max="25" width="10.85546875" customWidth="1"/>
    <col min="26" max="26" width="2" customWidth="1"/>
    <col min="27" max="28" width="12.42578125" customWidth="1"/>
    <col min="29" max="29" width="14.5703125" customWidth="1"/>
    <col min="30" max="32" width="10" customWidth="1"/>
    <col min="33" max="33" width="12.42578125" customWidth="1"/>
    <col min="34" max="34" width="10" customWidth="1"/>
    <col min="35" max="35" width="12.85546875" customWidth="1"/>
    <col min="38" max="38" width="29.7109375" customWidth="1"/>
    <col min="39" max="39" width="15.28515625" customWidth="1"/>
    <col min="40" max="40" width="9.140625" style="30"/>
    <col min="41" max="41" width="2.5703125" customWidth="1"/>
  </cols>
  <sheetData>
    <row r="1" spans="1:42" ht="26.25" customHeight="1">
      <c r="B1" s="395"/>
      <c r="C1" s="395"/>
      <c r="D1" s="395"/>
      <c r="E1" s="395"/>
      <c r="F1" s="395"/>
      <c r="G1" s="395"/>
      <c r="H1" s="395"/>
      <c r="I1" s="395"/>
      <c r="J1" s="395"/>
      <c r="K1" s="395"/>
      <c r="L1" s="395"/>
      <c r="M1" s="395"/>
    </row>
    <row r="2" spans="1:42" ht="17.25">
      <c r="B2" s="2" t="s">
        <v>361</v>
      </c>
      <c r="C2" s="2" t="s">
        <v>195</v>
      </c>
      <c r="D2" s="2" t="s">
        <v>196</v>
      </c>
      <c r="E2" s="178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AC2" s="2" t="s">
        <v>362</v>
      </c>
    </row>
    <row r="3" spans="1:42">
      <c r="B3" s="2">
        <v>1.25</v>
      </c>
      <c r="C3" s="2">
        <v>1.35</v>
      </c>
      <c r="D3" s="2">
        <v>1.43</v>
      </c>
      <c r="E3" s="184" t="s">
        <v>363</v>
      </c>
      <c r="F3" s="185"/>
      <c r="G3" s="185"/>
      <c r="H3" s="185"/>
      <c r="I3" s="186"/>
      <c r="J3" s="186"/>
      <c r="K3" s="186"/>
      <c r="L3" s="186"/>
      <c r="M3" s="186"/>
      <c r="AC3">
        <f>35*60</f>
        <v>2100</v>
      </c>
    </row>
    <row r="4" spans="1:42">
      <c r="B4" s="96">
        <v>0.03</v>
      </c>
      <c r="C4" s="96">
        <v>0.05</v>
      </c>
      <c r="D4" s="96">
        <v>0.08</v>
      </c>
      <c r="F4" s="303" t="s">
        <v>364</v>
      </c>
      <c r="G4" s="303"/>
      <c r="O4" s="2"/>
      <c r="P4" s="2"/>
      <c r="Q4" s="2"/>
      <c r="R4" s="2"/>
      <c r="S4" s="2"/>
      <c r="T4" s="337" t="s">
        <v>365</v>
      </c>
      <c r="U4" s="337"/>
      <c r="V4" s="337" t="s">
        <v>366</v>
      </c>
      <c r="W4" s="337"/>
      <c r="X4" s="254" t="s">
        <v>367</v>
      </c>
      <c r="AC4" s="104">
        <f>25*1.2</f>
        <v>30</v>
      </c>
      <c r="AD4" s="179">
        <f>'PAINT LABOR COSTS'!M48</f>
        <v>0.82040497874924112</v>
      </c>
      <c r="AE4" s="179">
        <f>0.0056*144</f>
        <v>0.80640000000000001</v>
      </c>
      <c r="AF4" s="179">
        <f>'PAINT LABOR COSTS'!M61</f>
        <v>1.450089721393035</v>
      </c>
      <c r="AG4" s="104"/>
      <c r="AH4" s="180">
        <f>0.0069*144</f>
        <v>0.99360000000000004</v>
      </c>
    </row>
    <row r="5" spans="1:42" ht="17.25">
      <c r="B5" s="269">
        <f t="shared" ref="B5:D5" si="0">SUM(B6:B15)</f>
        <v>1896.8823897588516</v>
      </c>
      <c r="C5" s="269">
        <f t="shared" si="0"/>
        <v>2048.6329809395597</v>
      </c>
      <c r="D5" s="269">
        <f t="shared" si="0"/>
        <v>2170.0334538841262</v>
      </c>
      <c r="E5" s="2" t="s">
        <v>368</v>
      </c>
      <c r="F5" s="254" t="s">
        <v>349</v>
      </c>
      <c r="G5" s="254" t="s">
        <v>350</v>
      </c>
      <c r="H5" s="254" t="s">
        <v>10</v>
      </c>
      <c r="I5" s="254" t="s">
        <v>369</v>
      </c>
      <c r="J5" s="254"/>
      <c r="K5" s="254" t="s">
        <v>370</v>
      </c>
      <c r="L5" s="254" t="s">
        <v>371</v>
      </c>
      <c r="M5" s="254" t="s">
        <v>372</v>
      </c>
      <c r="N5" s="254"/>
      <c r="O5" s="254" t="s">
        <v>373</v>
      </c>
      <c r="P5" s="254" t="s">
        <v>374</v>
      </c>
      <c r="Q5" s="254" t="s">
        <v>375</v>
      </c>
      <c r="R5" s="254" t="s">
        <v>376</v>
      </c>
      <c r="S5" s="254" t="s">
        <v>377</v>
      </c>
      <c r="T5" s="254" t="s">
        <v>378</v>
      </c>
      <c r="U5" s="254" t="s">
        <v>369</v>
      </c>
      <c r="V5" s="254" t="s">
        <v>379</v>
      </c>
      <c r="W5" s="254" t="s">
        <v>369</v>
      </c>
      <c r="X5" s="254" t="s">
        <v>380</v>
      </c>
      <c r="Y5" s="254" t="s">
        <v>381</v>
      </c>
      <c r="Z5" s="254"/>
      <c r="AA5" s="254" t="s">
        <v>382</v>
      </c>
      <c r="AB5" s="254" t="s">
        <v>383</v>
      </c>
      <c r="AC5" s="38" t="s">
        <v>384</v>
      </c>
      <c r="AD5" s="38" t="s">
        <v>385</v>
      </c>
      <c r="AE5" s="38" t="s">
        <v>386</v>
      </c>
      <c r="AF5" s="38" t="s">
        <v>387</v>
      </c>
      <c r="AG5" s="38" t="s">
        <v>388</v>
      </c>
      <c r="AH5" s="38" t="s">
        <v>389</v>
      </c>
      <c r="AI5" s="38" t="s">
        <v>390</v>
      </c>
      <c r="AL5" t="s">
        <v>391</v>
      </c>
      <c r="AM5" t="s">
        <v>392</v>
      </c>
      <c r="AN5" s="30">
        <f>Parts!M113</f>
        <v>2.7050000000000001</v>
      </c>
      <c r="AP5" t="s">
        <v>393</v>
      </c>
    </row>
    <row r="6" spans="1:42">
      <c r="A6" s="188">
        <v>1</v>
      </c>
      <c r="B6" s="189">
        <f>IF(I20="","",I20*$B$3)</f>
        <v>1896.8823897588516</v>
      </c>
      <c r="C6" s="189">
        <f>IF(I20="","",I20*$C$3)</f>
        <v>2048.6329809395597</v>
      </c>
      <c r="D6" s="189">
        <f>IF(I20="","",I20*$D$3)</f>
        <v>2170.0334538841262</v>
      </c>
      <c r="E6" s="2">
        <v>1</v>
      </c>
      <c r="F6" s="160">
        <v>87</v>
      </c>
      <c r="G6" s="284">
        <v>76.875</v>
      </c>
      <c r="H6" s="160" t="s">
        <v>394</v>
      </c>
      <c r="I6" s="160">
        <v>1</v>
      </c>
      <c r="K6" s="160" t="s">
        <v>395</v>
      </c>
      <c r="L6" s="2" t="str">
        <f>IFERROR(VLOOKUP(K6,'PAINT LABOR COSTS'!$B$27:$C$58,2,FALSE),"Pick Color")</f>
        <v>ROCKWOOD RED</v>
      </c>
      <c r="M6" s="160" t="s">
        <v>396</v>
      </c>
      <c r="O6" s="42" t="str">
        <f t="shared" ref="O6:O15" si="1">IF(H6="NO",F6,"")</f>
        <v/>
      </c>
      <c r="P6" s="42">
        <f>IF(H6="YES",F6,"")</f>
        <v>87</v>
      </c>
      <c r="Q6" s="42">
        <f>IF(F6="","",F6)</f>
        <v>87</v>
      </c>
      <c r="R6" s="95">
        <f>IF(G6="","",G6-0.161)</f>
        <v>76.713999999999999</v>
      </c>
      <c r="S6" s="95">
        <f>IF(I6="","",G6-0.161)</f>
        <v>76.713999999999999</v>
      </c>
      <c r="T6" s="95">
        <f>IF(F6&gt;40,G6-0.161,0)</f>
        <v>76.713999999999999</v>
      </c>
      <c r="U6" s="183">
        <f>IF(F6&lt;40.25,0,IF(AND(F6&gt;40,F6&lt;80.25),1,IF(AND(F6&gt;80,F6&lt;96.25),2,"")))</f>
        <v>2</v>
      </c>
      <c r="V6" s="95">
        <f t="shared" ref="V6:V15" si="2">IF(F6="","",F6-(1.14*2))</f>
        <v>84.72</v>
      </c>
      <c r="W6" s="2">
        <f>IF(F6="","",LOOKUP(G6,$G$65:$G$138,$F$65:$F$138))</f>
        <v>42</v>
      </c>
      <c r="X6" s="2">
        <f>IF(I6&lt;&gt;"",G6*0.6*(I6/12)*2,"")</f>
        <v>7.6875</v>
      </c>
      <c r="Y6" s="2">
        <f>IF(I6="","",I6*8)</f>
        <v>8</v>
      </c>
      <c r="Z6" s="2"/>
      <c r="AA6" s="31">
        <f>F6*G6</f>
        <v>6688.125</v>
      </c>
      <c r="AB6" s="31">
        <f>(((F6*G6/144)*2)+(((F6/12)*2)*(1.5/12))+(((G6/12)*2)*(1.5/12)))</f>
        <v>96.3046875</v>
      </c>
      <c r="AC6" s="22">
        <f>AA6/$AC$3*$AC$4</f>
        <v>95.544642857142861</v>
      </c>
      <c r="AD6" s="181">
        <f>AB6*$AD$4</f>
        <v>79.008845101889804</v>
      </c>
      <c r="AE6" s="181">
        <f>AB6*$AE$4</f>
        <v>77.6601</v>
      </c>
      <c r="AF6" s="181">
        <f>AB6*$AF$4</f>
        <v>139.65043746571831</v>
      </c>
      <c r="AG6" s="181">
        <f>IF(AB6=0,0,VLOOKUP(K6,'PAINT LABOR COSTS'!$B$27:$N$67,12,0)*AB6)*I6</f>
        <v>430.46019201566355</v>
      </c>
      <c r="AH6" s="181">
        <f>AB6*$AH$4</f>
        <v>95.688337500000003</v>
      </c>
      <c r="AI6" s="104">
        <f>IF(M6="DELIVERY",$M$77*I6,IF(M6="PICKUP",$M$73*I6,IF(M6="SHIP/CR",$M$75*I6,IF(M6="LCR",$M$81*I6,IF(M6="INSTALL",$M$79*I6,0)))))</f>
        <v>75</v>
      </c>
      <c r="AL6" t="s">
        <v>397</v>
      </c>
      <c r="AM6" t="s">
        <v>398</v>
      </c>
      <c r="AN6" s="30">
        <f>Parts!M114</f>
        <v>3.5310000000000006</v>
      </c>
      <c r="AP6" t="s">
        <v>393</v>
      </c>
    </row>
    <row r="7" spans="1:42">
      <c r="A7" s="188">
        <v>2</v>
      </c>
      <c r="B7" s="189" t="str">
        <f t="shared" ref="B7:B15" si="3">IF(I21="","",I21*$B$3)</f>
        <v/>
      </c>
      <c r="C7" s="189" t="str">
        <f t="shared" ref="C7:C15" si="4">IF(I21="","",I21*$C$3)</f>
        <v/>
      </c>
      <c r="D7" s="189" t="str">
        <f t="shared" ref="D7:D15" si="5">IF(I21="","",I21*$D$3)</f>
        <v/>
      </c>
      <c r="E7" s="2">
        <v>2</v>
      </c>
      <c r="F7" s="160"/>
      <c r="G7" s="160"/>
      <c r="H7" s="160"/>
      <c r="I7" s="160"/>
      <c r="K7" s="160"/>
      <c r="L7" s="2" t="str">
        <f>IFERROR(VLOOKUP(K7,'PAINT LABOR COSTS'!$B$27:$C$58,2,FALSE),"Pick Color")</f>
        <v>Pick Color</v>
      </c>
      <c r="M7" s="160"/>
      <c r="O7" s="42" t="str">
        <f t="shared" si="1"/>
        <v/>
      </c>
      <c r="P7" s="42" t="str">
        <f t="shared" ref="P7:P15" si="6">IF(H7="YES",F7,"")</f>
        <v/>
      </c>
      <c r="Q7" s="42" t="str">
        <f t="shared" ref="Q7:Q15" si="7">IF(F7="","",F7)</f>
        <v/>
      </c>
      <c r="R7" s="95" t="str">
        <f t="shared" ref="R7:R15" si="8">IF(G7="","",G7-0.161)</f>
        <v/>
      </c>
      <c r="S7" s="95" t="str">
        <f t="shared" ref="S7:S15" si="9">IF(I7="","",G7-0.161)</f>
        <v/>
      </c>
      <c r="T7" s="95">
        <f t="shared" ref="T7:T15" si="10">IF(F7&gt;40,G7-0.161,0)</f>
        <v>0</v>
      </c>
      <c r="U7" s="183">
        <f t="shared" ref="U7:U15" si="11">IF(F7&gt;40,ROUND(F7/40,0),0)</f>
        <v>0</v>
      </c>
      <c r="V7" s="95" t="str">
        <f t="shared" si="2"/>
        <v/>
      </c>
      <c r="W7" s="2" t="str">
        <f t="shared" ref="W7:W15" si="12">IF(F7="","",LOOKUP(G7,$G$65:$G$138,$F$65:$F$138))</f>
        <v/>
      </c>
      <c r="X7" s="2" t="str">
        <f t="shared" ref="X7:X15" si="13">IF(I7&lt;&gt;"",G7*0.6*(I7/12)*2,"")</f>
        <v/>
      </c>
      <c r="Y7" s="2" t="str">
        <f t="shared" ref="Y7:Y15" si="14">IF(I7="","",I7*8)</f>
        <v/>
      </c>
      <c r="Z7" s="2"/>
      <c r="AA7" s="31">
        <f t="shared" ref="AA7:AA15" si="15">F7*G7</f>
        <v>0</v>
      </c>
      <c r="AB7" s="31">
        <f t="shared" ref="AB7:AB15" si="16">(((F7*G7/144)*2)+(((F7/12)*2)*(1.5/12))+(((G7/12)*2)*(1.5/12)))</f>
        <v>0</v>
      </c>
      <c r="AC7" s="22">
        <f t="shared" ref="AC7:AC15" si="17">AA7/$AC$3*$AC$4</f>
        <v>0</v>
      </c>
      <c r="AD7" s="181">
        <f t="shared" ref="AD7:AD15" si="18">AB7*$AD$4</f>
        <v>0</v>
      </c>
      <c r="AE7" s="181">
        <f t="shared" ref="AE7:AE15" si="19">AB7*$AE$4</f>
        <v>0</v>
      </c>
      <c r="AF7" s="181">
        <f t="shared" ref="AF7:AF15" si="20">AB7*$AF$4</f>
        <v>0</v>
      </c>
      <c r="AG7" s="181">
        <f>IF(AB7=0,0,VLOOKUP(K7,'PAINT LABOR COSTS'!$B$27:$N$67,12,0)*AB7)*I7</f>
        <v>0</v>
      </c>
      <c r="AH7" s="181">
        <f t="shared" ref="AH7:AH15" si="21">AB7*$AH$4</f>
        <v>0</v>
      </c>
      <c r="AI7" s="104">
        <f t="shared" ref="AI7:AI15" si="22">IF(M7="DELIVERY",$M$77*I7,IF(M7="PICKUP",$M$73*I7,IF(M7="SHIP/CR",$M$75*I7,IF(M7="LCR",$M$81*I7,IF(M7="INSTALL",$M$79*I7,0)))))</f>
        <v>0</v>
      </c>
      <c r="AL7" t="s">
        <v>399</v>
      </c>
      <c r="AM7" t="s">
        <v>400</v>
      </c>
      <c r="AN7" s="30">
        <f>Parts!M115</f>
        <v>3.2655000000000003</v>
      </c>
      <c r="AP7" t="s">
        <v>401</v>
      </c>
    </row>
    <row r="8" spans="1:42">
      <c r="A8" s="188">
        <v>3</v>
      </c>
      <c r="B8" s="189" t="str">
        <f t="shared" si="3"/>
        <v/>
      </c>
      <c r="C8" s="189" t="str">
        <f t="shared" si="4"/>
        <v/>
      </c>
      <c r="D8" s="189" t="str">
        <f t="shared" si="5"/>
        <v/>
      </c>
      <c r="E8" s="2">
        <v>3</v>
      </c>
      <c r="F8" s="160"/>
      <c r="G8" s="284"/>
      <c r="H8" s="160"/>
      <c r="I8" s="160"/>
      <c r="K8" s="160"/>
      <c r="L8" s="2" t="str">
        <f>IFERROR(VLOOKUP(K8,'PAINT LABOR COSTS'!$B$27:$C$58,2,FALSE),"Pick Color")</f>
        <v>Pick Color</v>
      </c>
      <c r="M8" s="160"/>
      <c r="O8" s="42" t="str">
        <f t="shared" si="1"/>
        <v/>
      </c>
      <c r="P8" s="42" t="str">
        <f t="shared" si="6"/>
        <v/>
      </c>
      <c r="Q8" s="42" t="str">
        <f t="shared" si="7"/>
        <v/>
      </c>
      <c r="R8" s="95" t="str">
        <f t="shared" si="8"/>
        <v/>
      </c>
      <c r="S8" s="95" t="str">
        <f t="shared" si="9"/>
        <v/>
      </c>
      <c r="T8" s="95">
        <f t="shared" si="10"/>
        <v>0</v>
      </c>
      <c r="U8" s="183">
        <f t="shared" si="11"/>
        <v>0</v>
      </c>
      <c r="V8" s="95" t="str">
        <f t="shared" si="2"/>
        <v/>
      </c>
      <c r="W8" s="2" t="str">
        <f t="shared" si="12"/>
        <v/>
      </c>
      <c r="X8" s="2" t="str">
        <f t="shared" si="13"/>
        <v/>
      </c>
      <c r="Y8" s="2" t="str">
        <f t="shared" si="14"/>
        <v/>
      </c>
      <c r="Z8" s="2"/>
      <c r="AA8" s="31">
        <f t="shared" si="15"/>
        <v>0</v>
      </c>
      <c r="AB8" s="31">
        <f t="shared" si="16"/>
        <v>0</v>
      </c>
      <c r="AC8" s="22">
        <f t="shared" si="17"/>
        <v>0</v>
      </c>
      <c r="AD8" s="181">
        <f t="shared" si="18"/>
        <v>0</v>
      </c>
      <c r="AE8" s="181">
        <f t="shared" si="19"/>
        <v>0</v>
      </c>
      <c r="AF8" s="181">
        <f t="shared" si="20"/>
        <v>0</v>
      </c>
      <c r="AG8" s="181">
        <f>IF(AB8=0,0,VLOOKUP(K8,'PAINT LABOR COSTS'!$B$27:$N$67,12,0)*AB8)*I8</f>
        <v>0</v>
      </c>
      <c r="AH8" s="181">
        <f t="shared" si="21"/>
        <v>0</v>
      </c>
      <c r="AI8" s="104">
        <f t="shared" si="22"/>
        <v>0</v>
      </c>
      <c r="AL8" t="s">
        <v>402</v>
      </c>
      <c r="AM8" t="s">
        <v>403</v>
      </c>
      <c r="AN8" s="30">
        <f>Parts!M116</f>
        <v>2.3273999999999999</v>
      </c>
      <c r="AP8" t="s">
        <v>393</v>
      </c>
    </row>
    <row r="9" spans="1:42">
      <c r="A9" s="188">
        <v>4</v>
      </c>
      <c r="B9" s="189" t="str">
        <f t="shared" si="3"/>
        <v/>
      </c>
      <c r="C9" s="189" t="str">
        <f t="shared" si="4"/>
        <v/>
      </c>
      <c r="D9" s="189" t="str">
        <f t="shared" si="5"/>
        <v/>
      </c>
      <c r="E9" s="2">
        <v>4</v>
      </c>
      <c r="F9" s="160"/>
      <c r="G9" s="160"/>
      <c r="H9" s="160"/>
      <c r="I9" s="160"/>
      <c r="K9" s="160"/>
      <c r="L9" s="2" t="str">
        <f>IFERROR(VLOOKUP(K9,'PAINT LABOR COSTS'!$B$27:$C$58,2,FALSE),"Pick Color")</f>
        <v>Pick Color</v>
      </c>
      <c r="M9" s="160"/>
      <c r="O9" s="42" t="str">
        <f t="shared" si="1"/>
        <v/>
      </c>
      <c r="P9" s="42" t="str">
        <f t="shared" si="6"/>
        <v/>
      </c>
      <c r="Q9" s="42" t="str">
        <f t="shared" si="7"/>
        <v/>
      </c>
      <c r="R9" s="95" t="str">
        <f t="shared" si="8"/>
        <v/>
      </c>
      <c r="S9" s="95" t="str">
        <f t="shared" si="9"/>
        <v/>
      </c>
      <c r="T9" s="95">
        <f t="shared" si="10"/>
        <v>0</v>
      </c>
      <c r="U9" s="183">
        <f t="shared" si="11"/>
        <v>0</v>
      </c>
      <c r="V9" s="95" t="str">
        <f t="shared" si="2"/>
        <v/>
      </c>
      <c r="W9" s="2" t="str">
        <f t="shared" si="12"/>
        <v/>
      </c>
      <c r="X9" s="2" t="str">
        <f t="shared" si="13"/>
        <v/>
      </c>
      <c r="Y9" s="2" t="str">
        <f t="shared" si="14"/>
        <v/>
      </c>
      <c r="Z9" s="2"/>
      <c r="AA9" s="31">
        <f t="shared" si="15"/>
        <v>0</v>
      </c>
      <c r="AB9" s="31">
        <f t="shared" si="16"/>
        <v>0</v>
      </c>
      <c r="AC9" s="22">
        <f t="shared" si="17"/>
        <v>0</v>
      </c>
      <c r="AD9" s="181">
        <f t="shared" si="18"/>
        <v>0</v>
      </c>
      <c r="AE9" s="181">
        <f t="shared" si="19"/>
        <v>0</v>
      </c>
      <c r="AF9" s="181">
        <f t="shared" si="20"/>
        <v>0</v>
      </c>
      <c r="AG9" s="181">
        <f>IF(AB9=0,0,VLOOKUP(K9,'PAINT LABOR COSTS'!$B$27:$N$67,12,0)*AB9)*I9</f>
        <v>0</v>
      </c>
      <c r="AH9" s="181">
        <f t="shared" si="21"/>
        <v>0</v>
      </c>
      <c r="AI9" s="104">
        <f t="shared" si="22"/>
        <v>0</v>
      </c>
      <c r="AL9" t="s">
        <v>404</v>
      </c>
      <c r="AM9" t="s">
        <v>405</v>
      </c>
      <c r="AN9" s="30">
        <f>Parts!M117</f>
        <v>1.1800000000000002</v>
      </c>
      <c r="AP9" t="s">
        <v>406</v>
      </c>
    </row>
    <row r="10" spans="1:42">
      <c r="A10" s="188">
        <v>5</v>
      </c>
      <c r="B10" s="189" t="str">
        <f t="shared" si="3"/>
        <v/>
      </c>
      <c r="C10" s="189" t="str">
        <f t="shared" si="4"/>
        <v/>
      </c>
      <c r="D10" s="189" t="str">
        <f t="shared" si="5"/>
        <v/>
      </c>
      <c r="E10" s="2">
        <v>5</v>
      </c>
      <c r="F10" s="160"/>
      <c r="G10" s="160"/>
      <c r="H10" s="160"/>
      <c r="I10" s="160"/>
      <c r="K10" s="160"/>
      <c r="L10" s="2" t="str">
        <f>IFERROR(VLOOKUP(K10,'PAINT LABOR COSTS'!$B$27:$C$58,2,FALSE),"Pick Color")</f>
        <v>Pick Color</v>
      </c>
      <c r="M10" s="160"/>
      <c r="O10" s="42" t="str">
        <f t="shared" si="1"/>
        <v/>
      </c>
      <c r="P10" s="42" t="str">
        <f t="shared" si="6"/>
        <v/>
      </c>
      <c r="Q10" s="42" t="str">
        <f t="shared" si="7"/>
        <v/>
      </c>
      <c r="R10" s="95" t="str">
        <f t="shared" si="8"/>
        <v/>
      </c>
      <c r="S10" s="95" t="str">
        <f t="shared" si="9"/>
        <v/>
      </c>
      <c r="T10" s="95">
        <f t="shared" si="10"/>
        <v>0</v>
      </c>
      <c r="U10" s="183">
        <f t="shared" si="11"/>
        <v>0</v>
      </c>
      <c r="V10" s="95" t="str">
        <f t="shared" si="2"/>
        <v/>
      </c>
      <c r="W10" s="2" t="str">
        <f t="shared" si="12"/>
        <v/>
      </c>
      <c r="X10" s="2" t="str">
        <f t="shared" si="13"/>
        <v/>
      </c>
      <c r="Y10" s="2" t="str">
        <f t="shared" si="14"/>
        <v/>
      </c>
      <c r="Z10" s="2"/>
      <c r="AA10" s="31">
        <f t="shared" si="15"/>
        <v>0</v>
      </c>
      <c r="AB10" s="31">
        <f t="shared" si="16"/>
        <v>0</v>
      </c>
      <c r="AC10" s="22">
        <f t="shared" si="17"/>
        <v>0</v>
      </c>
      <c r="AD10" s="181">
        <f t="shared" si="18"/>
        <v>0</v>
      </c>
      <c r="AE10" s="181">
        <f t="shared" si="19"/>
        <v>0</v>
      </c>
      <c r="AF10" s="181">
        <f t="shared" si="20"/>
        <v>0</v>
      </c>
      <c r="AG10" s="181">
        <f>IF(AB10=0,0,VLOOKUP(K10,'PAINT LABOR COSTS'!$B$27:$N$67,12,0)*AB10)*I10</f>
        <v>0</v>
      </c>
      <c r="AH10" s="181">
        <f t="shared" si="21"/>
        <v>0</v>
      </c>
      <c r="AI10" s="104">
        <f t="shared" si="22"/>
        <v>0</v>
      </c>
      <c r="AL10" t="s">
        <v>407</v>
      </c>
      <c r="AM10" t="s">
        <v>408</v>
      </c>
      <c r="AN10" s="30">
        <f>Parts!M118</f>
        <v>6.3838000000000008</v>
      </c>
      <c r="AP10" t="s">
        <v>401</v>
      </c>
    </row>
    <row r="11" spans="1:42">
      <c r="A11" s="188">
        <v>6</v>
      </c>
      <c r="B11" s="189" t="str">
        <f t="shared" si="3"/>
        <v/>
      </c>
      <c r="C11" s="189" t="str">
        <f t="shared" si="4"/>
        <v/>
      </c>
      <c r="D11" s="189" t="str">
        <f t="shared" si="5"/>
        <v/>
      </c>
      <c r="E11" s="2">
        <v>6</v>
      </c>
      <c r="F11" s="160"/>
      <c r="G11" s="160"/>
      <c r="H11" s="160"/>
      <c r="I11" s="160"/>
      <c r="K11" s="160"/>
      <c r="L11" s="2" t="str">
        <f>IFERROR(VLOOKUP(K11,'PAINT LABOR COSTS'!$B$27:$C$58,2,FALSE),"Pick Color")</f>
        <v>Pick Color</v>
      </c>
      <c r="M11" s="160"/>
      <c r="O11" s="42" t="str">
        <f t="shared" si="1"/>
        <v/>
      </c>
      <c r="P11" s="42" t="str">
        <f t="shared" si="6"/>
        <v/>
      </c>
      <c r="Q11" s="42" t="str">
        <f t="shared" si="7"/>
        <v/>
      </c>
      <c r="R11" s="95" t="str">
        <f t="shared" si="8"/>
        <v/>
      </c>
      <c r="S11" s="95" t="str">
        <f t="shared" si="9"/>
        <v/>
      </c>
      <c r="T11" s="95">
        <f t="shared" si="10"/>
        <v>0</v>
      </c>
      <c r="U11" s="183">
        <f t="shared" si="11"/>
        <v>0</v>
      </c>
      <c r="V11" s="95" t="str">
        <f t="shared" si="2"/>
        <v/>
      </c>
      <c r="W11" s="2" t="str">
        <f t="shared" si="12"/>
        <v/>
      </c>
      <c r="X11" s="2" t="str">
        <f t="shared" si="13"/>
        <v/>
      </c>
      <c r="Y11" s="2" t="str">
        <f t="shared" si="14"/>
        <v/>
      </c>
      <c r="Z11" s="2"/>
      <c r="AA11" s="31">
        <f t="shared" si="15"/>
        <v>0</v>
      </c>
      <c r="AB11" s="31">
        <f t="shared" si="16"/>
        <v>0</v>
      </c>
      <c r="AC11" s="22">
        <f t="shared" si="17"/>
        <v>0</v>
      </c>
      <c r="AD11" s="181">
        <f t="shared" si="18"/>
        <v>0</v>
      </c>
      <c r="AE11" s="181">
        <f t="shared" si="19"/>
        <v>0</v>
      </c>
      <c r="AF11" s="181">
        <f t="shared" si="20"/>
        <v>0</v>
      </c>
      <c r="AG11" s="181">
        <f>IF(AB11=0,0,VLOOKUP(K11,'PAINT LABOR COSTS'!$B$27:$N$67,12,0)*AB11)*I11</f>
        <v>0</v>
      </c>
      <c r="AH11" s="181">
        <f t="shared" si="21"/>
        <v>0</v>
      </c>
      <c r="AI11" s="104">
        <f t="shared" si="22"/>
        <v>0</v>
      </c>
      <c r="AL11" t="s">
        <v>409</v>
      </c>
      <c r="AM11" t="s">
        <v>410</v>
      </c>
      <c r="AN11" s="30">
        <f>Parts!M119</f>
        <v>6.3838000000000008</v>
      </c>
      <c r="AP11" t="s">
        <v>401</v>
      </c>
    </row>
    <row r="12" spans="1:42">
      <c r="A12" s="188">
        <v>7</v>
      </c>
      <c r="B12" s="189" t="str">
        <f t="shared" si="3"/>
        <v/>
      </c>
      <c r="C12" s="189" t="str">
        <f t="shared" si="4"/>
        <v/>
      </c>
      <c r="D12" s="189" t="str">
        <f t="shared" si="5"/>
        <v/>
      </c>
      <c r="E12" s="2">
        <v>7</v>
      </c>
      <c r="F12" s="160"/>
      <c r="G12" s="160"/>
      <c r="H12" s="160"/>
      <c r="I12" s="160"/>
      <c r="K12" s="160"/>
      <c r="L12" s="2" t="str">
        <f>IFERROR(VLOOKUP(K12,'PAINT LABOR COSTS'!$B$27:$C$58,2,FALSE),"Pick Color")</f>
        <v>Pick Color</v>
      </c>
      <c r="M12" s="160"/>
      <c r="O12" s="42" t="str">
        <f t="shared" si="1"/>
        <v/>
      </c>
      <c r="P12" s="42" t="str">
        <f t="shared" si="6"/>
        <v/>
      </c>
      <c r="Q12" s="42" t="str">
        <f t="shared" si="7"/>
        <v/>
      </c>
      <c r="R12" s="95" t="str">
        <f t="shared" si="8"/>
        <v/>
      </c>
      <c r="S12" s="95" t="str">
        <f t="shared" si="9"/>
        <v/>
      </c>
      <c r="T12" s="95">
        <f t="shared" si="10"/>
        <v>0</v>
      </c>
      <c r="U12" s="183">
        <f t="shared" si="11"/>
        <v>0</v>
      </c>
      <c r="V12" s="95" t="str">
        <f t="shared" si="2"/>
        <v/>
      </c>
      <c r="W12" s="2" t="str">
        <f t="shared" si="12"/>
        <v/>
      </c>
      <c r="X12" s="2" t="str">
        <f t="shared" si="13"/>
        <v/>
      </c>
      <c r="Y12" s="2" t="str">
        <f t="shared" si="14"/>
        <v/>
      </c>
      <c r="Z12" s="2"/>
      <c r="AA12" s="31">
        <f t="shared" si="15"/>
        <v>0</v>
      </c>
      <c r="AB12" s="31">
        <f t="shared" si="16"/>
        <v>0</v>
      </c>
      <c r="AC12" s="22">
        <f t="shared" si="17"/>
        <v>0</v>
      </c>
      <c r="AD12" s="181">
        <f t="shared" si="18"/>
        <v>0</v>
      </c>
      <c r="AE12" s="181">
        <f t="shared" si="19"/>
        <v>0</v>
      </c>
      <c r="AF12" s="181">
        <f t="shared" si="20"/>
        <v>0</v>
      </c>
      <c r="AG12" s="181">
        <f>IF(AB12=0,0,VLOOKUP(K12,'PAINT LABOR COSTS'!$B$27:$N$67,12,0)*AB12)*I12</f>
        <v>0</v>
      </c>
      <c r="AH12" s="181">
        <f t="shared" si="21"/>
        <v>0</v>
      </c>
      <c r="AI12" s="104">
        <f t="shared" si="22"/>
        <v>0</v>
      </c>
      <c r="AL12" t="s">
        <v>411</v>
      </c>
      <c r="AM12" t="s">
        <v>412</v>
      </c>
      <c r="AP12" t="s">
        <v>393</v>
      </c>
    </row>
    <row r="13" spans="1:42">
      <c r="A13" s="188">
        <v>8</v>
      </c>
      <c r="B13" s="189" t="str">
        <f t="shared" si="3"/>
        <v/>
      </c>
      <c r="C13" s="189" t="str">
        <f t="shared" si="4"/>
        <v/>
      </c>
      <c r="D13" s="189" t="str">
        <f t="shared" si="5"/>
        <v/>
      </c>
      <c r="E13" s="2">
        <v>8</v>
      </c>
      <c r="F13" s="160"/>
      <c r="G13" s="160"/>
      <c r="H13" s="160"/>
      <c r="I13" s="160"/>
      <c r="K13" s="160"/>
      <c r="L13" s="2" t="str">
        <f>IFERROR(VLOOKUP(K13,'PAINT LABOR COSTS'!$B$27:$C$58,2,FALSE),"Pick Color")</f>
        <v>Pick Color</v>
      </c>
      <c r="M13" s="160"/>
      <c r="O13" s="42" t="str">
        <f t="shared" si="1"/>
        <v/>
      </c>
      <c r="P13" s="42" t="str">
        <f t="shared" si="6"/>
        <v/>
      </c>
      <c r="Q13" s="42" t="str">
        <f t="shared" si="7"/>
        <v/>
      </c>
      <c r="R13" s="95" t="str">
        <f t="shared" si="8"/>
        <v/>
      </c>
      <c r="S13" s="95" t="str">
        <f t="shared" si="9"/>
        <v/>
      </c>
      <c r="T13" s="95">
        <f t="shared" si="10"/>
        <v>0</v>
      </c>
      <c r="U13" s="183">
        <f t="shared" si="11"/>
        <v>0</v>
      </c>
      <c r="V13" s="95" t="str">
        <f t="shared" si="2"/>
        <v/>
      </c>
      <c r="W13" s="2" t="str">
        <f t="shared" si="12"/>
        <v/>
      </c>
      <c r="X13" s="2" t="str">
        <f t="shared" si="13"/>
        <v/>
      </c>
      <c r="Y13" s="2" t="str">
        <f t="shared" si="14"/>
        <v/>
      </c>
      <c r="Z13" s="2"/>
      <c r="AA13" s="31">
        <f t="shared" si="15"/>
        <v>0</v>
      </c>
      <c r="AB13" s="31">
        <f t="shared" si="16"/>
        <v>0</v>
      </c>
      <c r="AC13" s="22">
        <f t="shared" si="17"/>
        <v>0</v>
      </c>
      <c r="AD13" s="181">
        <f t="shared" si="18"/>
        <v>0</v>
      </c>
      <c r="AE13" s="181">
        <f t="shared" si="19"/>
        <v>0</v>
      </c>
      <c r="AF13" s="181">
        <f t="shared" si="20"/>
        <v>0</v>
      </c>
      <c r="AG13" s="181">
        <f>IF(AB13=0,0,VLOOKUP(K13,'PAINT LABOR COSTS'!$B$27:$N$67,12,0)*AB13)*I13</f>
        <v>0</v>
      </c>
      <c r="AH13" s="181">
        <f t="shared" si="21"/>
        <v>0</v>
      </c>
      <c r="AI13" s="104">
        <f t="shared" si="22"/>
        <v>0</v>
      </c>
      <c r="AL13" t="s">
        <v>413</v>
      </c>
      <c r="AM13" s="69" t="s">
        <v>414</v>
      </c>
      <c r="AN13" s="30">
        <f>Parts!M149</f>
        <v>9.4282000000000005E-2</v>
      </c>
    </row>
    <row r="14" spans="1:42">
      <c r="A14" s="188">
        <v>9</v>
      </c>
      <c r="B14" s="189" t="str">
        <f t="shared" si="3"/>
        <v/>
      </c>
      <c r="C14" s="189" t="str">
        <f t="shared" si="4"/>
        <v/>
      </c>
      <c r="D14" s="189" t="str">
        <f t="shared" si="5"/>
        <v/>
      </c>
      <c r="E14" s="2">
        <v>9</v>
      </c>
      <c r="F14" s="160"/>
      <c r="G14" s="160"/>
      <c r="H14" s="160"/>
      <c r="I14" s="160"/>
      <c r="K14" s="160"/>
      <c r="L14" s="2" t="str">
        <f>IFERROR(VLOOKUP(K14,'PAINT LABOR COSTS'!$B$27:$C$58,2,FALSE),"Pick Color")</f>
        <v>Pick Color</v>
      </c>
      <c r="M14" s="160"/>
      <c r="O14" s="42" t="str">
        <f t="shared" si="1"/>
        <v/>
      </c>
      <c r="P14" s="42" t="str">
        <f t="shared" si="6"/>
        <v/>
      </c>
      <c r="Q14" s="42" t="str">
        <f t="shared" si="7"/>
        <v/>
      </c>
      <c r="R14" s="95" t="str">
        <f t="shared" si="8"/>
        <v/>
      </c>
      <c r="S14" s="95" t="str">
        <f t="shared" si="9"/>
        <v/>
      </c>
      <c r="T14" s="95">
        <f t="shared" si="10"/>
        <v>0</v>
      </c>
      <c r="U14" s="183">
        <f t="shared" si="11"/>
        <v>0</v>
      </c>
      <c r="V14" s="95" t="str">
        <f t="shared" si="2"/>
        <v/>
      </c>
      <c r="W14" s="2" t="str">
        <f t="shared" si="12"/>
        <v/>
      </c>
      <c r="X14" s="2" t="str">
        <f t="shared" si="13"/>
        <v/>
      </c>
      <c r="Y14" s="2" t="str">
        <f t="shared" si="14"/>
        <v/>
      </c>
      <c r="Z14" s="2"/>
      <c r="AA14" s="31">
        <f t="shared" si="15"/>
        <v>0</v>
      </c>
      <c r="AB14" s="31">
        <f t="shared" si="16"/>
        <v>0</v>
      </c>
      <c r="AC14" s="22">
        <f t="shared" si="17"/>
        <v>0</v>
      </c>
      <c r="AD14" s="181">
        <f t="shared" si="18"/>
        <v>0</v>
      </c>
      <c r="AE14" s="181">
        <f t="shared" si="19"/>
        <v>0</v>
      </c>
      <c r="AF14" s="181">
        <f t="shared" si="20"/>
        <v>0</v>
      </c>
      <c r="AG14" s="181">
        <f>IF(AB14=0,0,VLOOKUP(K14,'PAINT LABOR COSTS'!$B$27:$N$67,12,0)*AB14)*I14</f>
        <v>0</v>
      </c>
      <c r="AH14" s="181">
        <f t="shared" si="21"/>
        <v>0</v>
      </c>
      <c r="AI14" s="104">
        <f t="shared" si="22"/>
        <v>0</v>
      </c>
      <c r="AL14" t="s">
        <v>415</v>
      </c>
      <c r="AM14" s="2" t="s">
        <v>403</v>
      </c>
      <c r="AN14" s="30">
        <f>Parts!M116</f>
        <v>2.3273999999999999</v>
      </c>
      <c r="AP14" t="s">
        <v>416</v>
      </c>
    </row>
    <row r="15" spans="1:42">
      <c r="A15" s="188">
        <v>10</v>
      </c>
      <c r="B15" s="189" t="str">
        <f t="shared" si="3"/>
        <v/>
      </c>
      <c r="C15" s="189" t="str">
        <f t="shared" si="4"/>
        <v/>
      </c>
      <c r="D15" s="189" t="str">
        <f t="shared" si="5"/>
        <v/>
      </c>
      <c r="E15" s="2">
        <v>10</v>
      </c>
      <c r="F15" s="160"/>
      <c r="G15" s="160"/>
      <c r="H15" s="160"/>
      <c r="I15" s="160"/>
      <c r="K15" s="160"/>
      <c r="L15" s="2" t="str">
        <f>IFERROR(VLOOKUP(K15,'PAINT LABOR COSTS'!$B$27:$C$58,2,FALSE),"Pick Color")</f>
        <v>Pick Color</v>
      </c>
      <c r="M15" s="160"/>
      <c r="O15" s="42" t="str">
        <f t="shared" si="1"/>
        <v/>
      </c>
      <c r="P15" s="42" t="str">
        <f t="shared" si="6"/>
        <v/>
      </c>
      <c r="Q15" s="42" t="str">
        <f t="shared" si="7"/>
        <v/>
      </c>
      <c r="R15" s="95" t="str">
        <f t="shared" si="8"/>
        <v/>
      </c>
      <c r="S15" s="95" t="str">
        <f t="shared" si="9"/>
        <v/>
      </c>
      <c r="T15" s="95">
        <f t="shared" si="10"/>
        <v>0</v>
      </c>
      <c r="U15" s="183">
        <f t="shared" si="11"/>
        <v>0</v>
      </c>
      <c r="V15" s="95" t="str">
        <f t="shared" si="2"/>
        <v/>
      </c>
      <c r="W15" s="2" t="str">
        <f t="shared" si="12"/>
        <v/>
      </c>
      <c r="X15" s="2" t="str">
        <f t="shared" si="13"/>
        <v/>
      </c>
      <c r="Y15" s="2" t="str">
        <f t="shared" si="14"/>
        <v/>
      </c>
      <c r="Z15" s="2"/>
      <c r="AA15" s="31">
        <f t="shared" si="15"/>
        <v>0</v>
      </c>
      <c r="AB15" s="31">
        <f t="shared" si="16"/>
        <v>0</v>
      </c>
      <c r="AC15" s="22">
        <f t="shared" si="17"/>
        <v>0</v>
      </c>
      <c r="AD15" s="181">
        <f t="shared" si="18"/>
        <v>0</v>
      </c>
      <c r="AE15" s="181">
        <f t="shared" si="19"/>
        <v>0</v>
      </c>
      <c r="AF15" s="181">
        <f t="shared" si="20"/>
        <v>0</v>
      </c>
      <c r="AG15" s="181">
        <f>IF(AB15=0,0,VLOOKUP(K15,'PAINT LABOR COSTS'!$B$27:$N$67,12,0)*AB15)*I15</f>
        <v>0</v>
      </c>
      <c r="AH15" s="181">
        <f t="shared" si="21"/>
        <v>0</v>
      </c>
      <c r="AI15" s="104">
        <f t="shared" si="22"/>
        <v>0</v>
      </c>
      <c r="AL15" t="s">
        <v>417</v>
      </c>
      <c r="AN15" s="30">
        <f>Parts!M132+Parts!M133*1.2</f>
        <v>1.8195600000000001</v>
      </c>
    </row>
    <row r="18" spans="1:35">
      <c r="B18" s="303"/>
      <c r="C18" s="303"/>
      <c r="D18" s="303"/>
    </row>
    <row r="19" spans="1:35">
      <c r="B19" s="190">
        <f>IF(I6="","",1-I20/B6)</f>
        <v>0.19999999999999996</v>
      </c>
      <c r="C19" s="190">
        <f>IF(I6="","",1-I20/C6)</f>
        <v>0.2592592592592593</v>
      </c>
      <c r="D19" s="190">
        <f>IF(I6="","",1-I20/D6)</f>
        <v>0.30069930069930073</v>
      </c>
      <c r="G19" s="2" t="s">
        <v>418</v>
      </c>
      <c r="I19" s="2" t="s">
        <v>177</v>
      </c>
    </row>
    <row r="20" spans="1:35">
      <c r="A20" s="188">
        <v>1</v>
      </c>
      <c r="B20" s="270">
        <f>IF(I6&lt;&gt;"",B6/(F6*G6*I6/144),"")</f>
        <v>40.841201999854164</v>
      </c>
      <c r="C20" s="270">
        <f>IF(I6&lt;&gt;"",C6/(F6*G6*I6/144),"")</f>
        <v>44.108498159842497</v>
      </c>
      <c r="D20" s="270">
        <f>IF(I6&lt;&gt;"",D6/(F6*G6*I6/144),"")</f>
        <v>46.722335087833166</v>
      </c>
      <c r="E20" s="2">
        <v>1</v>
      </c>
      <c r="G20" s="271">
        <f>IF(I6&lt;&gt;"",I20/(F6*G6*I6/144),"")</f>
        <v>32.67296159988333</v>
      </c>
      <c r="H20" s="31"/>
      <c r="I20" s="271">
        <f>IF(I6="","",SUM(O20:Z20)+SUM(AC6:AI6))</f>
        <v>1517.5059118070812</v>
      </c>
      <c r="J20" s="31"/>
      <c r="K20" s="31"/>
      <c r="L20" s="31"/>
      <c r="M20" s="31"/>
      <c r="N20" s="31"/>
      <c r="O20" s="30" t="str">
        <f t="shared" ref="O20:O29" si="23">IF(H6="NO",I6*O6*($AN$5/12),"")</f>
        <v/>
      </c>
      <c r="P20" s="30">
        <f>IF(H6="YES",(I6*P6/12)*$AN$8,"")</f>
        <v>16.873649999999998</v>
      </c>
      <c r="Q20" s="30">
        <f>IF(F6="","",(I6*Q6/12)*$AN$5)</f>
        <v>19.611250000000002</v>
      </c>
      <c r="R20">
        <f>IF(I6="","",(I6*R6/12)*$AN$10)</f>
        <v>40.810569433333335</v>
      </c>
      <c r="S20">
        <f>IF(I6="","",(I6*S6/12)*$AN$11)</f>
        <v>40.810569433333335</v>
      </c>
      <c r="T20" s="30">
        <f>IF(G6="","",(T6*U6/12)*$AN$7)</f>
        <v>41.751594500000003</v>
      </c>
      <c r="U20" s="182"/>
      <c r="V20" s="30">
        <f>IF(F6&lt;&gt;"",(V6*W6/12)*$AN$9*I6,"")</f>
        <v>349.89360000000005</v>
      </c>
      <c r="W20" s="182"/>
      <c r="X20" s="31">
        <f>IF(X6&lt;&gt;"",X6*$AN$15,"")</f>
        <v>13.9878675</v>
      </c>
      <c r="Y20" s="30">
        <f>IF(I6="","",Y6*$AN$13)</f>
        <v>0.75425600000000004</v>
      </c>
      <c r="Z20" s="30"/>
      <c r="AA20" s="30"/>
      <c r="AB20" s="30"/>
      <c r="AC20" s="30"/>
      <c r="AD20" s="30"/>
      <c r="AE20" s="30"/>
      <c r="AF20" s="30"/>
      <c r="AG20" s="30"/>
      <c r="AH20" s="30"/>
      <c r="AI20" s="30"/>
    </row>
    <row r="21" spans="1:35">
      <c r="A21" s="188">
        <v>2</v>
      </c>
      <c r="B21" s="270" t="str">
        <f t="shared" ref="B21:B29" si="24">IF(I7&lt;&gt;"",B7/(F7*G7*I7/144),"")</f>
        <v/>
      </c>
      <c r="C21" s="270" t="str">
        <f t="shared" ref="C21:C29" si="25">IF(I7&lt;&gt;"",C7/(F7*G7*I7/144),"")</f>
        <v/>
      </c>
      <c r="D21" s="270" t="str">
        <f t="shared" ref="D21:D29" si="26">IF(I7&lt;&gt;"",D7/(F7*G7*I7/144),"")</f>
        <v/>
      </c>
      <c r="E21" s="2">
        <v>2</v>
      </c>
      <c r="G21" s="271" t="str">
        <f t="shared" ref="G21:G29" si="27">IF(I7&lt;&gt;"",I21/(F7*G7*I7/144),"")</f>
        <v/>
      </c>
      <c r="H21" s="31"/>
      <c r="I21" s="271" t="str">
        <f>IF(I7="","",SUM(O21:Z21)+SUM(AC7:AI7))</f>
        <v/>
      </c>
      <c r="J21" s="31"/>
      <c r="K21" s="31"/>
      <c r="L21" s="31"/>
      <c r="M21" s="31"/>
      <c r="N21" s="31"/>
      <c r="O21" s="30" t="str">
        <f t="shared" si="23"/>
        <v/>
      </c>
      <c r="P21" s="30" t="str">
        <f t="shared" ref="P21:P29" si="28">IF(H7="YES",I7*P7*(($AN$5+$AN$8)/12),"")</f>
        <v/>
      </c>
      <c r="Q21" s="30" t="str">
        <f t="shared" ref="Q21:Q29" si="29">IF(F7="","",I7*Q7*($AN$5/12))</f>
        <v/>
      </c>
      <c r="R21" t="str">
        <f t="shared" ref="R21:R29" si="30">IF(I7="","",(I7*R7/12)*$AN$10)</f>
        <v/>
      </c>
      <c r="S21" t="str">
        <f t="shared" ref="S21:S29" si="31">IF(I7="","",(I7*S7/12)*$AN$11)</f>
        <v/>
      </c>
      <c r="T21" s="30" t="str">
        <f t="shared" ref="T21:T29" si="32">IF(G7="","",(T7*U7/12)*$AN$7)</f>
        <v/>
      </c>
      <c r="U21" s="182"/>
      <c r="V21" s="30" t="str">
        <f t="shared" ref="V21:V29" si="33">IF(F7&lt;&gt;"",(V7*W7/12)*$AN$9*I7,"")</f>
        <v/>
      </c>
      <c r="W21" s="272"/>
      <c r="X21" s="31" t="str">
        <f t="shared" ref="X21:X29" si="34">IF(X7&lt;&gt;"",X7*$AN$15,"")</f>
        <v/>
      </c>
      <c r="Y21" s="30" t="str">
        <f t="shared" ref="Y21:Y29" si="35">IF(I7="","",Y7*$AN$13)</f>
        <v/>
      </c>
      <c r="Z21" s="30"/>
      <c r="AA21" s="30"/>
      <c r="AB21" s="30"/>
      <c r="AC21" s="30"/>
      <c r="AD21" s="30"/>
      <c r="AE21" s="30"/>
      <c r="AF21" s="30"/>
      <c r="AG21" s="30"/>
      <c r="AH21" s="30"/>
      <c r="AI21" s="30"/>
    </row>
    <row r="22" spans="1:35">
      <c r="A22" s="188">
        <v>3</v>
      </c>
      <c r="B22" s="270" t="str">
        <f t="shared" si="24"/>
        <v/>
      </c>
      <c r="C22" s="270" t="str">
        <f t="shared" si="25"/>
        <v/>
      </c>
      <c r="D22" s="270" t="str">
        <f t="shared" si="26"/>
        <v/>
      </c>
      <c r="E22" s="2">
        <v>3</v>
      </c>
      <c r="G22" s="271" t="str">
        <f t="shared" si="27"/>
        <v/>
      </c>
      <c r="H22" s="31"/>
      <c r="I22" s="271" t="str">
        <f t="shared" ref="I22:I29" si="36">IF(I8="","",SUM(O22:Z22)+SUM(AC8:AI8))</f>
        <v/>
      </c>
      <c r="J22" s="31"/>
      <c r="K22" s="31"/>
      <c r="L22" s="31"/>
      <c r="M22" s="31"/>
      <c r="N22" s="31"/>
      <c r="O22" s="30" t="str">
        <f t="shared" si="23"/>
        <v/>
      </c>
      <c r="P22" s="30" t="str">
        <f t="shared" si="28"/>
        <v/>
      </c>
      <c r="Q22" s="30" t="str">
        <f t="shared" si="29"/>
        <v/>
      </c>
      <c r="R22" t="str">
        <f t="shared" si="30"/>
        <v/>
      </c>
      <c r="S22" t="str">
        <f t="shared" si="31"/>
        <v/>
      </c>
      <c r="T22" s="30" t="str">
        <f t="shared" si="32"/>
        <v/>
      </c>
      <c r="U22" s="182"/>
      <c r="V22" s="30" t="str">
        <f t="shared" si="33"/>
        <v/>
      </c>
      <c r="W22" s="272"/>
      <c r="X22" s="31" t="str">
        <f t="shared" si="34"/>
        <v/>
      </c>
      <c r="Y22" s="30" t="str">
        <f t="shared" si="35"/>
        <v/>
      </c>
      <c r="Z22" s="30"/>
      <c r="AA22" s="30"/>
      <c r="AB22" s="30"/>
      <c r="AC22" s="30"/>
      <c r="AD22" s="30"/>
      <c r="AE22" s="30"/>
      <c r="AF22" s="30"/>
      <c r="AG22" s="30"/>
      <c r="AH22" s="30"/>
      <c r="AI22" s="30"/>
    </row>
    <row r="23" spans="1:35">
      <c r="A23" s="188">
        <v>4</v>
      </c>
      <c r="B23" s="270" t="str">
        <f t="shared" si="24"/>
        <v/>
      </c>
      <c r="C23" s="270" t="str">
        <f t="shared" si="25"/>
        <v/>
      </c>
      <c r="D23" s="270" t="str">
        <f t="shared" si="26"/>
        <v/>
      </c>
      <c r="E23" s="2">
        <v>4</v>
      </c>
      <c r="G23" s="271" t="str">
        <f t="shared" si="27"/>
        <v/>
      </c>
      <c r="H23" s="31"/>
      <c r="I23" s="271" t="str">
        <f t="shared" si="36"/>
        <v/>
      </c>
      <c r="J23" s="31"/>
      <c r="K23" s="31"/>
      <c r="L23" s="31"/>
      <c r="M23" s="31"/>
      <c r="N23" s="31"/>
      <c r="O23" s="30" t="str">
        <f t="shared" si="23"/>
        <v/>
      </c>
      <c r="P23" s="30" t="str">
        <f t="shared" si="28"/>
        <v/>
      </c>
      <c r="Q23" s="30" t="str">
        <f t="shared" si="29"/>
        <v/>
      </c>
      <c r="R23" t="str">
        <f t="shared" si="30"/>
        <v/>
      </c>
      <c r="S23" t="str">
        <f t="shared" si="31"/>
        <v/>
      </c>
      <c r="T23" s="30" t="str">
        <f t="shared" si="32"/>
        <v/>
      </c>
      <c r="U23" s="182"/>
      <c r="V23" s="30" t="str">
        <f t="shared" si="33"/>
        <v/>
      </c>
      <c r="W23" s="272"/>
      <c r="X23" s="31" t="str">
        <f t="shared" si="34"/>
        <v/>
      </c>
      <c r="Y23" s="30" t="str">
        <f t="shared" si="35"/>
        <v/>
      </c>
      <c r="Z23" s="30"/>
      <c r="AA23" s="30"/>
      <c r="AB23" s="30"/>
      <c r="AC23" s="30"/>
      <c r="AD23" s="30"/>
      <c r="AE23" s="30"/>
      <c r="AF23" s="30"/>
      <c r="AG23" s="30"/>
      <c r="AH23" s="30"/>
      <c r="AI23" s="30"/>
    </row>
    <row r="24" spans="1:35">
      <c r="A24" s="188">
        <v>5</v>
      </c>
      <c r="B24" s="270" t="str">
        <f t="shared" si="24"/>
        <v/>
      </c>
      <c r="C24" s="270" t="str">
        <f t="shared" si="25"/>
        <v/>
      </c>
      <c r="D24" s="270" t="str">
        <f t="shared" si="26"/>
        <v/>
      </c>
      <c r="E24" s="2">
        <v>5</v>
      </c>
      <c r="G24" s="271" t="str">
        <f t="shared" si="27"/>
        <v/>
      </c>
      <c r="H24" s="31"/>
      <c r="I24" s="271" t="str">
        <f t="shared" si="36"/>
        <v/>
      </c>
      <c r="J24" s="31"/>
      <c r="K24" s="31"/>
      <c r="L24" s="31"/>
      <c r="M24" s="31"/>
      <c r="N24" s="31"/>
      <c r="O24" s="30" t="str">
        <f t="shared" si="23"/>
        <v/>
      </c>
      <c r="P24" s="30" t="str">
        <f t="shared" si="28"/>
        <v/>
      </c>
      <c r="Q24" s="30" t="str">
        <f t="shared" si="29"/>
        <v/>
      </c>
      <c r="R24" t="str">
        <f t="shared" si="30"/>
        <v/>
      </c>
      <c r="S24" t="str">
        <f t="shared" si="31"/>
        <v/>
      </c>
      <c r="T24" s="30" t="str">
        <f t="shared" si="32"/>
        <v/>
      </c>
      <c r="U24" s="182"/>
      <c r="V24" s="30" t="str">
        <f t="shared" si="33"/>
        <v/>
      </c>
      <c r="W24" s="272"/>
      <c r="X24" s="31" t="str">
        <f t="shared" si="34"/>
        <v/>
      </c>
      <c r="Y24" s="30" t="str">
        <f t="shared" si="35"/>
        <v/>
      </c>
      <c r="Z24" s="30"/>
      <c r="AA24" s="30"/>
      <c r="AB24" s="30"/>
      <c r="AC24" s="30"/>
      <c r="AD24" s="30"/>
      <c r="AE24" s="30"/>
      <c r="AF24" s="30"/>
      <c r="AG24" s="30"/>
      <c r="AH24" s="30"/>
      <c r="AI24" s="30"/>
    </row>
    <row r="25" spans="1:35">
      <c r="A25" s="188">
        <v>6</v>
      </c>
      <c r="B25" s="270" t="str">
        <f t="shared" si="24"/>
        <v/>
      </c>
      <c r="C25" s="270" t="str">
        <f t="shared" si="25"/>
        <v/>
      </c>
      <c r="D25" s="270" t="str">
        <f t="shared" si="26"/>
        <v/>
      </c>
      <c r="E25" s="2">
        <v>6</v>
      </c>
      <c r="G25" s="271" t="str">
        <f t="shared" si="27"/>
        <v/>
      </c>
      <c r="H25" s="31"/>
      <c r="I25" s="271" t="str">
        <f t="shared" si="36"/>
        <v/>
      </c>
      <c r="J25" s="31"/>
      <c r="K25" s="31"/>
      <c r="L25" s="31"/>
      <c r="M25" s="31"/>
      <c r="N25" s="31"/>
      <c r="O25" s="30" t="str">
        <f t="shared" si="23"/>
        <v/>
      </c>
      <c r="P25" s="30" t="str">
        <f t="shared" si="28"/>
        <v/>
      </c>
      <c r="Q25" s="30" t="str">
        <f t="shared" si="29"/>
        <v/>
      </c>
      <c r="R25" t="str">
        <f t="shared" si="30"/>
        <v/>
      </c>
      <c r="S25" t="str">
        <f t="shared" si="31"/>
        <v/>
      </c>
      <c r="T25" s="30" t="str">
        <f t="shared" si="32"/>
        <v/>
      </c>
      <c r="U25" s="182"/>
      <c r="V25" s="30" t="str">
        <f t="shared" si="33"/>
        <v/>
      </c>
      <c r="W25" s="272"/>
      <c r="X25" s="31" t="str">
        <f t="shared" si="34"/>
        <v/>
      </c>
      <c r="Y25" s="30" t="str">
        <f t="shared" si="35"/>
        <v/>
      </c>
      <c r="Z25" s="30"/>
      <c r="AA25" s="30"/>
      <c r="AB25" s="30"/>
      <c r="AC25" s="30"/>
      <c r="AD25" s="30"/>
      <c r="AE25" s="30"/>
      <c r="AF25" s="30"/>
      <c r="AG25" s="30"/>
      <c r="AH25" s="30"/>
      <c r="AI25" s="30"/>
    </row>
    <row r="26" spans="1:35">
      <c r="A26" s="188">
        <v>7</v>
      </c>
      <c r="B26" s="270" t="str">
        <f t="shared" si="24"/>
        <v/>
      </c>
      <c r="C26" s="270" t="str">
        <f t="shared" si="25"/>
        <v/>
      </c>
      <c r="D26" s="270" t="str">
        <f t="shared" si="26"/>
        <v/>
      </c>
      <c r="E26" s="2">
        <v>7</v>
      </c>
      <c r="G26" s="271" t="str">
        <f t="shared" si="27"/>
        <v/>
      </c>
      <c r="H26" s="31"/>
      <c r="I26" s="271" t="str">
        <f t="shared" si="36"/>
        <v/>
      </c>
      <c r="J26" s="31"/>
      <c r="K26" s="31"/>
      <c r="L26" s="31"/>
      <c r="M26" s="31"/>
      <c r="N26" s="31"/>
      <c r="O26" s="30" t="str">
        <f t="shared" si="23"/>
        <v/>
      </c>
      <c r="P26" s="30" t="str">
        <f t="shared" si="28"/>
        <v/>
      </c>
      <c r="Q26" s="30" t="str">
        <f t="shared" si="29"/>
        <v/>
      </c>
      <c r="R26" t="str">
        <f t="shared" si="30"/>
        <v/>
      </c>
      <c r="S26" t="str">
        <f t="shared" si="31"/>
        <v/>
      </c>
      <c r="T26" s="30" t="str">
        <f t="shared" si="32"/>
        <v/>
      </c>
      <c r="U26" s="182"/>
      <c r="V26" s="30" t="str">
        <f t="shared" si="33"/>
        <v/>
      </c>
      <c r="W26" s="272"/>
      <c r="X26" s="31" t="str">
        <f t="shared" si="34"/>
        <v/>
      </c>
      <c r="Y26" s="30" t="str">
        <f t="shared" si="35"/>
        <v/>
      </c>
      <c r="Z26" s="30"/>
      <c r="AA26" s="30"/>
      <c r="AB26" s="30"/>
      <c r="AC26" s="30"/>
      <c r="AD26" s="30"/>
      <c r="AE26" s="30"/>
      <c r="AF26" s="30"/>
      <c r="AG26" s="30"/>
      <c r="AH26" s="30"/>
      <c r="AI26" s="30"/>
    </row>
    <row r="27" spans="1:35">
      <c r="A27" s="188">
        <v>8</v>
      </c>
      <c r="B27" s="270" t="str">
        <f t="shared" si="24"/>
        <v/>
      </c>
      <c r="C27" s="270" t="str">
        <f t="shared" si="25"/>
        <v/>
      </c>
      <c r="D27" s="270" t="str">
        <f t="shared" si="26"/>
        <v/>
      </c>
      <c r="E27" s="2">
        <v>8</v>
      </c>
      <c r="G27" s="271" t="str">
        <f t="shared" si="27"/>
        <v/>
      </c>
      <c r="H27" s="31"/>
      <c r="I27" s="271" t="str">
        <f t="shared" si="36"/>
        <v/>
      </c>
      <c r="J27" s="31"/>
      <c r="K27" s="31"/>
      <c r="L27" s="31"/>
      <c r="M27" s="31"/>
      <c r="N27" s="31"/>
      <c r="O27" s="30" t="str">
        <f t="shared" si="23"/>
        <v/>
      </c>
      <c r="P27" s="30" t="str">
        <f t="shared" si="28"/>
        <v/>
      </c>
      <c r="Q27" s="30" t="str">
        <f t="shared" si="29"/>
        <v/>
      </c>
      <c r="R27" t="str">
        <f t="shared" si="30"/>
        <v/>
      </c>
      <c r="S27" t="str">
        <f t="shared" si="31"/>
        <v/>
      </c>
      <c r="T27" s="30" t="str">
        <f t="shared" si="32"/>
        <v/>
      </c>
      <c r="U27" s="182"/>
      <c r="V27" s="30" t="str">
        <f t="shared" si="33"/>
        <v/>
      </c>
      <c r="W27" s="272"/>
      <c r="X27" s="31" t="str">
        <f t="shared" si="34"/>
        <v/>
      </c>
      <c r="Y27" s="30" t="str">
        <f t="shared" si="35"/>
        <v/>
      </c>
      <c r="Z27" s="30"/>
      <c r="AA27" s="30"/>
      <c r="AB27" s="30"/>
      <c r="AC27" s="30"/>
      <c r="AD27" s="30"/>
      <c r="AE27" s="30"/>
      <c r="AF27" s="30"/>
      <c r="AG27" s="30"/>
      <c r="AH27" s="30"/>
      <c r="AI27" s="30"/>
    </row>
    <row r="28" spans="1:35">
      <c r="A28" s="188">
        <v>9</v>
      </c>
      <c r="B28" s="270" t="str">
        <f t="shared" si="24"/>
        <v/>
      </c>
      <c r="C28" s="270" t="str">
        <f t="shared" si="25"/>
        <v/>
      </c>
      <c r="D28" s="270" t="str">
        <f t="shared" si="26"/>
        <v/>
      </c>
      <c r="E28" s="2">
        <v>9</v>
      </c>
      <c r="G28" s="271" t="str">
        <f t="shared" si="27"/>
        <v/>
      </c>
      <c r="H28" s="31"/>
      <c r="I28" s="271" t="str">
        <f t="shared" si="36"/>
        <v/>
      </c>
      <c r="J28" s="31"/>
      <c r="K28" s="31"/>
      <c r="L28" s="31"/>
      <c r="M28" s="31"/>
      <c r="N28" s="31"/>
      <c r="O28" s="30" t="str">
        <f t="shared" si="23"/>
        <v/>
      </c>
      <c r="P28" s="30" t="str">
        <f t="shared" si="28"/>
        <v/>
      </c>
      <c r="Q28" s="30" t="str">
        <f t="shared" si="29"/>
        <v/>
      </c>
      <c r="R28" t="str">
        <f t="shared" si="30"/>
        <v/>
      </c>
      <c r="S28" t="str">
        <f t="shared" si="31"/>
        <v/>
      </c>
      <c r="T28" s="30" t="str">
        <f t="shared" si="32"/>
        <v/>
      </c>
      <c r="U28" s="182"/>
      <c r="V28" s="30" t="str">
        <f t="shared" si="33"/>
        <v/>
      </c>
      <c r="W28" s="272"/>
      <c r="X28" s="31" t="str">
        <f t="shared" si="34"/>
        <v/>
      </c>
      <c r="Y28" s="30" t="str">
        <f t="shared" si="35"/>
        <v/>
      </c>
      <c r="Z28" s="30"/>
      <c r="AA28" s="30"/>
      <c r="AB28" s="30"/>
      <c r="AC28" s="30"/>
      <c r="AD28" s="30"/>
      <c r="AE28" s="30"/>
      <c r="AF28" s="30"/>
      <c r="AG28" s="30"/>
      <c r="AH28" s="30"/>
      <c r="AI28" s="30"/>
    </row>
    <row r="29" spans="1:35">
      <c r="A29" s="188">
        <v>10</v>
      </c>
      <c r="B29" s="270" t="str">
        <f t="shared" si="24"/>
        <v/>
      </c>
      <c r="C29" s="270" t="str">
        <f t="shared" si="25"/>
        <v/>
      </c>
      <c r="D29" s="270" t="str">
        <f t="shared" si="26"/>
        <v/>
      </c>
      <c r="E29" s="2">
        <v>10</v>
      </c>
      <c r="G29" s="271" t="str">
        <f t="shared" si="27"/>
        <v/>
      </c>
      <c r="H29" s="31"/>
      <c r="I29" s="271" t="str">
        <f t="shared" si="36"/>
        <v/>
      </c>
      <c r="J29" s="31"/>
      <c r="K29" s="31"/>
      <c r="L29" s="31"/>
      <c r="M29" s="31"/>
      <c r="N29" s="31"/>
      <c r="O29" s="30" t="str">
        <f t="shared" si="23"/>
        <v/>
      </c>
      <c r="P29" s="30" t="str">
        <f t="shared" si="28"/>
        <v/>
      </c>
      <c r="Q29" s="30" t="str">
        <f t="shared" si="29"/>
        <v/>
      </c>
      <c r="R29" t="str">
        <f t="shared" si="30"/>
        <v/>
      </c>
      <c r="S29" t="str">
        <f t="shared" si="31"/>
        <v/>
      </c>
      <c r="T29" s="30" t="str">
        <f t="shared" si="32"/>
        <v/>
      </c>
      <c r="U29" s="182"/>
      <c r="V29" s="30" t="str">
        <f t="shared" si="33"/>
        <v/>
      </c>
      <c r="W29" s="272"/>
      <c r="X29" s="31" t="str">
        <f t="shared" si="34"/>
        <v/>
      </c>
      <c r="Y29" s="30" t="str">
        <f t="shared" si="35"/>
        <v/>
      </c>
      <c r="Z29" s="30"/>
      <c r="AA29" s="30"/>
      <c r="AB29" s="30"/>
      <c r="AC29" s="30"/>
      <c r="AD29" s="30"/>
      <c r="AE29" s="30"/>
      <c r="AF29" s="30"/>
      <c r="AG29" s="30"/>
      <c r="AH29" s="30"/>
      <c r="AI29" s="30"/>
    </row>
    <row r="65" spans="5:13">
      <c r="E65" s="2">
        <v>4</v>
      </c>
      <c r="F65" s="2">
        <v>6</v>
      </c>
      <c r="G65" s="95">
        <v>11.75</v>
      </c>
      <c r="H65" s="95" t="s">
        <v>419</v>
      </c>
      <c r="M65" s="36" t="s">
        <v>420</v>
      </c>
    </row>
    <row r="66" spans="5:13">
      <c r="E66" s="2">
        <v>5</v>
      </c>
      <c r="F66" s="2">
        <v>7</v>
      </c>
      <c r="G66" s="95">
        <v>13.5625</v>
      </c>
      <c r="H66" s="95" t="s">
        <v>394</v>
      </c>
      <c r="M66" s="36" t="s">
        <v>421</v>
      </c>
    </row>
    <row r="67" spans="5:13">
      <c r="E67" s="2">
        <v>6</v>
      </c>
      <c r="F67" s="2">
        <v>8</v>
      </c>
      <c r="G67" s="95">
        <v>15.375</v>
      </c>
      <c r="H67" s="95"/>
      <c r="M67" s="36" t="s">
        <v>422</v>
      </c>
    </row>
    <row r="68" spans="5:13">
      <c r="E68" s="2">
        <v>7</v>
      </c>
      <c r="F68" s="2">
        <v>9</v>
      </c>
      <c r="G68" s="95">
        <v>17.1875</v>
      </c>
      <c r="H68" s="95"/>
      <c r="M68" s="36" t="s">
        <v>396</v>
      </c>
    </row>
    <row r="69" spans="5:13">
      <c r="E69" s="2">
        <v>8</v>
      </c>
      <c r="F69" s="2">
        <v>10</v>
      </c>
      <c r="G69" s="95">
        <v>19</v>
      </c>
      <c r="H69" s="95"/>
      <c r="M69" s="36" t="s">
        <v>423</v>
      </c>
    </row>
    <row r="70" spans="5:13">
      <c r="E70" s="2">
        <v>9</v>
      </c>
      <c r="F70" s="2">
        <v>11</v>
      </c>
      <c r="G70" s="95">
        <v>20.8125</v>
      </c>
      <c r="H70" s="95"/>
    </row>
    <row r="71" spans="5:13">
      <c r="E71" s="2">
        <v>10</v>
      </c>
      <c r="F71" s="2">
        <v>12</v>
      </c>
      <c r="G71" s="95">
        <v>22.625</v>
      </c>
      <c r="H71" s="95"/>
    </row>
    <row r="72" spans="5:13">
      <c r="E72" s="2">
        <v>11</v>
      </c>
      <c r="F72" s="2">
        <v>13</v>
      </c>
      <c r="G72" s="95">
        <v>24.4375</v>
      </c>
      <c r="H72" s="95"/>
      <c r="M72" t="s">
        <v>420</v>
      </c>
    </row>
    <row r="73" spans="5:13">
      <c r="E73" s="2">
        <v>12</v>
      </c>
      <c r="F73" s="2">
        <v>14</v>
      </c>
      <c r="G73" s="95">
        <v>26.25</v>
      </c>
      <c r="H73" s="95"/>
      <c r="M73" s="104">
        <v>20</v>
      </c>
    </row>
    <row r="74" spans="5:13">
      <c r="E74" s="2">
        <v>13</v>
      </c>
      <c r="F74" s="2">
        <v>15</v>
      </c>
      <c r="G74" s="95">
        <v>28</v>
      </c>
      <c r="H74" s="95"/>
      <c r="M74" t="s">
        <v>421</v>
      </c>
    </row>
    <row r="75" spans="5:13">
      <c r="E75" s="2">
        <v>14</v>
      </c>
      <c r="F75" s="2">
        <v>16</v>
      </c>
      <c r="G75" s="95">
        <v>29.8125</v>
      </c>
      <c r="H75" s="95"/>
      <c r="M75" s="104">
        <v>100</v>
      </c>
    </row>
    <row r="76" spans="5:13">
      <c r="E76" s="2">
        <v>15</v>
      </c>
      <c r="F76" s="2">
        <v>17</v>
      </c>
      <c r="G76" s="95">
        <v>31.625</v>
      </c>
      <c r="H76" s="95"/>
      <c r="M76" t="s">
        <v>422</v>
      </c>
    </row>
    <row r="77" spans="5:13">
      <c r="E77" s="2">
        <v>16</v>
      </c>
      <c r="F77" s="2">
        <v>18</v>
      </c>
      <c r="G77" s="95">
        <v>33.4375</v>
      </c>
      <c r="H77" s="95"/>
      <c r="M77" s="104">
        <v>50</v>
      </c>
    </row>
    <row r="78" spans="5:13">
      <c r="E78" s="2">
        <v>17</v>
      </c>
      <c r="F78" s="2">
        <v>19</v>
      </c>
      <c r="G78" s="95">
        <v>35.25</v>
      </c>
      <c r="H78" s="95"/>
      <c r="M78" t="s">
        <v>396</v>
      </c>
    </row>
    <row r="79" spans="5:13">
      <c r="E79" s="2">
        <v>18</v>
      </c>
      <c r="F79" s="2">
        <v>20</v>
      </c>
      <c r="G79" s="95">
        <v>37.0625</v>
      </c>
      <c r="H79" s="95"/>
      <c r="M79" s="104">
        <v>75</v>
      </c>
    </row>
    <row r="80" spans="5:13">
      <c r="E80" s="2">
        <v>19</v>
      </c>
      <c r="F80" s="2">
        <v>21</v>
      </c>
      <c r="G80" s="95">
        <v>38.875</v>
      </c>
      <c r="H80" s="95"/>
      <c r="M80"/>
    </row>
    <row r="81" spans="5:13">
      <c r="E81" s="2">
        <v>20</v>
      </c>
      <c r="F81" s="2">
        <v>22</v>
      </c>
      <c r="G81" s="95">
        <v>40.6875</v>
      </c>
      <c r="H81" s="95"/>
      <c r="M81" s="104"/>
    </row>
    <row r="82" spans="5:13">
      <c r="E82" s="2">
        <v>21</v>
      </c>
      <c r="F82" s="2">
        <v>23</v>
      </c>
      <c r="G82" s="95">
        <v>42.5</v>
      </c>
      <c r="H82" s="95"/>
    </row>
    <row r="83" spans="5:13">
      <c r="E83" s="2">
        <v>22</v>
      </c>
      <c r="F83" s="2">
        <v>24</v>
      </c>
      <c r="G83" s="95">
        <v>44.3125</v>
      </c>
      <c r="H83" s="95"/>
    </row>
    <row r="84" spans="5:13">
      <c r="E84" s="2">
        <v>23</v>
      </c>
      <c r="F84" s="2">
        <v>25</v>
      </c>
      <c r="G84" s="95">
        <v>46.125</v>
      </c>
      <c r="H84" s="95"/>
    </row>
    <row r="85" spans="5:13">
      <c r="E85" s="2">
        <v>24</v>
      </c>
      <c r="F85" s="2">
        <v>26</v>
      </c>
      <c r="G85" s="95">
        <v>47.9375</v>
      </c>
      <c r="H85" s="95"/>
    </row>
    <row r="86" spans="5:13">
      <c r="E86" s="2">
        <v>25</v>
      </c>
      <c r="F86" s="2">
        <v>27</v>
      </c>
      <c r="G86" s="95">
        <v>49.75</v>
      </c>
      <c r="H86" s="95"/>
    </row>
    <row r="87" spans="5:13">
      <c r="E87" s="2">
        <v>26</v>
      </c>
      <c r="F87" s="2">
        <v>28</v>
      </c>
      <c r="G87" s="95">
        <v>51.5625</v>
      </c>
      <c r="H87" s="95"/>
    </row>
    <row r="88" spans="5:13">
      <c r="E88" s="2">
        <v>27</v>
      </c>
      <c r="F88" s="2">
        <v>29</v>
      </c>
      <c r="G88" s="95">
        <v>53.375</v>
      </c>
      <c r="H88" s="95"/>
    </row>
    <row r="89" spans="5:13">
      <c r="E89" s="2">
        <v>28</v>
      </c>
      <c r="F89" s="2">
        <v>30</v>
      </c>
      <c r="G89" s="95">
        <v>55.1875</v>
      </c>
      <c r="H89" s="95"/>
    </row>
    <row r="90" spans="5:13">
      <c r="E90" s="2">
        <v>29</v>
      </c>
      <c r="F90" s="2">
        <v>31</v>
      </c>
      <c r="G90" s="95">
        <v>57</v>
      </c>
      <c r="H90" s="95"/>
    </row>
    <row r="91" spans="5:13">
      <c r="E91" s="2">
        <v>30</v>
      </c>
      <c r="F91" s="2">
        <v>32</v>
      </c>
      <c r="G91" s="95">
        <v>58.8125</v>
      </c>
      <c r="H91" s="95"/>
    </row>
    <row r="92" spans="5:13">
      <c r="E92" s="2">
        <v>31</v>
      </c>
      <c r="F92" s="2">
        <v>33</v>
      </c>
      <c r="G92" s="95">
        <v>60.625</v>
      </c>
      <c r="H92" s="95"/>
    </row>
    <row r="93" spans="5:13">
      <c r="E93" s="2">
        <v>32</v>
      </c>
      <c r="F93" s="2">
        <v>34</v>
      </c>
      <c r="G93" s="95">
        <v>62.4375</v>
      </c>
      <c r="H93" s="95"/>
    </row>
    <row r="94" spans="5:13">
      <c r="E94" s="2">
        <v>33</v>
      </c>
      <c r="F94" s="2">
        <v>35</v>
      </c>
      <c r="G94" s="95">
        <v>64.25</v>
      </c>
      <c r="H94" s="95"/>
    </row>
    <row r="95" spans="5:13">
      <c r="E95" s="2">
        <v>34</v>
      </c>
      <c r="F95" s="2">
        <v>36</v>
      </c>
      <c r="G95" s="95">
        <v>66.0625</v>
      </c>
      <c r="H95" s="95"/>
    </row>
    <row r="96" spans="5:13">
      <c r="E96" s="2">
        <v>35</v>
      </c>
      <c r="F96" s="2">
        <v>37</v>
      </c>
      <c r="G96" s="95">
        <v>67.875</v>
      </c>
      <c r="H96" s="95"/>
    </row>
    <row r="97" spans="5:8">
      <c r="E97" s="2">
        <v>36</v>
      </c>
      <c r="F97" s="2">
        <v>38</v>
      </c>
      <c r="G97" s="95">
        <v>69.6875</v>
      </c>
      <c r="H97" s="95"/>
    </row>
    <row r="98" spans="5:8">
      <c r="E98" s="2">
        <v>37</v>
      </c>
      <c r="F98" s="2">
        <v>39</v>
      </c>
      <c r="G98" s="95">
        <v>71.5</v>
      </c>
      <c r="H98" s="95"/>
    </row>
    <row r="99" spans="5:8">
      <c r="E99" s="2">
        <v>38</v>
      </c>
      <c r="F99" s="2">
        <v>40</v>
      </c>
      <c r="G99" s="95">
        <v>73.25</v>
      </c>
      <c r="H99" s="95"/>
    </row>
    <row r="100" spans="5:8">
      <c r="E100" s="2">
        <v>39</v>
      </c>
      <c r="F100" s="2">
        <v>41</v>
      </c>
      <c r="G100" s="95">
        <v>75.0625</v>
      </c>
      <c r="H100" s="95"/>
    </row>
    <row r="101" spans="5:8">
      <c r="E101" s="2">
        <v>40</v>
      </c>
      <c r="F101" s="2">
        <v>42</v>
      </c>
      <c r="G101" s="95">
        <v>76.875</v>
      </c>
      <c r="H101" s="95"/>
    </row>
    <row r="102" spans="5:8">
      <c r="E102" s="2">
        <v>41</v>
      </c>
      <c r="F102" s="2">
        <v>43</v>
      </c>
      <c r="G102" s="95">
        <v>78.6875</v>
      </c>
      <c r="H102" s="95"/>
    </row>
    <row r="103" spans="5:8">
      <c r="E103" s="2">
        <v>42</v>
      </c>
      <c r="F103" s="2">
        <v>44</v>
      </c>
      <c r="G103" s="95">
        <v>80.5</v>
      </c>
      <c r="H103" s="95"/>
    </row>
    <row r="104" spans="5:8">
      <c r="E104" s="2">
        <v>43</v>
      </c>
      <c r="F104" s="2">
        <v>45</v>
      </c>
      <c r="G104" s="95">
        <v>82.3125</v>
      </c>
      <c r="H104" s="95"/>
    </row>
    <row r="105" spans="5:8">
      <c r="E105" s="2">
        <v>44</v>
      </c>
      <c r="F105" s="2">
        <v>46</v>
      </c>
      <c r="G105" s="95">
        <v>84.125</v>
      </c>
      <c r="H105" s="95"/>
    </row>
    <row r="106" spans="5:8">
      <c r="E106" s="2">
        <v>45</v>
      </c>
      <c r="F106" s="2">
        <v>47</v>
      </c>
      <c r="G106" s="95">
        <v>85.9375</v>
      </c>
      <c r="H106" s="95"/>
    </row>
    <row r="107" spans="5:8">
      <c r="E107" s="2">
        <v>46</v>
      </c>
      <c r="F107" s="2">
        <v>48</v>
      </c>
      <c r="G107" s="95">
        <v>87.75</v>
      </c>
      <c r="H107" s="95"/>
    </row>
    <row r="108" spans="5:8">
      <c r="E108" s="2">
        <v>47</v>
      </c>
      <c r="F108" s="2">
        <v>49</v>
      </c>
      <c r="G108" s="95">
        <v>89.5625</v>
      </c>
      <c r="H108" s="95"/>
    </row>
    <row r="109" spans="5:8">
      <c r="E109" s="2">
        <v>48</v>
      </c>
      <c r="F109" s="2">
        <v>50</v>
      </c>
      <c r="G109" s="95">
        <v>91.375</v>
      </c>
      <c r="H109" s="95"/>
    </row>
    <row r="110" spans="5:8">
      <c r="E110" s="2">
        <v>49</v>
      </c>
      <c r="F110" s="2">
        <v>51</v>
      </c>
      <c r="G110" s="95">
        <v>93.1875</v>
      </c>
      <c r="H110" s="95"/>
    </row>
    <row r="111" spans="5:8">
      <c r="E111" s="2">
        <v>50</v>
      </c>
      <c r="F111" s="2">
        <v>52</v>
      </c>
      <c r="G111" s="95">
        <v>95</v>
      </c>
      <c r="H111" s="95"/>
    </row>
    <row r="112" spans="5:8">
      <c r="E112" s="2">
        <v>51</v>
      </c>
      <c r="F112" s="2">
        <v>53</v>
      </c>
      <c r="G112" s="95">
        <v>96.8125</v>
      </c>
      <c r="H112" s="95"/>
    </row>
    <row r="113" spans="5:8">
      <c r="E113" s="2">
        <v>52</v>
      </c>
      <c r="F113" s="2">
        <v>54</v>
      </c>
      <c r="G113" s="95">
        <v>98.625</v>
      </c>
      <c r="H113" s="95"/>
    </row>
    <row r="114" spans="5:8">
      <c r="E114" s="2">
        <v>53</v>
      </c>
      <c r="F114" s="2">
        <v>55</v>
      </c>
      <c r="G114" s="95">
        <v>100.4375</v>
      </c>
      <c r="H114" s="95"/>
    </row>
    <row r="115" spans="5:8">
      <c r="E115" s="2">
        <v>54</v>
      </c>
      <c r="F115" s="2">
        <v>56</v>
      </c>
      <c r="G115" s="95">
        <v>102.25</v>
      </c>
      <c r="H115" s="95"/>
    </row>
    <row r="116" spans="5:8">
      <c r="E116" s="2">
        <v>55</v>
      </c>
      <c r="F116" s="2">
        <v>57</v>
      </c>
      <c r="G116" s="95">
        <v>104.0625</v>
      </c>
      <c r="H116" s="95"/>
    </row>
    <row r="117" spans="5:8">
      <c r="E117" s="2">
        <v>56</v>
      </c>
      <c r="F117" s="2">
        <v>58</v>
      </c>
      <c r="G117" s="95">
        <v>105.875</v>
      </c>
      <c r="H117" s="95"/>
    </row>
    <row r="118" spans="5:8">
      <c r="E118" s="2">
        <v>57</v>
      </c>
      <c r="F118" s="2">
        <v>59</v>
      </c>
      <c r="G118" s="95">
        <v>107.6875</v>
      </c>
    </row>
    <row r="119" spans="5:8">
      <c r="E119" s="2">
        <v>58</v>
      </c>
      <c r="F119" s="2">
        <v>60</v>
      </c>
      <c r="G119" s="95">
        <v>109.5</v>
      </c>
    </row>
    <row r="120" spans="5:8">
      <c r="E120" s="2">
        <v>59</v>
      </c>
      <c r="F120" s="2">
        <v>61</v>
      </c>
      <c r="G120" s="95">
        <v>111.3125</v>
      </c>
    </row>
    <row r="121" spans="5:8">
      <c r="E121" s="2">
        <v>60</v>
      </c>
      <c r="F121" s="2">
        <v>62</v>
      </c>
      <c r="G121" s="95">
        <v>113.125</v>
      </c>
    </row>
    <row r="122" spans="5:8">
      <c r="E122" s="2">
        <v>61</v>
      </c>
      <c r="F122" s="2">
        <v>63</v>
      </c>
      <c r="G122" s="95">
        <v>114.9375</v>
      </c>
    </row>
    <row r="123" spans="5:8">
      <c r="E123" s="2">
        <v>62</v>
      </c>
      <c r="F123" s="2">
        <v>64</v>
      </c>
      <c r="G123" s="95">
        <v>116.75</v>
      </c>
    </row>
    <row r="124" spans="5:8">
      <c r="E124" s="2">
        <v>63</v>
      </c>
      <c r="F124" s="2">
        <v>65</v>
      </c>
      <c r="G124" s="95">
        <v>118.5625</v>
      </c>
    </row>
    <row r="125" spans="5:8">
      <c r="E125" s="2">
        <v>64</v>
      </c>
      <c r="F125" s="2">
        <v>66</v>
      </c>
      <c r="G125" s="95">
        <v>120.375</v>
      </c>
    </row>
    <row r="126" spans="5:8">
      <c r="E126" s="2">
        <v>65</v>
      </c>
      <c r="F126" s="2">
        <v>67</v>
      </c>
      <c r="G126" s="95">
        <v>122.1875</v>
      </c>
    </row>
    <row r="127" spans="5:8">
      <c r="E127" s="2">
        <v>66</v>
      </c>
      <c r="F127" s="2">
        <v>68</v>
      </c>
      <c r="G127" s="95">
        <v>124</v>
      </c>
    </row>
    <row r="128" spans="5:8">
      <c r="E128" s="2">
        <v>67</v>
      </c>
      <c r="F128" s="2">
        <v>69</v>
      </c>
      <c r="G128" s="95">
        <v>125.8125</v>
      </c>
    </row>
    <row r="129" spans="5:7">
      <c r="E129" s="2">
        <v>68</v>
      </c>
      <c r="F129" s="2">
        <v>70</v>
      </c>
      <c r="G129" s="95">
        <v>127.625</v>
      </c>
    </row>
    <row r="130" spans="5:7">
      <c r="E130" s="2">
        <v>69</v>
      </c>
      <c r="F130" s="2">
        <v>71</v>
      </c>
      <c r="G130" s="95">
        <v>129.4375</v>
      </c>
    </row>
    <row r="131" spans="5:7">
      <c r="E131" s="2">
        <v>70</v>
      </c>
      <c r="F131" s="2">
        <v>72</v>
      </c>
      <c r="G131" s="95">
        <v>131.25</v>
      </c>
    </row>
    <row r="132" spans="5:7">
      <c r="E132" s="2">
        <v>71</v>
      </c>
      <c r="F132" s="2">
        <v>73</v>
      </c>
      <c r="G132" s="95">
        <v>133.0625</v>
      </c>
    </row>
    <row r="133" spans="5:7">
      <c r="E133" s="2">
        <v>72</v>
      </c>
      <c r="F133" s="2">
        <v>74</v>
      </c>
      <c r="G133" s="95">
        <v>134.875</v>
      </c>
    </row>
    <row r="134" spans="5:7">
      <c r="E134" s="2">
        <v>73</v>
      </c>
      <c r="F134" s="2">
        <v>75</v>
      </c>
      <c r="G134" s="95">
        <v>136.6875</v>
      </c>
    </row>
    <row r="135" spans="5:7">
      <c r="E135" s="2">
        <v>74</v>
      </c>
      <c r="F135" s="2">
        <v>76</v>
      </c>
      <c r="G135" s="95">
        <v>138.5</v>
      </c>
    </row>
    <row r="136" spans="5:7">
      <c r="E136" s="2">
        <v>75</v>
      </c>
      <c r="F136" s="2">
        <v>77</v>
      </c>
      <c r="G136" s="95">
        <v>140.3125</v>
      </c>
    </row>
    <row r="137" spans="5:7">
      <c r="E137" s="2">
        <v>76</v>
      </c>
      <c r="F137" s="2">
        <v>78</v>
      </c>
      <c r="G137" s="95">
        <v>142.125</v>
      </c>
    </row>
    <row r="138" spans="5:7">
      <c r="E138" s="2">
        <v>77</v>
      </c>
      <c r="F138" s="2">
        <v>79</v>
      </c>
      <c r="G138" s="95">
        <v>143.9375</v>
      </c>
    </row>
  </sheetData>
  <mergeCells count="5">
    <mergeCell ref="F4:G4"/>
    <mergeCell ref="V4:W4"/>
    <mergeCell ref="T4:U4"/>
    <mergeCell ref="B1:M1"/>
    <mergeCell ref="B18:D18"/>
  </mergeCells>
  <dataValidations count="3">
    <dataValidation type="list" allowBlank="1" showInputMessage="1" showErrorMessage="1" sqref="G6:G15" xr:uid="{1F0C8164-B57A-4CDD-AA5C-0A15D6D766B2}">
      <formula1>$G$65:$G$138</formula1>
    </dataValidation>
    <dataValidation type="list" allowBlank="1" showInputMessage="1" showErrorMessage="1" sqref="H6:H15" xr:uid="{9E5A626F-06DF-4A18-8C64-496DC51931DB}">
      <formula1>$H$65:$H$66</formula1>
    </dataValidation>
    <dataValidation type="list" allowBlank="1" showInputMessage="1" showErrorMessage="1" sqref="M6:M15" xr:uid="{C892E9D0-5AD5-44E2-8D78-AC3A0A1344A6}">
      <formula1>$M$65:$M$68</formula1>
    </dataValidation>
  </dataValidations>
  <pageMargins left="0.7" right="0.7" top="0.75" bottom="0.75" header="0.3" footer="0.3"/>
  <pageSetup scale="82" orientation="landscape" r:id="rId1"/>
  <colBreaks count="1" manualBreakCount="1">
    <brk id="13" max="28" man="1"/>
  </colBreaks>
  <ignoredErrors>
    <ignoredError sqref="L6:L15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C71E34-ECCA-4867-BE52-77E1876C7F18}">
          <x14:formula1>
            <xm:f>'PAINT LABOR COSTS'!$B$27:$B$58</xm:f>
          </x14:formula1>
          <xm:sqref>K6:K15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DB948-9B86-406B-95FE-8CE1AF8AFB93}">
  <sheetPr codeName="Sheet15">
    <tabColor rgb="FF92D050"/>
    <pageSetUpPr fitToPage="1"/>
  </sheetPr>
  <dimension ref="A2:FK306"/>
  <sheetViews>
    <sheetView zoomScale="80" zoomScaleNormal="80" workbookViewId="0">
      <selection activeCell="J14" sqref="J14"/>
    </sheetView>
  </sheetViews>
  <sheetFormatPr defaultRowHeight="15"/>
  <cols>
    <col min="1" max="1" width="9.140625" style="2"/>
    <col min="2" max="4" width="12.140625" style="2" customWidth="1"/>
    <col min="5" max="5" width="14" style="2" customWidth="1"/>
    <col min="6" max="6" width="6.5703125" style="2" customWidth="1"/>
    <col min="7" max="7" width="8.140625" style="2" customWidth="1"/>
    <col min="8" max="8" width="13.28515625" style="2" customWidth="1"/>
    <col min="9" max="10" width="10" style="2" customWidth="1"/>
    <col min="11" max="11" width="11.42578125" style="2" customWidth="1"/>
    <col min="12" max="12" width="30.85546875" style="2" customWidth="1"/>
    <col min="13" max="13" width="11.5703125" style="2" customWidth="1"/>
    <col min="14" max="14" width="12.140625" style="92" customWidth="1"/>
    <col min="15" max="15" width="13.5703125" style="92" customWidth="1"/>
    <col min="16" max="17" width="9.5703125" style="2" customWidth="1"/>
    <col min="18" max="18" width="12.42578125" style="2" customWidth="1"/>
    <col min="19" max="19" width="11.42578125" style="2" customWidth="1"/>
    <col min="20" max="20" width="9.85546875" style="2" customWidth="1"/>
    <col min="21" max="21" width="2.42578125" style="111" customWidth="1"/>
    <col min="22" max="22" width="14.42578125" customWidth="1"/>
    <col min="23" max="23" width="10.140625" customWidth="1"/>
    <col min="24" max="24" width="12.42578125" customWidth="1"/>
    <col min="25" max="25" width="11.7109375" customWidth="1"/>
    <col min="26" max="26" width="12.42578125" customWidth="1"/>
    <col min="27" max="27" width="14.85546875" customWidth="1"/>
    <col min="28" max="28" width="14.5703125" customWidth="1"/>
    <col min="29" max="29" width="14.5703125" style="40" customWidth="1"/>
    <col min="30" max="30" width="13" customWidth="1"/>
    <col min="31" max="31" width="12.42578125" customWidth="1"/>
    <col min="32" max="32" width="11" customWidth="1"/>
    <col min="33" max="33" width="10.140625" customWidth="1"/>
    <col min="35" max="35" width="14.140625" customWidth="1"/>
    <col min="36" max="36" width="12.140625" customWidth="1"/>
    <col min="37" max="37" width="9.85546875" customWidth="1"/>
    <col min="38" max="38" width="11.140625" customWidth="1"/>
    <col min="39" max="39" width="10.5703125" customWidth="1"/>
    <col min="40" max="40" width="14.85546875" customWidth="1"/>
    <col min="41" max="41" width="12.85546875" customWidth="1"/>
    <col min="42" max="42" width="13.42578125" customWidth="1"/>
    <col min="43" max="43" width="12.42578125" customWidth="1"/>
    <col min="44" max="44" width="12.5703125" customWidth="1"/>
    <col min="45" max="45" width="11" customWidth="1"/>
    <col min="46" max="46" width="13.28515625" customWidth="1"/>
    <col min="49" max="49" width="10.42578125" customWidth="1"/>
  </cols>
  <sheetData>
    <row r="2" spans="1:50">
      <c r="A2" s="337" t="s">
        <v>424</v>
      </c>
      <c r="B2" s="337"/>
      <c r="C2" s="337"/>
      <c r="D2" s="337"/>
      <c r="E2" s="337"/>
      <c r="F2" s="337"/>
    </row>
    <row r="3" spans="1:50">
      <c r="A3" s="398" t="s">
        <v>425</v>
      </c>
      <c r="B3" s="398"/>
      <c r="C3" s="398"/>
      <c r="D3" s="398"/>
      <c r="E3" s="398"/>
      <c r="F3" s="398"/>
    </row>
    <row r="4" spans="1:50" ht="15.75" thickBot="1">
      <c r="A4" s="399"/>
      <c r="B4" s="399"/>
      <c r="C4" s="399"/>
      <c r="D4" s="399"/>
      <c r="E4" s="399"/>
      <c r="F4" s="399"/>
    </row>
    <row r="5" spans="1:50" ht="15" customHeight="1">
      <c r="N5" s="139"/>
      <c r="P5" s="55"/>
      <c r="Q5" s="55"/>
      <c r="R5" s="55"/>
      <c r="S5" s="55"/>
    </row>
    <row r="6" spans="1:50">
      <c r="B6" s="2" t="s">
        <v>361</v>
      </c>
      <c r="C6" s="2" t="s">
        <v>195</v>
      </c>
      <c r="D6" s="2" t="s">
        <v>246</v>
      </c>
      <c r="K6" s="273"/>
      <c r="L6" s="273"/>
    </row>
    <row r="7" spans="1:50">
      <c r="B7" s="31">
        <v>1.25</v>
      </c>
      <c r="C7" s="31">
        <v>1.35</v>
      </c>
      <c r="D7" s="31">
        <v>1.43</v>
      </c>
      <c r="E7" s="2" t="s">
        <v>140</v>
      </c>
      <c r="AI7" s="104">
        <v>30</v>
      </c>
    </row>
    <row r="8" spans="1:50" ht="15.75" thickBot="1">
      <c r="B8" s="96">
        <v>0.03</v>
      </c>
      <c r="C8" s="96">
        <v>0.05</v>
      </c>
      <c r="D8" s="96">
        <v>0.08</v>
      </c>
      <c r="E8" s="2" t="s">
        <v>247</v>
      </c>
      <c r="I8" s="396"/>
      <c r="J8" s="303"/>
      <c r="K8" s="303"/>
      <c r="L8" s="303"/>
      <c r="M8" s="303"/>
      <c r="N8" s="397"/>
      <c r="P8" s="337" t="s">
        <v>426</v>
      </c>
      <c r="Q8" s="337"/>
      <c r="R8" s="337"/>
      <c r="S8" s="337"/>
      <c r="T8" s="337"/>
      <c r="V8" s="2" t="s">
        <v>427</v>
      </c>
      <c r="W8" s="105"/>
      <c r="AC8" s="104">
        <f>Parts!M142</f>
        <v>1.8915000000000002</v>
      </c>
      <c r="AD8" s="104">
        <f>Parts!M141</f>
        <v>1.8915000000000002</v>
      </c>
      <c r="AE8" s="181">
        <f>Parts!M136</f>
        <v>1.5340000000000003</v>
      </c>
      <c r="AF8" s="104"/>
      <c r="AG8" s="181"/>
      <c r="AH8" s="181"/>
      <c r="AI8" s="274">
        <f>AI162/AI163</f>
        <v>0.12152777777777778</v>
      </c>
      <c r="AJ8" s="181"/>
      <c r="AK8" s="179">
        <f>'PAINT LABOR COSTS'!M48</f>
        <v>0.82040497874924112</v>
      </c>
      <c r="AL8" s="179">
        <f>0.0056*144</f>
        <v>0.80640000000000001</v>
      </c>
      <c r="AM8" s="179">
        <f>'PAINT LABOR COSTS'!M61</f>
        <v>1.450089721393035</v>
      </c>
      <c r="AN8" s="181"/>
      <c r="AO8" s="179">
        <f>0.0069*144</f>
        <v>0.99360000000000004</v>
      </c>
    </row>
    <row r="9" spans="1:50" ht="15.75" thickBot="1">
      <c r="B9" s="275" t="e">
        <f t="shared" ref="B9:D9" si="0">SUM(B11:B110)</f>
        <v>#N/A</v>
      </c>
      <c r="C9" s="275" t="e">
        <f t="shared" si="0"/>
        <v>#N/A</v>
      </c>
      <c r="D9" s="275" t="e">
        <f t="shared" si="0"/>
        <v>#N/A</v>
      </c>
      <c r="E9" s="22" t="e">
        <f>SUM(E11:E110)</f>
        <v>#N/A</v>
      </c>
      <c r="G9" s="2" t="s">
        <v>428</v>
      </c>
      <c r="I9" s="396" t="s">
        <v>202</v>
      </c>
      <c r="J9" s="303"/>
      <c r="N9" s="291" t="s">
        <v>429</v>
      </c>
      <c r="O9" s="2" t="s">
        <v>429</v>
      </c>
      <c r="P9" s="2" t="s">
        <v>430</v>
      </c>
      <c r="R9" s="181"/>
      <c r="T9" s="2" t="s">
        <v>431</v>
      </c>
      <c r="V9" s="2" t="s">
        <v>432</v>
      </c>
      <c r="W9" s="303" t="s">
        <v>433</v>
      </c>
      <c r="X9" s="303"/>
      <c r="Y9" s="303"/>
      <c r="AB9">
        <v>25</v>
      </c>
      <c r="AC9" s="303" t="s">
        <v>434</v>
      </c>
      <c r="AD9" s="303"/>
      <c r="AE9" s="104"/>
      <c r="AF9" s="104">
        <f>Parts!M131</f>
        <v>7.4988000000000001</v>
      </c>
      <c r="AG9" s="181">
        <f>Parts!M143</f>
        <v>1.8915000000000002</v>
      </c>
      <c r="AH9" s="2"/>
      <c r="AI9" s="2" t="s">
        <v>435</v>
      </c>
      <c r="AJ9" s="2"/>
      <c r="AK9" s="2" t="s">
        <v>435</v>
      </c>
      <c r="AL9" s="2" t="s">
        <v>435</v>
      </c>
      <c r="AM9" s="2" t="s">
        <v>435</v>
      </c>
      <c r="AN9" s="2" t="s">
        <v>435</v>
      </c>
      <c r="AO9" s="2" t="s">
        <v>435</v>
      </c>
      <c r="AQ9" s="2"/>
      <c r="AR9" s="181"/>
      <c r="AS9" s="181"/>
      <c r="AT9" s="104"/>
      <c r="AU9" s="104"/>
      <c r="AV9" s="104"/>
      <c r="AW9" s="104"/>
    </row>
    <row r="10" spans="1:50" ht="17.25">
      <c r="A10" s="2" t="s">
        <v>368</v>
      </c>
      <c r="E10" s="2" t="s">
        <v>247</v>
      </c>
      <c r="F10" s="2" t="s">
        <v>369</v>
      </c>
      <c r="G10" s="2" t="s">
        <v>436</v>
      </c>
      <c r="H10" s="2" t="s">
        <v>437</v>
      </c>
      <c r="I10" s="290" t="s">
        <v>393</v>
      </c>
      <c r="J10" s="2" t="s">
        <v>438</v>
      </c>
      <c r="K10" s="2" t="s">
        <v>439</v>
      </c>
      <c r="L10" s="2" t="s">
        <v>371</v>
      </c>
      <c r="M10" s="2" t="s">
        <v>372</v>
      </c>
      <c r="N10" s="291" t="s">
        <v>393</v>
      </c>
      <c r="O10" s="2" t="s">
        <v>440</v>
      </c>
      <c r="P10" s="2" t="s">
        <v>441</v>
      </c>
      <c r="Q10" s="2" t="s">
        <v>442</v>
      </c>
      <c r="R10" s="2" t="s">
        <v>443</v>
      </c>
      <c r="S10" s="2" t="s">
        <v>444</v>
      </c>
      <c r="T10" s="2" t="s">
        <v>445</v>
      </c>
      <c r="V10" s="276" t="s">
        <v>446</v>
      </c>
      <c r="W10" s="277" t="s">
        <v>447</v>
      </c>
      <c r="X10" s="2" t="s">
        <v>448</v>
      </c>
      <c r="Y10" s="2" t="s">
        <v>449</v>
      </c>
      <c r="Z10" s="36" t="s">
        <v>450</v>
      </c>
      <c r="AA10" s="38" t="s">
        <v>451</v>
      </c>
      <c r="AB10" s="38" t="s">
        <v>452</v>
      </c>
      <c r="AC10" s="38" t="s">
        <v>453</v>
      </c>
      <c r="AD10" s="38" t="s">
        <v>454</v>
      </c>
      <c r="AE10" s="133" t="s">
        <v>442</v>
      </c>
      <c r="AF10" s="38" t="s">
        <v>455</v>
      </c>
      <c r="AG10" s="38" t="s">
        <v>444</v>
      </c>
      <c r="AH10" s="38"/>
      <c r="AI10" s="38" t="s">
        <v>456</v>
      </c>
      <c r="AJ10" s="38"/>
      <c r="AK10" s="38" t="s">
        <v>385</v>
      </c>
      <c r="AL10" s="38" t="s">
        <v>386</v>
      </c>
      <c r="AM10" s="38" t="s">
        <v>387</v>
      </c>
      <c r="AN10" s="38" t="s">
        <v>388</v>
      </c>
      <c r="AO10" s="38" t="s">
        <v>389</v>
      </c>
      <c r="AP10" s="38" t="s">
        <v>390</v>
      </c>
      <c r="AQ10" s="38"/>
      <c r="AR10" s="38"/>
      <c r="AS10" s="38"/>
      <c r="AT10" s="38"/>
      <c r="AU10" s="38"/>
      <c r="AV10" s="38"/>
      <c r="AW10" s="38"/>
      <c r="AX10" s="38"/>
    </row>
    <row r="11" spans="1:50" ht="15.75">
      <c r="A11" s="2">
        <v>1</v>
      </c>
      <c r="B11" s="181">
        <f>E11*$B$7</f>
        <v>763.78623558973925</v>
      </c>
      <c r="C11" s="181">
        <f>E11*$C$7</f>
        <v>824.88913443691843</v>
      </c>
      <c r="D11" s="181">
        <f>E11*$D$7</f>
        <v>873.77145351466174</v>
      </c>
      <c r="E11" s="22">
        <f>SUM(W11:AP11)</f>
        <v>611.02898847179142</v>
      </c>
      <c r="F11" s="160">
        <v>2</v>
      </c>
      <c r="G11" s="187" t="s">
        <v>457</v>
      </c>
      <c r="H11" s="160" t="s">
        <v>458</v>
      </c>
      <c r="I11" s="160">
        <v>16</v>
      </c>
      <c r="J11" s="160">
        <v>68</v>
      </c>
      <c r="K11" s="160" t="s">
        <v>459</v>
      </c>
      <c r="L11" s="75" t="str">
        <f>IFERROR(VLOOKUP(K11,'PAINT LABOR COSTS'!$B$27:$C$58,2,FALSE),"Pick Color")</f>
        <v>TRICORN BLACK</v>
      </c>
      <c r="M11" s="160" t="s">
        <v>396</v>
      </c>
      <c r="N11" s="278">
        <f t="shared" ref="N11:N42" si="1">ROUNDUP(IF(AND(G11="S",I11&gt;5,I11&lt;26),I11,IF(AND(G11="PR",I11&gt;11,I11&lt;51),I11/2,IF(AND(G11="QD",I11&gt;50,I11&lt;102),I11/4,0))),0)</f>
        <v>8</v>
      </c>
      <c r="O11" s="147" t="str">
        <f t="shared" ref="O11:O42" si="2">IF(I11="","",LOOKUP(N11,N172:O191))</f>
        <v>4-4</v>
      </c>
      <c r="P11" s="75" t="str">
        <f>IF(Q11="NO","YES","")</f>
        <v>YES</v>
      </c>
      <c r="Q11" s="160" t="s">
        <v>419</v>
      </c>
      <c r="R11" s="75" t="str">
        <f t="shared" ref="R11:R42" si="3">IF(J11&gt;48,"YES","NO")</f>
        <v>YES</v>
      </c>
      <c r="S11" s="75" t="str">
        <f t="shared" ref="S11:S42" si="4">IF(I11&gt;50,"YES","NO")</f>
        <v>NO</v>
      </c>
      <c r="T11" s="160">
        <v>0</v>
      </c>
      <c r="V11" s="31">
        <f t="shared" ref="V11:V42" si="5">(((I11*J11/144)*2)+(((I11/12)*2)*(1.5/12))+(((J11/12)*2)*(1.5/12)))</f>
        <v>16.861111111111111</v>
      </c>
      <c r="W11" s="277">
        <f t="shared" ref="W11:W42" si="6">IF(G11="S",(INDEX($W$181:$FK$200,MATCH(O11,$V$181:$V$200,0),MATCH(J11,$W$180:$FK$180,0))*1),0)*F11</f>
        <v>0</v>
      </c>
      <c r="X11" s="277">
        <f t="shared" ref="X11:X42" si="7">IF(G11="PR",(INDEX($W$181:$FK$200,MATCH(O11,$V$181:$V$200,0),MATCH(J11,$W$180:$FK$180,0))*2),0)*F11</f>
        <v>163.68960000000001</v>
      </c>
      <c r="Y11" s="277">
        <f t="shared" ref="Y11:Y42" si="8">IF(G11="QD",(INDEX($W$181:$FK$200,MATCH(O11,$V$181:$V$200,0),MATCH(J11,$W$180:$FK$180,0))*4),0)*F11</f>
        <v>0</v>
      </c>
      <c r="Z11" s="181">
        <f t="shared" ref="Z11:Z42" si="9">IF(G11="S",LOOKUP(N11,$V$203:$V$222,$W$203:$W$222)*F11,IF(G11="PR",LOOKUP(N11,$V$203:$V$222,$X$203:$X$222)*F11*2,IF(G11="QD",LOOKUP(N11,$V$203:$V$222,$Y$203:$Y$222)*F11*4,0)))</f>
        <v>20.650000000000006</v>
      </c>
      <c r="AA11" s="104">
        <f t="shared" ref="AA11:AA42" si="10">IF(T11="+1",Z11/2,IF(T11="+2",Z11,IF(T11="+3",Z11*1.5,0)))*F11</f>
        <v>0</v>
      </c>
      <c r="AB11" s="104">
        <f t="shared" ref="AB11:AB42" si="11">F11*$AB$9</f>
        <v>50</v>
      </c>
      <c r="AC11" s="104">
        <f t="shared" ref="AC11:AC42" si="12">IF(AND(G11="S",H11="WOOD",J11&lt;49),F11*($AC$8*2),IF(AND(G11="S",H11="WOOD",J11&gt;48),F11*($AC$8*3),0))</f>
        <v>0</v>
      </c>
      <c r="AD11" s="104"/>
      <c r="AE11" s="279"/>
      <c r="AF11" s="279">
        <f t="shared" ref="AF11:AF42" si="13">(((I11+8)*F11)/12*$AF$9)</f>
        <v>29.995200000000001</v>
      </c>
      <c r="AG11" s="104">
        <f t="shared" ref="AG11:AG42" si="14">IF(G11="QD",6*$AG$9*F11,0)</f>
        <v>0</v>
      </c>
      <c r="AH11" s="104"/>
      <c r="AI11" s="104">
        <f t="shared" ref="AI11:AI42" si="15">(I11*J11)/144*($AI$8*$AI$7)</f>
        <v>27.546296296296298</v>
      </c>
      <c r="AJ11" s="104"/>
      <c r="AK11" s="104">
        <f>V11*$AK$8</f>
        <v>13.832939502799704</v>
      </c>
      <c r="AL11" s="181">
        <f>V11*$AL$8</f>
        <v>13.5968</v>
      </c>
      <c r="AM11" s="104">
        <f>V11*$AM$8</f>
        <v>24.450123913488117</v>
      </c>
      <c r="AN11" s="181">
        <f>IF(V11=0,0,VLOOKUP(K11,'PAINT LABOR COSTS'!$B$27:$N$67,12,0)*V11)*F11</f>
        <v>130.51482875920729</v>
      </c>
      <c r="AO11" s="181">
        <f>V11*$AO$8</f>
        <v>16.7532</v>
      </c>
      <c r="AP11" s="104">
        <f t="shared" ref="AP11:AP42" si="16">IF(M11="DELIVERY",$L$167*$F$11,IF(M11="PICKUP",$L$163*$F$11,IF(M11="SHIP/CR",$L$165*$F$11,IF(M11="LCR",$L$171*$F$11,IF(M11="INSTALL",$L$169*$F$11,0)))))</f>
        <v>120</v>
      </c>
      <c r="AQ11" s="181"/>
      <c r="AR11" s="104"/>
      <c r="AS11" s="104"/>
      <c r="AT11" s="104"/>
      <c r="AU11" s="104"/>
      <c r="AV11" s="104"/>
      <c r="AW11" s="104"/>
    </row>
    <row r="12" spans="1:50" ht="15.75">
      <c r="A12" s="2">
        <v>2</v>
      </c>
      <c r="B12" s="181">
        <f t="shared" ref="B12:B75" si="17">E12*$B$7</f>
        <v>543.54580350178026</v>
      </c>
      <c r="C12" s="181">
        <f t="shared" ref="C12:C75" si="18">E12*$C$7</f>
        <v>587.02946778192268</v>
      </c>
      <c r="D12" s="181">
        <f t="shared" ref="D12:D75" si="19">E12*$D$7</f>
        <v>621.81639920603664</v>
      </c>
      <c r="E12" s="22">
        <f>SUM(W12:AP12)</f>
        <v>434.8366428014242</v>
      </c>
      <c r="F12" s="160">
        <v>1</v>
      </c>
      <c r="G12" s="187" t="s">
        <v>457</v>
      </c>
      <c r="H12" s="160" t="s">
        <v>458</v>
      </c>
      <c r="I12" s="160">
        <v>16</v>
      </c>
      <c r="J12" s="160">
        <v>74</v>
      </c>
      <c r="K12" s="160" t="s">
        <v>459</v>
      </c>
      <c r="L12" s="75" t="str">
        <f>IFERROR(VLOOKUP(K12,'PAINT LABOR COSTS'!$B$27:$C$58,2,FALSE),"Pick Color")</f>
        <v>TRICORN BLACK</v>
      </c>
      <c r="M12" s="160" t="s">
        <v>396</v>
      </c>
      <c r="N12" s="278">
        <f t="shared" si="1"/>
        <v>8</v>
      </c>
      <c r="O12" s="147" t="str">
        <f t="shared" si="2"/>
        <v>4-4</v>
      </c>
      <c r="P12" s="75" t="str">
        <f t="shared" ref="P12:P75" si="20">IF(Q12="NO","YES","")</f>
        <v>YES</v>
      </c>
      <c r="Q12" s="160" t="s">
        <v>419</v>
      </c>
      <c r="R12" s="75" t="str">
        <f t="shared" si="3"/>
        <v>YES</v>
      </c>
      <c r="S12" s="75" t="str">
        <f t="shared" si="4"/>
        <v>NO</v>
      </c>
      <c r="T12" s="160">
        <v>0</v>
      </c>
      <c r="V12" s="31">
        <f t="shared" si="5"/>
        <v>18.319444444444443</v>
      </c>
      <c r="W12" s="277">
        <f t="shared" si="6"/>
        <v>0</v>
      </c>
      <c r="X12" s="277">
        <f t="shared" si="7"/>
        <v>89.066400000000016</v>
      </c>
      <c r="Y12" s="277">
        <f t="shared" si="8"/>
        <v>0</v>
      </c>
      <c r="Z12" s="181">
        <f t="shared" si="9"/>
        <v>10.325000000000003</v>
      </c>
      <c r="AA12" s="104">
        <f t="shared" si="10"/>
        <v>0</v>
      </c>
      <c r="AB12" s="104">
        <f t="shared" si="11"/>
        <v>25</v>
      </c>
      <c r="AC12" s="104">
        <f t="shared" si="12"/>
        <v>0</v>
      </c>
      <c r="AD12" s="104"/>
      <c r="AE12" s="279"/>
      <c r="AF12" s="279">
        <f t="shared" si="13"/>
        <v>14.9976</v>
      </c>
      <c r="AG12" s="104">
        <f t="shared" si="14"/>
        <v>0</v>
      </c>
      <c r="AH12" s="104"/>
      <c r="AI12" s="104">
        <f t="shared" si="15"/>
        <v>29.976851851851851</v>
      </c>
      <c r="AJ12" s="104"/>
      <c r="AK12" s="104">
        <f t="shared" ref="AK12:AK75" si="21">V12*$AK$8</f>
        <v>15.029363430142347</v>
      </c>
      <c r="AL12" s="181">
        <f t="shared" ref="AL12:AL75" si="22">V12*$AL$8</f>
        <v>14.772799999999998</v>
      </c>
      <c r="AM12" s="104">
        <f t="shared" ref="AM12:AM75" si="23">V12*$AM$8</f>
        <v>26.564838090519626</v>
      </c>
      <c r="AN12" s="181">
        <f>IF(V12=0,0,VLOOKUP(K12,'PAINT LABOR COSTS'!$B$27:$N$67,12,0)*V12)*F12</f>
        <v>70.901589428910384</v>
      </c>
      <c r="AO12" s="181">
        <f t="shared" ref="AO12:AO75" si="24">V12*$AO$8</f>
        <v>18.202199999999998</v>
      </c>
      <c r="AP12" s="104">
        <f t="shared" si="16"/>
        <v>120</v>
      </c>
      <c r="AQ12" s="181"/>
      <c r="AR12" s="104"/>
      <c r="AS12" s="104"/>
      <c r="AT12" s="104"/>
      <c r="AU12" s="104"/>
      <c r="AV12" s="104"/>
      <c r="AW12" s="104"/>
    </row>
    <row r="13" spans="1:50" ht="15.75">
      <c r="A13" s="2">
        <v>3</v>
      </c>
      <c r="B13" s="181">
        <f t="shared" si="17"/>
        <v>490.46463172868914</v>
      </c>
      <c r="C13" s="181">
        <f t="shared" si="18"/>
        <v>529.70180226698426</v>
      </c>
      <c r="D13" s="181">
        <f t="shared" si="19"/>
        <v>561.09153869762031</v>
      </c>
      <c r="E13" s="22">
        <f t="shared" ref="E13:E76" si="25">SUM(W13:AP13)</f>
        <v>392.37170538295129</v>
      </c>
      <c r="F13" s="160">
        <v>1</v>
      </c>
      <c r="G13" s="187" t="s">
        <v>457</v>
      </c>
      <c r="H13" s="160" t="s">
        <v>458</v>
      </c>
      <c r="I13" s="160">
        <v>16</v>
      </c>
      <c r="J13" s="160">
        <v>62</v>
      </c>
      <c r="K13" s="160" t="s">
        <v>459</v>
      </c>
      <c r="L13" s="75" t="str">
        <f>IFERROR(VLOOKUP(K13,'PAINT LABOR COSTS'!$B$27:$C$58,2,FALSE),"Pick Color")</f>
        <v>TRICORN BLACK</v>
      </c>
      <c r="M13" s="160" t="s">
        <v>396</v>
      </c>
      <c r="N13" s="278">
        <f t="shared" si="1"/>
        <v>8</v>
      </c>
      <c r="O13" s="147" t="str">
        <f t="shared" si="2"/>
        <v>4-4</v>
      </c>
      <c r="P13" s="75" t="str">
        <f t="shared" si="20"/>
        <v>YES</v>
      </c>
      <c r="Q13" s="160" t="s">
        <v>419</v>
      </c>
      <c r="R13" s="75" t="str">
        <f t="shared" si="3"/>
        <v>YES</v>
      </c>
      <c r="S13" s="75" t="str">
        <f t="shared" si="4"/>
        <v>NO</v>
      </c>
      <c r="T13" s="160">
        <v>0</v>
      </c>
      <c r="V13" s="31">
        <f t="shared" si="5"/>
        <v>15.402777777777779</v>
      </c>
      <c r="W13" s="277">
        <f t="shared" si="6"/>
        <v>0</v>
      </c>
      <c r="X13" s="277">
        <f t="shared" si="7"/>
        <v>74.623200000000011</v>
      </c>
      <c r="Y13" s="277">
        <f t="shared" si="8"/>
        <v>0</v>
      </c>
      <c r="Z13" s="181">
        <f t="shared" si="9"/>
        <v>10.325000000000003</v>
      </c>
      <c r="AA13" s="104">
        <f t="shared" si="10"/>
        <v>0</v>
      </c>
      <c r="AB13" s="104">
        <f t="shared" si="11"/>
        <v>25</v>
      </c>
      <c r="AC13" s="104">
        <f t="shared" si="12"/>
        <v>0</v>
      </c>
      <c r="AD13" s="104"/>
      <c r="AE13" s="279"/>
      <c r="AF13" s="279">
        <f t="shared" si="13"/>
        <v>14.9976</v>
      </c>
      <c r="AG13" s="104">
        <f t="shared" si="14"/>
        <v>0</v>
      </c>
      <c r="AH13" s="104"/>
      <c r="AI13" s="104">
        <f t="shared" si="15"/>
        <v>25.115740740740744</v>
      </c>
      <c r="AJ13" s="104"/>
      <c r="AK13" s="104">
        <f t="shared" si="21"/>
        <v>12.636515575457063</v>
      </c>
      <c r="AL13" s="181">
        <f t="shared" si="22"/>
        <v>12.4208</v>
      </c>
      <c r="AM13" s="104">
        <f t="shared" si="23"/>
        <v>22.335409736456612</v>
      </c>
      <c r="AN13" s="181">
        <f>IF(V13=0,0,VLOOKUP(K13,'PAINT LABOR COSTS'!$B$27:$N$67,12,0)*V13)*F13</f>
        <v>59.613239330296913</v>
      </c>
      <c r="AO13" s="181">
        <f t="shared" si="24"/>
        <v>15.304200000000002</v>
      </c>
      <c r="AP13" s="104">
        <f t="shared" si="16"/>
        <v>120</v>
      </c>
      <c r="AQ13" s="181"/>
      <c r="AR13" s="104"/>
      <c r="AS13" s="104"/>
      <c r="AT13" s="104"/>
      <c r="AU13" s="104"/>
      <c r="AV13" s="104"/>
      <c r="AW13" s="104"/>
    </row>
    <row r="14" spans="1:50" ht="15.75">
      <c r="A14" s="2">
        <v>4</v>
      </c>
      <c r="B14" s="181" t="e">
        <f t="shared" si="17"/>
        <v>#N/A</v>
      </c>
      <c r="C14" s="181" t="e">
        <f t="shared" si="18"/>
        <v>#N/A</v>
      </c>
      <c r="D14" s="181" t="e">
        <f t="shared" si="19"/>
        <v>#N/A</v>
      </c>
      <c r="E14" s="22" t="e">
        <f t="shared" si="25"/>
        <v>#N/A</v>
      </c>
      <c r="F14" s="160">
        <v>1</v>
      </c>
      <c r="G14" s="187" t="s">
        <v>457</v>
      </c>
      <c r="H14" s="160" t="s">
        <v>458</v>
      </c>
      <c r="I14" s="160">
        <v>14</v>
      </c>
      <c r="J14" s="160">
        <v>48</v>
      </c>
      <c r="K14" s="160" t="s">
        <v>459</v>
      </c>
      <c r="L14" s="75" t="str">
        <f>IFERROR(VLOOKUP(K14,'PAINT LABOR COSTS'!$B$27:$C$58,2,FALSE),"Pick Color")</f>
        <v>TRICORN BLACK</v>
      </c>
      <c r="M14" s="160" t="s">
        <v>396</v>
      </c>
      <c r="N14" s="278">
        <f t="shared" si="1"/>
        <v>7</v>
      </c>
      <c r="O14" s="147" t="e">
        <f t="shared" si="2"/>
        <v>#N/A</v>
      </c>
      <c r="P14" s="75" t="str">
        <f t="shared" si="20"/>
        <v>YES</v>
      </c>
      <c r="Q14" s="160" t="s">
        <v>419</v>
      </c>
      <c r="R14" s="75" t="str">
        <f t="shared" si="3"/>
        <v>NO</v>
      </c>
      <c r="S14" s="75" t="str">
        <f t="shared" si="4"/>
        <v>NO</v>
      </c>
      <c r="T14" s="160">
        <v>0</v>
      </c>
      <c r="V14" s="31">
        <f t="shared" si="5"/>
        <v>10.625</v>
      </c>
      <c r="W14" s="277">
        <f t="shared" si="6"/>
        <v>0</v>
      </c>
      <c r="X14" s="277" t="e">
        <f t="shared" si="7"/>
        <v>#N/A</v>
      </c>
      <c r="Y14" s="277">
        <f t="shared" si="8"/>
        <v>0</v>
      </c>
      <c r="Z14" s="181">
        <f t="shared" si="9"/>
        <v>8.8500000000000014</v>
      </c>
      <c r="AA14" s="104">
        <f t="shared" si="10"/>
        <v>0</v>
      </c>
      <c r="AB14" s="104">
        <f t="shared" si="11"/>
        <v>25</v>
      </c>
      <c r="AC14" s="104">
        <f t="shared" si="12"/>
        <v>0</v>
      </c>
      <c r="AD14" s="104"/>
      <c r="AE14" s="279"/>
      <c r="AF14" s="279">
        <f t="shared" si="13"/>
        <v>13.7478</v>
      </c>
      <c r="AG14" s="104">
        <f t="shared" si="14"/>
        <v>0</v>
      </c>
      <c r="AH14" s="104"/>
      <c r="AI14" s="104">
        <f t="shared" si="15"/>
        <v>17.013888888888889</v>
      </c>
      <c r="AJ14" s="104"/>
      <c r="AK14" s="104">
        <f t="shared" si="21"/>
        <v>8.7168028992106876</v>
      </c>
      <c r="AL14" s="181">
        <f t="shared" si="22"/>
        <v>8.5679999999999996</v>
      </c>
      <c r="AM14" s="104">
        <f t="shared" si="23"/>
        <v>15.407203289800997</v>
      </c>
      <c r="AN14" s="181">
        <f>IF(V14=0,0,VLOOKUP(K14,'PAINT LABOR COSTS'!$B$27:$N$67,12,0)*V14)*F14</f>
        <v>41.121846787806255</v>
      </c>
      <c r="AO14" s="181">
        <f t="shared" si="24"/>
        <v>10.557</v>
      </c>
      <c r="AP14" s="104">
        <f t="shared" si="16"/>
        <v>120</v>
      </c>
    </row>
    <row r="15" spans="1:50" ht="15.75">
      <c r="A15" s="2">
        <v>5</v>
      </c>
      <c r="B15" s="181">
        <f t="shared" si="17"/>
        <v>0</v>
      </c>
      <c r="C15" s="181">
        <f t="shared" si="18"/>
        <v>0</v>
      </c>
      <c r="D15" s="181">
        <f t="shared" si="19"/>
        <v>0</v>
      </c>
      <c r="E15" s="22">
        <f t="shared" si="25"/>
        <v>0</v>
      </c>
      <c r="F15" s="160"/>
      <c r="G15" s="187"/>
      <c r="H15" s="160"/>
      <c r="I15" s="160"/>
      <c r="J15" s="160"/>
      <c r="K15" s="160"/>
      <c r="L15" s="75" t="str">
        <f>IFERROR(VLOOKUP(K15,'PAINT LABOR COSTS'!$B$27:$C$58,2,FALSE),"Pick Color")</f>
        <v>Pick Color</v>
      </c>
      <c r="M15" s="160"/>
      <c r="N15" s="278">
        <f t="shared" si="1"/>
        <v>0</v>
      </c>
      <c r="O15" s="147" t="str">
        <f t="shared" si="2"/>
        <v/>
      </c>
      <c r="P15" s="75" t="str">
        <f t="shared" si="20"/>
        <v>YES</v>
      </c>
      <c r="Q15" s="160" t="s">
        <v>419</v>
      </c>
      <c r="R15" s="75" t="str">
        <f t="shared" si="3"/>
        <v>NO</v>
      </c>
      <c r="S15" s="75" t="str">
        <f t="shared" si="4"/>
        <v>NO</v>
      </c>
      <c r="T15" s="160">
        <v>0</v>
      </c>
      <c r="V15" s="31">
        <f t="shared" si="5"/>
        <v>0</v>
      </c>
      <c r="W15" s="277">
        <f t="shared" si="6"/>
        <v>0</v>
      </c>
      <c r="X15" s="277">
        <f t="shared" si="7"/>
        <v>0</v>
      </c>
      <c r="Y15" s="277">
        <f t="shared" si="8"/>
        <v>0</v>
      </c>
      <c r="Z15" s="181">
        <f t="shared" si="9"/>
        <v>0</v>
      </c>
      <c r="AA15" s="104">
        <f t="shared" si="10"/>
        <v>0</v>
      </c>
      <c r="AB15" s="104">
        <f t="shared" si="11"/>
        <v>0</v>
      </c>
      <c r="AC15" s="104">
        <f t="shared" si="12"/>
        <v>0</v>
      </c>
      <c r="AD15" s="104"/>
      <c r="AE15" s="279"/>
      <c r="AF15" s="279">
        <f t="shared" si="13"/>
        <v>0</v>
      </c>
      <c r="AG15" s="104">
        <f t="shared" si="14"/>
        <v>0</v>
      </c>
      <c r="AH15" s="104"/>
      <c r="AI15" s="104">
        <f t="shared" si="15"/>
        <v>0</v>
      </c>
      <c r="AJ15" s="104"/>
      <c r="AK15" s="104">
        <f t="shared" si="21"/>
        <v>0</v>
      </c>
      <c r="AL15" s="181">
        <f t="shared" si="22"/>
        <v>0</v>
      </c>
      <c r="AM15" s="104">
        <f t="shared" si="23"/>
        <v>0</v>
      </c>
      <c r="AN15" s="181">
        <f>IF(V15=0,0,VLOOKUP(K15,'PAINT LABOR COSTS'!$B$27:$N$67,12,0)*V15)*F15</f>
        <v>0</v>
      </c>
      <c r="AO15" s="181">
        <f t="shared" si="24"/>
        <v>0</v>
      </c>
      <c r="AP15" s="104">
        <f t="shared" si="16"/>
        <v>0</v>
      </c>
    </row>
    <row r="16" spans="1:50" ht="15.75">
      <c r="A16" s="2">
        <v>6</v>
      </c>
      <c r="B16" s="181">
        <f t="shared" si="17"/>
        <v>0</v>
      </c>
      <c r="C16" s="181">
        <f t="shared" si="18"/>
        <v>0</v>
      </c>
      <c r="D16" s="181">
        <f t="shared" si="19"/>
        <v>0</v>
      </c>
      <c r="E16" s="22">
        <f t="shared" si="25"/>
        <v>0</v>
      </c>
      <c r="F16" s="160"/>
      <c r="G16" s="187"/>
      <c r="H16" s="160"/>
      <c r="I16" s="160"/>
      <c r="J16" s="160"/>
      <c r="K16" s="160"/>
      <c r="L16" s="75" t="str">
        <f>IFERROR(VLOOKUP(K16,'PAINT LABOR COSTS'!$B$27:$C$58,2,FALSE),"Pick Color")</f>
        <v>Pick Color</v>
      </c>
      <c r="M16" s="160"/>
      <c r="N16" s="278">
        <f t="shared" si="1"/>
        <v>0</v>
      </c>
      <c r="O16" s="147" t="str">
        <f t="shared" si="2"/>
        <v/>
      </c>
      <c r="P16" s="75" t="str">
        <f t="shared" si="20"/>
        <v>YES</v>
      </c>
      <c r="Q16" s="160" t="s">
        <v>419</v>
      </c>
      <c r="R16" s="75" t="str">
        <f t="shared" si="3"/>
        <v>NO</v>
      </c>
      <c r="S16" s="75" t="str">
        <f t="shared" si="4"/>
        <v>NO</v>
      </c>
      <c r="T16" s="160">
        <v>0</v>
      </c>
      <c r="V16" s="31">
        <f t="shared" si="5"/>
        <v>0</v>
      </c>
      <c r="W16" s="277">
        <f t="shared" si="6"/>
        <v>0</v>
      </c>
      <c r="X16" s="277">
        <f t="shared" si="7"/>
        <v>0</v>
      </c>
      <c r="Y16" s="277">
        <f t="shared" si="8"/>
        <v>0</v>
      </c>
      <c r="Z16" s="181">
        <f t="shared" si="9"/>
        <v>0</v>
      </c>
      <c r="AA16" s="104">
        <f t="shared" si="10"/>
        <v>0</v>
      </c>
      <c r="AB16" s="104">
        <f t="shared" si="11"/>
        <v>0</v>
      </c>
      <c r="AC16" s="104">
        <f t="shared" si="12"/>
        <v>0</v>
      </c>
      <c r="AD16" s="104"/>
      <c r="AE16" s="279"/>
      <c r="AF16" s="279">
        <f t="shared" si="13"/>
        <v>0</v>
      </c>
      <c r="AG16" s="104">
        <f t="shared" si="14"/>
        <v>0</v>
      </c>
      <c r="AH16" s="104"/>
      <c r="AI16" s="104">
        <f t="shared" si="15"/>
        <v>0</v>
      </c>
      <c r="AJ16" s="104"/>
      <c r="AK16" s="104">
        <f t="shared" si="21"/>
        <v>0</v>
      </c>
      <c r="AL16" s="181">
        <f t="shared" si="22"/>
        <v>0</v>
      </c>
      <c r="AM16" s="104">
        <f t="shared" si="23"/>
        <v>0</v>
      </c>
      <c r="AN16" s="181">
        <f>IF(V16=0,0,VLOOKUP(K16,'PAINT LABOR COSTS'!$B$27:$N$67,12,0)*V16)*F16</f>
        <v>0</v>
      </c>
      <c r="AO16" s="181">
        <f t="shared" si="24"/>
        <v>0</v>
      </c>
      <c r="AP16" s="104">
        <f t="shared" si="16"/>
        <v>0</v>
      </c>
    </row>
    <row r="17" spans="1:42" ht="15.75">
      <c r="A17" s="2">
        <v>7</v>
      </c>
      <c r="B17" s="181">
        <f t="shared" si="17"/>
        <v>0</v>
      </c>
      <c r="C17" s="181">
        <f t="shared" si="18"/>
        <v>0</v>
      </c>
      <c r="D17" s="181">
        <f t="shared" si="19"/>
        <v>0</v>
      </c>
      <c r="E17" s="22">
        <f t="shared" si="25"/>
        <v>0</v>
      </c>
      <c r="F17" s="160"/>
      <c r="G17" s="187"/>
      <c r="H17" s="160"/>
      <c r="I17" s="160"/>
      <c r="J17" s="160"/>
      <c r="K17" s="160"/>
      <c r="L17" s="75" t="str">
        <f>IFERROR(VLOOKUP(K17,'PAINT LABOR COSTS'!$B$27:$C$58,2,FALSE),"Pick Color")</f>
        <v>Pick Color</v>
      </c>
      <c r="M17" s="160"/>
      <c r="N17" s="278">
        <f t="shared" si="1"/>
        <v>0</v>
      </c>
      <c r="O17" s="147" t="str">
        <f t="shared" si="2"/>
        <v/>
      </c>
      <c r="P17" s="75" t="str">
        <f t="shared" si="20"/>
        <v>YES</v>
      </c>
      <c r="Q17" s="160" t="s">
        <v>419</v>
      </c>
      <c r="R17" s="75" t="str">
        <f t="shared" si="3"/>
        <v>NO</v>
      </c>
      <c r="S17" s="75" t="str">
        <f t="shared" si="4"/>
        <v>NO</v>
      </c>
      <c r="T17" s="160">
        <v>0</v>
      </c>
      <c r="V17" s="31">
        <f t="shared" si="5"/>
        <v>0</v>
      </c>
      <c r="W17" s="277">
        <f t="shared" si="6"/>
        <v>0</v>
      </c>
      <c r="X17" s="277">
        <f t="shared" si="7"/>
        <v>0</v>
      </c>
      <c r="Y17" s="277">
        <f t="shared" si="8"/>
        <v>0</v>
      </c>
      <c r="Z17" s="181">
        <f t="shared" si="9"/>
        <v>0</v>
      </c>
      <c r="AA17" s="104">
        <f t="shared" si="10"/>
        <v>0</v>
      </c>
      <c r="AB17" s="104">
        <f t="shared" si="11"/>
        <v>0</v>
      </c>
      <c r="AC17" s="104">
        <f t="shared" si="12"/>
        <v>0</v>
      </c>
      <c r="AD17" s="104"/>
      <c r="AE17" s="279"/>
      <c r="AF17" s="279">
        <f t="shared" si="13"/>
        <v>0</v>
      </c>
      <c r="AG17" s="104">
        <f t="shared" si="14"/>
        <v>0</v>
      </c>
      <c r="AH17" s="104"/>
      <c r="AI17" s="104">
        <f t="shared" si="15"/>
        <v>0</v>
      </c>
      <c r="AJ17" s="104"/>
      <c r="AK17" s="104">
        <f t="shared" si="21"/>
        <v>0</v>
      </c>
      <c r="AL17" s="181">
        <f t="shared" si="22"/>
        <v>0</v>
      </c>
      <c r="AM17" s="104">
        <f t="shared" si="23"/>
        <v>0</v>
      </c>
      <c r="AN17" s="181">
        <f>IF(V17=0,0,VLOOKUP(K17,'PAINT LABOR COSTS'!$B$27:$N$67,12,0)*V17)*F17</f>
        <v>0</v>
      </c>
      <c r="AO17" s="181">
        <f t="shared" si="24"/>
        <v>0</v>
      </c>
      <c r="AP17" s="104">
        <f t="shared" si="16"/>
        <v>0</v>
      </c>
    </row>
    <row r="18" spans="1:42" ht="15.75">
      <c r="A18" s="2">
        <v>8</v>
      </c>
      <c r="B18" s="181">
        <f t="shared" si="17"/>
        <v>0</v>
      </c>
      <c r="C18" s="181">
        <f t="shared" si="18"/>
        <v>0</v>
      </c>
      <c r="D18" s="181">
        <f t="shared" si="19"/>
        <v>0</v>
      </c>
      <c r="E18" s="22">
        <f t="shared" si="25"/>
        <v>0</v>
      </c>
      <c r="F18" s="160"/>
      <c r="G18" s="187"/>
      <c r="H18" s="160"/>
      <c r="I18" s="160"/>
      <c r="J18" s="160"/>
      <c r="K18" s="160"/>
      <c r="L18" s="75" t="str">
        <f>IFERROR(VLOOKUP(K18,'PAINT LABOR COSTS'!$B$27:$C$58,2,FALSE),"Pick Color")</f>
        <v>Pick Color</v>
      </c>
      <c r="M18" s="160"/>
      <c r="N18" s="278">
        <f t="shared" si="1"/>
        <v>0</v>
      </c>
      <c r="O18" s="147" t="str">
        <f t="shared" si="2"/>
        <v/>
      </c>
      <c r="P18" s="75" t="str">
        <f t="shared" si="20"/>
        <v>YES</v>
      </c>
      <c r="Q18" s="160" t="s">
        <v>419</v>
      </c>
      <c r="R18" s="75" t="str">
        <f t="shared" si="3"/>
        <v>NO</v>
      </c>
      <c r="S18" s="75" t="str">
        <f t="shared" si="4"/>
        <v>NO</v>
      </c>
      <c r="T18" s="160">
        <v>0</v>
      </c>
      <c r="V18" s="31">
        <f t="shared" si="5"/>
        <v>0</v>
      </c>
      <c r="W18" s="277">
        <f t="shared" si="6"/>
        <v>0</v>
      </c>
      <c r="X18" s="277">
        <f t="shared" si="7"/>
        <v>0</v>
      </c>
      <c r="Y18" s="277">
        <f t="shared" si="8"/>
        <v>0</v>
      </c>
      <c r="Z18" s="181">
        <f t="shared" si="9"/>
        <v>0</v>
      </c>
      <c r="AA18" s="104">
        <f t="shared" si="10"/>
        <v>0</v>
      </c>
      <c r="AB18" s="104">
        <f t="shared" si="11"/>
        <v>0</v>
      </c>
      <c r="AC18" s="104">
        <f t="shared" si="12"/>
        <v>0</v>
      </c>
      <c r="AD18" s="104"/>
      <c r="AE18" s="279"/>
      <c r="AF18" s="279">
        <f t="shared" si="13"/>
        <v>0</v>
      </c>
      <c r="AG18" s="104">
        <f t="shared" si="14"/>
        <v>0</v>
      </c>
      <c r="AH18" s="104"/>
      <c r="AI18" s="104">
        <f t="shared" si="15"/>
        <v>0</v>
      </c>
      <c r="AJ18" s="104"/>
      <c r="AK18" s="104">
        <f t="shared" si="21"/>
        <v>0</v>
      </c>
      <c r="AL18" s="181">
        <f t="shared" si="22"/>
        <v>0</v>
      </c>
      <c r="AM18" s="104">
        <f t="shared" si="23"/>
        <v>0</v>
      </c>
      <c r="AN18" s="181">
        <f>IF(V18=0,0,VLOOKUP(K18,'PAINT LABOR COSTS'!$B$27:$N$67,12,0)*V18)*F18</f>
        <v>0</v>
      </c>
      <c r="AO18" s="181">
        <f t="shared" si="24"/>
        <v>0</v>
      </c>
      <c r="AP18" s="104">
        <f t="shared" si="16"/>
        <v>0</v>
      </c>
    </row>
    <row r="19" spans="1:42" ht="15.75">
      <c r="A19" s="2">
        <v>9</v>
      </c>
      <c r="B19" s="181">
        <f t="shared" si="17"/>
        <v>0</v>
      </c>
      <c r="C19" s="181">
        <f t="shared" si="18"/>
        <v>0</v>
      </c>
      <c r="D19" s="181">
        <f t="shared" si="19"/>
        <v>0</v>
      </c>
      <c r="E19" s="22">
        <f t="shared" si="25"/>
        <v>0</v>
      </c>
      <c r="F19" s="160"/>
      <c r="G19" s="187"/>
      <c r="H19" s="160"/>
      <c r="I19" s="160"/>
      <c r="J19" s="160"/>
      <c r="K19" s="160"/>
      <c r="L19" s="75" t="str">
        <f>IFERROR(VLOOKUP(K19,'PAINT LABOR COSTS'!$B$27:$C$58,2,FALSE),"Pick Color")</f>
        <v>Pick Color</v>
      </c>
      <c r="M19" s="160"/>
      <c r="N19" s="278">
        <f t="shared" si="1"/>
        <v>0</v>
      </c>
      <c r="O19" s="147" t="str">
        <f t="shared" si="2"/>
        <v/>
      </c>
      <c r="P19" s="75" t="str">
        <f t="shared" si="20"/>
        <v>YES</v>
      </c>
      <c r="Q19" s="160" t="s">
        <v>419</v>
      </c>
      <c r="R19" s="75" t="str">
        <f t="shared" si="3"/>
        <v>NO</v>
      </c>
      <c r="S19" s="75" t="str">
        <f t="shared" si="4"/>
        <v>NO</v>
      </c>
      <c r="T19" s="160">
        <v>0</v>
      </c>
      <c r="V19" s="31">
        <f t="shared" si="5"/>
        <v>0</v>
      </c>
      <c r="W19" s="277">
        <f t="shared" si="6"/>
        <v>0</v>
      </c>
      <c r="X19" s="277">
        <f t="shared" si="7"/>
        <v>0</v>
      </c>
      <c r="Y19" s="277">
        <f t="shared" si="8"/>
        <v>0</v>
      </c>
      <c r="Z19" s="181">
        <f t="shared" si="9"/>
        <v>0</v>
      </c>
      <c r="AA19" s="104">
        <f t="shared" si="10"/>
        <v>0</v>
      </c>
      <c r="AB19" s="104">
        <f t="shared" si="11"/>
        <v>0</v>
      </c>
      <c r="AC19" s="104">
        <f t="shared" si="12"/>
        <v>0</v>
      </c>
      <c r="AD19" s="104"/>
      <c r="AE19" s="279"/>
      <c r="AF19" s="279">
        <f t="shared" si="13"/>
        <v>0</v>
      </c>
      <c r="AG19" s="104">
        <f t="shared" si="14"/>
        <v>0</v>
      </c>
      <c r="AH19" s="104"/>
      <c r="AI19" s="104">
        <f t="shared" si="15"/>
        <v>0</v>
      </c>
      <c r="AJ19" s="104"/>
      <c r="AK19" s="104">
        <f t="shared" si="21"/>
        <v>0</v>
      </c>
      <c r="AL19" s="181">
        <f t="shared" si="22"/>
        <v>0</v>
      </c>
      <c r="AM19" s="104">
        <f t="shared" si="23"/>
        <v>0</v>
      </c>
      <c r="AN19" s="181">
        <f>IF(V19=0,0,VLOOKUP(K19,'PAINT LABOR COSTS'!$B$27:$N$67,12,0)*V19)*F19</f>
        <v>0</v>
      </c>
      <c r="AO19" s="181">
        <f t="shared" si="24"/>
        <v>0</v>
      </c>
      <c r="AP19" s="104">
        <f t="shared" si="16"/>
        <v>0</v>
      </c>
    </row>
    <row r="20" spans="1:42" ht="15.75">
      <c r="A20" s="2">
        <v>10</v>
      </c>
      <c r="B20" s="181">
        <f t="shared" si="17"/>
        <v>0</v>
      </c>
      <c r="C20" s="181">
        <f t="shared" si="18"/>
        <v>0</v>
      </c>
      <c r="D20" s="181">
        <f t="shared" si="19"/>
        <v>0</v>
      </c>
      <c r="E20" s="22">
        <f t="shared" si="25"/>
        <v>0</v>
      </c>
      <c r="F20" s="160"/>
      <c r="G20" s="187"/>
      <c r="H20" s="160"/>
      <c r="I20" s="160"/>
      <c r="J20" s="160"/>
      <c r="K20" s="160"/>
      <c r="L20" s="75" t="str">
        <f>IFERROR(VLOOKUP(K20,'PAINT LABOR COSTS'!$B$27:$C$58,2,FALSE),"Pick Color")</f>
        <v>Pick Color</v>
      </c>
      <c r="M20" s="160"/>
      <c r="N20" s="278">
        <f t="shared" si="1"/>
        <v>0</v>
      </c>
      <c r="O20" s="147" t="str">
        <f t="shared" si="2"/>
        <v/>
      </c>
      <c r="P20" s="75" t="str">
        <f t="shared" si="20"/>
        <v>YES</v>
      </c>
      <c r="Q20" s="160" t="s">
        <v>419</v>
      </c>
      <c r="R20" s="75" t="str">
        <f t="shared" si="3"/>
        <v>NO</v>
      </c>
      <c r="S20" s="75" t="str">
        <f t="shared" si="4"/>
        <v>NO</v>
      </c>
      <c r="T20" s="160">
        <v>0</v>
      </c>
      <c r="V20" s="31">
        <f t="shared" si="5"/>
        <v>0</v>
      </c>
      <c r="W20" s="277">
        <f t="shared" si="6"/>
        <v>0</v>
      </c>
      <c r="X20" s="277">
        <f t="shared" si="7"/>
        <v>0</v>
      </c>
      <c r="Y20" s="277">
        <f t="shared" si="8"/>
        <v>0</v>
      </c>
      <c r="Z20" s="181">
        <f t="shared" si="9"/>
        <v>0</v>
      </c>
      <c r="AA20" s="104">
        <f t="shared" si="10"/>
        <v>0</v>
      </c>
      <c r="AB20" s="104">
        <f t="shared" si="11"/>
        <v>0</v>
      </c>
      <c r="AC20" s="104">
        <f t="shared" si="12"/>
        <v>0</v>
      </c>
      <c r="AD20" s="104"/>
      <c r="AE20" s="279"/>
      <c r="AF20" s="279">
        <f t="shared" si="13"/>
        <v>0</v>
      </c>
      <c r="AG20" s="104">
        <f t="shared" si="14"/>
        <v>0</v>
      </c>
      <c r="AH20" s="104"/>
      <c r="AI20" s="104">
        <f t="shared" si="15"/>
        <v>0</v>
      </c>
      <c r="AJ20" s="104"/>
      <c r="AK20" s="104">
        <f t="shared" si="21"/>
        <v>0</v>
      </c>
      <c r="AL20" s="181">
        <f t="shared" si="22"/>
        <v>0</v>
      </c>
      <c r="AM20" s="104">
        <f t="shared" si="23"/>
        <v>0</v>
      </c>
      <c r="AN20" s="181">
        <f>IF(V20=0,0,VLOOKUP(K20,'PAINT LABOR COSTS'!$B$27:$N$67,12,0)*V20)*F20</f>
        <v>0</v>
      </c>
      <c r="AO20" s="181">
        <f t="shared" si="24"/>
        <v>0</v>
      </c>
      <c r="AP20" s="104">
        <f t="shared" si="16"/>
        <v>0</v>
      </c>
    </row>
    <row r="21" spans="1:42" ht="15.75">
      <c r="A21" s="2">
        <v>11</v>
      </c>
      <c r="B21" s="181">
        <f t="shared" si="17"/>
        <v>0</v>
      </c>
      <c r="C21" s="181">
        <f t="shared" si="18"/>
        <v>0</v>
      </c>
      <c r="D21" s="181">
        <f t="shared" si="19"/>
        <v>0</v>
      </c>
      <c r="E21" s="22">
        <f t="shared" si="25"/>
        <v>0</v>
      </c>
      <c r="F21" s="160"/>
      <c r="G21" s="187"/>
      <c r="H21" s="160"/>
      <c r="I21" s="160"/>
      <c r="J21" s="160"/>
      <c r="K21" s="160"/>
      <c r="L21" s="75" t="str">
        <f>IFERROR(VLOOKUP(K21,'PAINT LABOR COSTS'!$B$27:$C$58,2,FALSE),"Pick Color")</f>
        <v>Pick Color</v>
      </c>
      <c r="M21" s="160"/>
      <c r="N21" s="278">
        <f t="shared" si="1"/>
        <v>0</v>
      </c>
      <c r="O21" s="147" t="str">
        <f t="shared" si="2"/>
        <v/>
      </c>
      <c r="P21" s="75" t="str">
        <f t="shared" si="20"/>
        <v>YES</v>
      </c>
      <c r="Q21" s="160" t="s">
        <v>419</v>
      </c>
      <c r="R21" s="75" t="str">
        <f t="shared" si="3"/>
        <v>NO</v>
      </c>
      <c r="S21" s="75" t="str">
        <f t="shared" si="4"/>
        <v>NO</v>
      </c>
      <c r="T21" s="160">
        <v>0</v>
      </c>
      <c r="V21" s="31">
        <f t="shared" si="5"/>
        <v>0</v>
      </c>
      <c r="W21" s="277">
        <f t="shared" si="6"/>
        <v>0</v>
      </c>
      <c r="X21" s="277">
        <f t="shared" si="7"/>
        <v>0</v>
      </c>
      <c r="Y21" s="277">
        <f t="shared" si="8"/>
        <v>0</v>
      </c>
      <c r="Z21" s="181">
        <f t="shared" si="9"/>
        <v>0</v>
      </c>
      <c r="AA21" s="104">
        <f t="shared" si="10"/>
        <v>0</v>
      </c>
      <c r="AB21" s="104">
        <f t="shared" si="11"/>
        <v>0</v>
      </c>
      <c r="AC21" s="104">
        <f t="shared" si="12"/>
        <v>0</v>
      </c>
      <c r="AD21" s="104"/>
      <c r="AE21" s="279"/>
      <c r="AF21" s="279">
        <f t="shared" si="13"/>
        <v>0</v>
      </c>
      <c r="AG21" s="104">
        <f t="shared" si="14"/>
        <v>0</v>
      </c>
      <c r="AH21" s="104"/>
      <c r="AI21" s="104">
        <f t="shared" si="15"/>
        <v>0</v>
      </c>
      <c r="AJ21" s="104"/>
      <c r="AK21" s="104">
        <f t="shared" si="21"/>
        <v>0</v>
      </c>
      <c r="AL21" s="181">
        <f t="shared" si="22"/>
        <v>0</v>
      </c>
      <c r="AM21" s="104">
        <f t="shared" si="23"/>
        <v>0</v>
      </c>
      <c r="AN21" s="181">
        <f>IF(V21=0,0,VLOOKUP(K21,'PAINT LABOR COSTS'!$B$27:$N$67,12,0)*V21)*F21</f>
        <v>0</v>
      </c>
      <c r="AO21" s="181">
        <f t="shared" si="24"/>
        <v>0</v>
      </c>
      <c r="AP21" s="104">
        <f t="shared" si="16"/>
        <v>0</v>
      </c>
    </row>
    <row r="22" spans="1:42" ht="15.75">
      <c r="A22" s="2">
        <v>12</v>
      </c>
      <c r="B22" s="181">
        <f t="shared" si="17"/>
        <v>0</v>
      </c>
      <c r="C22" s="181">
        <f t="shared" si="18"/>
        <v>0</v>
      </c>
      <c r="D22" s="181">
        <f t="shared" si="19"/>
        <v>0</v>
      </c>
      <c r="E22" s="22">
        <f t="shared" si="25"/>
        <v>0</v>
      </c>
      <c r="F22" s="160"/>
      <c r="G22" s="187"/>
      <c r="H22" s="160"/>
      <c r="I22" s="160"/>
      <c r="J22" s="160"/>
      <c r="K22" s="160"/>
      <c r="L22" s="75" t="str">
        <f>IFERROR(VLOOKUP(K22,'PAINT LABOR COSTS'!$B$27:$C$58,2,FALSE),"Pick Color")</f>
        <v>Pick Color</v>
      </c>
      <c r="M22" s="160"/>
      <c r="N22" s="278">
        <f t="shared" si="1"/>
        <v>0</v>
      </c>
      <c r="O22" s="147" t="str">
        <f t="shared" si="2"/>
        <v/>
      </c>
      <c r="P22" s="75" t="str">
        <f t="shared" si="20"/>
        <v>YES</v>
      </c>
      <c r="Q22" s="160" t="s">
        <v>419</v>
      </c>
      <c r="R22" s="75" t="str">
        <f t="shared" si="3"/>
        <v>NO</v>
      </c>
      <c r="S22" s="75" t="str">
        <f t="shared" si="4"/>
        <v>NO</v>
      </c>
      <c r="T22" s="160">
        <v>0</v>
      </c>
      <c r="V22" s="31">
        <f t="shared" si="5"/>
        <v>0</v>
      </c>
      <c r="W22" s="277">
        <f t="shared" si="6"/>
        <v>0</v>
      </c>
      <c r="X22" s="277">
        <f t="shared" si="7"/>
        <v>0</v>
      </c>
      <c r="Y22" s="277">
        <f t="shared" si="8"/>
        <v>0</v>
      </c>
      <c r="Z22" s="181">
        <f t="shared" si="9"/>
        <v>0</v>
      </c>
      <c r="AA22" s="104">
        <f t="shared" si="10"/>
        <v>0</v>
      </c>
      <c r="AB22" s="104">
        <f t="shared" si="11"/>
        <v>0</v>
      </c>
      <c r="AC22" s="104">
        <f t="shared" si="12"/>
        <v>0</v>
      </c>
      <c r="AD22" s="104"/>
      <c r="AE22" s="279"/>
      <c r="AF22" s="279">
        <f t="shared" si="13"/>
        <v>0</v>
      </c>
      <c r="AG22" s="104">
        <f t="shared" si="14"/>
        <v>0</v>
      </c>
      <c r="AH22" s="104"/>
      <c r="AI22" s="104">
        <f t="shared" si="15"/>
        <v>0</v>
      </c>
      <c r="AJ22" s="104"/>
      <c r="AK22" s="104">
        <f t="shared" si="21"/>
        <v>0</v>
      </c>
      <c r="AL22" s="181">
        <f t="shared" si="22"/>
        <v>0</v>
      </c>
      <c r="AM22" s="104">
        <f t="shared" si="23"/>
        <v>0</v>
      </c>
      <c r="AN22" s="181">
        <f>IF(V22=0,0,VLOOKUP(K22,'PAINT LABOR COSTS'!$B$27:$N$67,12,0)*V22)*F22</f>
        <v>0</v>
      </c>
      <c r="AO22" s="181">
        <f t="shared" si="24"/>
        <v>0</v>
      </c>
      <c r="AP22" s="104">
        <f t="shared" si="16"/>
        <v>0</v>
      </c>
    </row>
    <row r="23" spans="1:42" ht="15.75">
      <c r="A23" s="2">
        <v>13</v>
      </c>
      <c r="B23" s="181">
        <f t="shared" si="17"/>
        <v>0</v>
      </c>
      <c r="C23" s="181">
        <f t="shared" si="18"/>
        <v>0</v>
      </c>
      <c r="D23" s="181">
        <f t="shared" si="19"/>
        <v>0</v>
      </c>
      <c r="E23" s="22">
        <f t="shared" si="25"/>
        <v>0</v>
      </c>
      <c r="F23" s="160"/>
      <c r="G23" s="187"/>
      <c r="H23" s="160"/>
      <c r="I23" s="160"/>
      <c r="J23" s="160"/>
      <c r="K23" s="160"/>
      <c r="L23" s="75" t="str">
        <f>IFERROR(VLOOKUP(K23,'PAINT LABOR COSTS'!$B$27:$C$58,2,FALSE),"Pick Color")</f>
        <v>Pick Color</v>
      </c>
      <c r="M23" s="160"/>
      <c r="N23" s="278">
        <f t="shared" si="1"/>
        <v>0</v>
      </c>
      <c r="O23" s="147" t="str">
        <f t="shared" si="2"/>
        <v/>
      </c>
      <c r="P23" s="75" t="str">
        <f t="shared" si="20"/>
        <v>YES</v>
      </c>
      <c r="Q23" s="160" t="s">
        <v>419</v>
      </c>
      <c r="R23" s="75" t="str">
        <f t="shared" si="3"/>
        <v>NO</v>
      </c>
      <c r="S23" s="75" t="str">
        <f t="shared" si="4"/>
        <v>NO</v>
      </c>
      <c r="T23" s="160">
        <v>0</v>
      </c>
      <c r="V23" s="31">
        <f t="shared" si="5"/>
        <v>0</v>
      </c>
      <c r="W23" s="277">
        <f t="shared" si="6"/>
        <v>0</v>
      </c>
      <c r="X23" s="277">
        <f t="shared" si="7"/>
        <v>0</v>
      </c>
      <c r="Y23" s="277">
        <f t="shared" si="8"/>
        <v>0</v>
      </c>
      <c r="Z23" s="181">
        <f t="shared" si="9"/>
        <v>0</v>
      </c>
      <c r="AA23" s="104">
        <f t="shared" si="10"/>
        <v>0</v>
      </c>
      <c r="AB23" s="104">
        <f t="shared" si="11"/>
        <v>0</v>
      </c>
      <c r="AC23" s="104">
        <f t="shared" si="12"/>
        <v>0</v>
      </c>
      <c r="AD23" s="104"/>
      <c r="AE23" s="279"/>
      <c r="AF23" s="279">
        <f t="shared" si="13"/>
        <v>0</v>
      </c>
      <c r="AG23" s="104">
        <f t="shared" si="14"/>
        <v>0</v>
      </c>
      <c r="AH23" s="104"/>
      <c r="AI23" s="104">
        <f t="shared" si="15"/>
        <v>0</v>
      </c>
      <c r="AJ23" s="104"/>
      <c r="AK23" s="104">
        <f t="shared" si="21"/>
        <v>0</v>
      </c>
      <c r="AL23" s="181">
        <f t="shared" si="22"/>
        <v>0</v>
      </c>
      <c r="AM23" s="104">
        <f t="shared" si="23"/>
        <v>0</v>
      </c>
      <c r="AN23" s="181">
        <f>IF(V23=0,0,VLOOKUP(K23,'PAINT LABOR COSTS'!$B$27:$N$67,12,0)*V23)*F23</f>
        <v>0</v>
      </c>
      <c r="AO23" s="181">
        <f t="shared" si="24"/>
        <v>0</v>
      </c>
      <c r="AP23" s="104">
        <f t="shared" si="16"/>
        <v>0</v>
      </c>
    </row>
    <row r="24" spans="1:42" ht="15.75">
      <c r="A24" s="2">
        <v>14</v>
      </c>
      <c r="B24" s="181">
        <f t="shared" si="17"/>
        <v>0</v>
      </c>
      <c r="C24" s="181">
        <f t="shared" si="18"/>
        <v>0</v>
      </c>
      <c r="D24" s="181">
        <f t="shared" si="19"/>
        <v>0</v>
      </c>
      <c r="E24" s="22">
        <f t="shared" si="25"/>
        <v>0</v>
      </c>
      <c r="F24" s="160"/>
      <c r="G24" s="187"/>
      <c r="H24" s="160"/>
      <c r="I24" s="160"/>
      <c r="J24" s="160"/>
      <c r="K24" s="160"/>
      <c r="L24" s="75" t="str">
        <f>IFERROR(VLOOKUP(K24,'PAINT LABOR COSTS'!$B$27:$C$58,2,FALSE),"Pick Color")</f>
        <v>Pick Color</v>
      </c>
      <c r="M24" s="160"/>
      <c r="N24" s="278">
        <f t="shared" si="1"/>
        <v>0</v>
      </c>
      <c r="O24" s="147" t="str">
        <f t="shared" si="2"/>
        <v/>
      </c>
      <c r="P24" s="75" t="str">
        <f t="shared" si="20"/>
        <v>YES</v>
      </c>
      <c r="Q24" s="160" t="s">
        <v>419</v>
      </c>
      <c r="R24" s="75" t="str">
        <f t="shared" si="3"/>
        <v>NO</v>
      </c>
      <c r="S24" s="75" t="str">
        <f t="shared" si="4"/>
        <v>NO</v>
      </c>
      <c r="T24" s="160">
        <v>0</v>
      </c>
      <c r="V24" s="31">
        <f t="shared" si="5"/>
        <v>0</v>
      </c>
      <c r="W24" s="277">
        <f t="shared" si="6"/>
        <v>0</v>
      </c>
      <c r="X24" s="277">
        <f t="shared" si="7"/>
        <v>0</v>
      </c>
      <c r="Y24" s="277">
        <f t="shared" si="8"/>
        <v>0</v>
      </c>
      <c r="Z24" s="181">
        <f t="shared" si="9"/>
        <v>0</v>
      </c>
      <c r="AA24" s="104">
        <f t="shared" si="10"/>
        <v>0</v>
      </c>
      <c r="AB24" s="104">
        <f t="shared" si="11"/>
        <v>0</v>
      </c>
      <c r="AC24" s="104">
        <f t="shared" si="12"/>
        <v>0</v>
      </c>
      <c r="AD24" s="104"/>
      <c r="AE24" s="279"/>
      <c r="AF24" s="279">
        <f t="shared" si="13"/>
        <v>0</v>
      </c>
      <c r="AG24" s="104">
        <f t="shared" si="14"/>
        <v>0</v>
      </c>
      <c r="AH24" s="104"/>
      <c r="AI24" s="104">
        <f t="shared" si="15"/>
        <v>0</v>
      </c>
      <c r="AJ24" s="104"/>
      <c r="AK24" s="104">
        <f t="shared" si="21"/>
        <v>0</v>
      </c>
      <c r="AL24" s="181">
        <f t="shared" si="22"/>
        <v>0</v>
      </c>
      <c r="AM24" s="104">
        <f t="shared" si="23"/>
        <v>0</v>
      </c>
      <c r="AN24" s="181">
        <f>IF(V24=0,0,VLOOKUP(K24,'PAINT LABOR COSTS'!$B$27:$N$67,12,0)*V24)*F24</f>
        <v>0</v>
      </c>
      <c r="AO24" s="181">
        <f t="shared" si="24"/>
        <v>0</v>
      </c>
      <c r="AP24" s="104">
        <f t="shared" si="16"/>
        <v>0</v>
      </c>
    </row>
    <row r="25" spans="1:42" ht="15.75">
      <c r="A25" s="2">
        <v>15</v>
      </c>
      <c r="B25" s="181">
        <f t="shared" si="17"/>
        <v>0</v>
      </c>
      <c r="C25" s="181">
        <f t="shared" si="18"/>
        <v>0</v>
      </c>
      <c r="D25" s="181">
        <f t="shared" si="19"/>
        <v>0</v>
      </c>
      <c r="E25" s="22">
        <f t="shared" si="25"/>
        <v>0</v>
      </c>
      <c r="F25" s="160"/>
      <c r="G25" s="187"/>
      <c r="H25" s="160"/>
      <c r="I25" s="160"/>
      <c r="J25" s="160"/>
      <c r="K25" s="160"/>
      <c r="L25" s="75" t="str">
        <f>IFERROR(VLOOKUP(K25,'PAINT LABOR COSTS'!$B$27:$C$58,2,FALSE),"Pick Color")</f>
        <v>Pick Color</v>
      </c>
      <c r="M25" s="160"/>
      <c r="N25" s="278">
        <f t="shared" si="1"/>
        <v>0</v>
      </c>
      <c r="O25" s="147" t="str">
        <f t="shared" si="2"/>
        <v/>
      </c>
      <c r="P25" s="75" t="str">
        <f t="shared" si="20"/>
        <v>YES</v>
      </c>
      <c r="Q25" s="160" t="s">
        <v>419</v>
      </c>
      <c r="R25" s="75" t="str">
        <f t="shared" si="3"/>
        <v>NO</v>
      </c>
      <c r="S25" s="75" t="str">
        <f t="shared" si="4"/>
        <v>NO</v>
      </c>
      <c r="T25" s="160">
        <v>0</v>
      </c>
      <c r="V25" s="31">
        <f t="shared" si="5"/>
        <v>0</v>
      </c>
      <c r="W25" s="277">
        <f t="shared" si="6"/>
        <v>0</v>
      </c>
      <c r="X25" s="277">
        <f t="shared" si="7"/>
        <v>0</v>
      </c>
      <c r="Y25" s="277">
        <f t="shared" si="8"/>
        <v>0</v>
      </c>
      <c r="Z25" s="181">
        <f t="shared" si="9"/>
        <v>0</v>
      </c>
      <c r="AA25" s="104">
        <f t="shared" si="10"/>
        <v>0</v>
      </c>
      <c r="AB25" s="104">
        <f t="shared" si="11"/>
        <v>0</v>
      </c>
      <c r="AC25" s="104">
        <f t="shared" si="12"/>
        <v>0</v>
      </c>
      <c r="AD25" s="104"/>
      <c r="AE25" s="279"/>
      <c r="AF25" s="279">
        <f t="shared" si="13"/>
        <v>0</v>
      </c>
      <c r="AG25" s="104">
        <f t="shared" si="14"/>
        <v>0</v>
      </c>
      <c r="AH25" s="104"/>
      <c r="AI25" s="104">
        <f t="shared" si="15"/>
        <v>0</v>
      </c>
      <c r="AJ25" s="104"/>
      <c r="AK25" s="104">
        <f t="shared" si="21"/>
        <v>0</v>
      </c>
      <c r="AL25" s="181">
        <f t="shared" si="22"/>
        <v>0</v>
      </c>
      <c r="AM25" s="104">
        <f t="shared" si="23"/>
        <v>0</v>
      </c>
      <c r="AN25" s="181">
        <f>IF(V25=0,0,VLOOKUP(K25,'PAINT LABOR COSTS'!$B$27:$N$67,12,0)*V25)*F25</f>
        <v>0</v>
      </c>
      <c r="AO25" s="181">
        <f t="shared" si="24"/>
        <v>0</v>
      </c>
      <c r="AP25" s="104">
        <f t="shared" si="16"/>
        <v>0</v>
      </c>
    </row>
    <row r="26" spans="1:42" ht="15.75">
      <c r="A26" s="2">
        <v>16</v>
      </c>
      <c r="B26" s="181">
        <f t="shared" si="17"/>
        <v>0</v>
      </c>
      <c r="C26" s="181">
        <f t="shared" si="18"/>
        <v>0</v>
      </c>
      <c r="D26" s="181">
        <f t="shared" si="19"/>
        <v>0</v>
      </c>
      <c r="E26" s="22">
        <f t="shared" si="25"/>
        <v>0</v>
      </c>
      <c r="F26" s="160"/>
      <c r="G26" s="187"/>
      <c r="H26" s="160"/>
      <c r="I26" s="160"/>
      <c r="J26" s="160"/>
      <c r="K26" s="160"/>
      <c r="L26" s="75" t="str">
        <f>IFERROR(VLOOKUP(K26,'PAINT LABOR COSTS'!$B$27:$C$58,2,FALSE),"Pick Color")</f>
        <v>Pick Color</v>
      </c>
      <c r="M26" s="160"/>
      <c r="N26" s="278">
        <f t="shared" si="1"/>
        <v>0</v>
      </c>
      <c r="O26" s="147" t="str">
        <f t="shared" si="2"/>
        <v/>
      </c>
      <c r="P26" s="75" t="str">
        <f t="shared" si="20"/>
        <v>YES</v>
      </c>
      <c r="Q26" s="160" t="s">
        <v>419</v>
      </c>
      <c r="R26" s="75" t="str">
        <f t="shared" si="3"/>
        <v>NO</v>
      </c>
      <c r="S26" s="75" t="str">
        <f t="shared" si="4"/>
        <v>NO</v>
      </c>
      <c r="T26" s="160">
        <v>0</v>
      </c>
      <c r="V26" s="31">
        <f t="shared" si="5"/>
        <v>0</v>
      </c>
      <c r="W26" s="277">
        <f t="shared" si="6"/>
        <v>0</v>
      </c>
      <c r="X26" s="277">
        <f t="shared" si="7"/>
        <v>0</v>
      </c>
      <c r="Y26" s="277">
        <f t="shared" si="8"/>
        <v>0</v>
      </c>
      <c r="Z26" s="181">
        <f t="shared" si="9"/>
        <v>0</v>
      </c>
      <c r="AA26" s="104">
        <f t="shared" si="10"/>
        <v>0</v>
      </c>
      <c r="AB26" s="104">
        <f t="shared" si="11"/>
        <v>0</v>
      </c>
      <c r="AC26" s="104">
        <f t="shared" si="12"/>
        <v>0</v>
      </c>
      <c r="AD26" s="104"/>
      <c r="AE26" s="279"/>
      <c r="AF26" s="279">
        <f t="shared" si="13"/>
        <v>0</v>
      </c>
      <c r="AG26" s="104">
        <f t="shared" si="14"/>
        <v>0</v>
      </c>
      <c r="AH26" s="104"/>
      <c r="AI26" s="104">
        <f t="shared" si="15"/>
        <v>0</v>
      </c>
      <c r="AJ26" s="104"/>
      <c r="AK26" s="104">
        <f t="shared" si="21"/>
        <v>0</v>
      </c>
      <c r="AL26" s="181">
        <f t="shared" si="22"/>
        <v>0</v>
      </c>
      <c r="AM26" s="104">
        <f t="shared" si="23"/>
        <v>0</v>
      </c>
      <c r="AN26" s="181">
        <f>IF(V26=0,0,VLOOKUP(K26,'PAINT LABOR COSTS'!$B$27:$N$67,12,0)*V26)*F26</f>
        <v>0</v>
      </c>
      <c r="AO26" s="181">
        <f t="shared" si="24"/>
        <v>0</v>
      </c>
      <c r="AP26" s="104">
        <f t="shared" si="16"/>
        <v>0</v>
      </c>
    </row>
    <row r="27" spans="1:42" ht="15.75">
      <c r="A27" s="2">
        <v>17</v>
      </c>
      <c r="B27" s="181">
        <f t="shared" si="17"/>
        <v>0</v>
      </c>
      <c r="C27" s="181">
        <f t="shared" si="18"/>
        <v>0</v>
      </c>
      <c r="D27" s="181">
        <f t="shared" si="19"/>
        <v>0</v>
      </c>
      <c r="E27" s="22">
        <f t="shared" si="25"/>
        <v>0</v>
      </c>
      <c r="F27" s="160"/>
      <c r="G27" s="187"/>
      <c r="H27" s="160"/>
      <c r="I27" s="160"/>
      <c r="J27" s="160"/>
      <c r="K27" s="160"/>
      <c r="L27" s="75" t="str">
        <f>IFERROR(VLOOKUP(K27,'PAINT LABOR COSTS'!$B$27:$C$58,2,FALSE),"Pick Color")</f>
        <v>Pick Color</v>
      </c>
      <c r="M27" s="160"/>
      <c r="N27" s="278">
        <f t="shared" si="1"/>
        <v>0</v>
      </c>
      <c r="O27" s="147" t="str">
        <f t="shared" si="2"/>
        <v/>
      </c>
      <c r="P27" s="75" t="str">
        <f t="shared" si="20"/>
        <v>YES</v>
      </c>
      <c r="Q27" s="160" t="s">
        <v>419</v>
      </c>
      <c r="R27" s="75" t="str">
        <f t="shared" si="3"/>
        <v>NO</v>
      </c>
      <c r="S27" s="75" t="str">
        <f t="shared" si="4"/>
        <v>NO</v>
      </c>
      <c r="T27" s="160">
        <v>0</v>
      </c>
      <c r="V27" s="31">
        <f t="shared" si="5"/>
        <v>0</v>
      </c>
      <c r="W27" s="277">
        <f t="shared" si="6"/>
        <v>0</v>
      </c>
      <c r="X27" s="277">
        <f t="shared" si="7"/>
        <v>0</v>
      </c>
      <c r="Y27" s="277">
        <f t="shared" si="8"/>
        <v>0</v>
      </c>
      <c r="Z27" s="181">
        <f t="shared" si="9"/>
        <v>0</v>
      </c>
      <c r="AA27" s="104">
        <f t="shared" si="10"/>
        <v>0</v>
      </c>
      <c r="AB27" s="104">
        <f t="shared" si="11"/>
        <v>0</v>
      </c>
      <c r="AC27" s="104">
        <f t="shared" si="12"/>
        <v>0</v>
      </c>
      <c r="AD27" s="104"/>
      <c r="AE27" s="279"/>
      <c r="AF27" s="279">
        <f t="shared" si="13"/>
        <v>0</v>
      </c>
      <c r="AG27" s="104">
        <f t="shared" si="14"/>
        <v>0</v>
      </c>
      <c r="AH27" s="104"/>
      <c r="AI27" s="104">
        <f t="shared" si="15"/>
        <v>0</v>
      </c>
      <c r="AJ27" s="104"/>
      <c r="AK27" s="104">
        <f t="shared" si="21"/>
        <v>0</v>
      </c>
      <c r="AL27" s="181">
        <f t="shared" si="22"/>
        <v>0</v>
      </c>
      <c r="AM27" s="104">
        <f t="shared" si="23"/>
        <v>0</v>
      </c>
      <c r="AN27" s="181">
        <f>IF(V27=0,0,VLOOKUP(K27,'PAINT LABOR COSTS'!$B$27:$N$67,12,0)*V27)*F27</f>
        <v>0</v>
      </c>
      <c r="AO27" s="181">
        <f t="shared" si="24"/>
        <v>0</v>
      </c>
      <c r="AP27" s="104">
        <f t="shared" si="16"/>
        <v>0</v>
      </c>
    </row>
    <row r="28" spans="1:42" ht="15.75">
      <c r="A28" s="2">
        <v>18</v>
      </c>
      <c r="B28" s="181">
        <f t="shared" si="17"/>
        <v>0</v>
      </c>
      <c r="C28" s="181">
        <f t="shared" si="18"/>
        <v>0</v>
      </c>
      <c r="D28" s="181">
        <f t="shared" si="19"/>
        <v>0</v>
      </c>
      <c r="E28" s="22">
        <f t="shared" si="25"/>
        <v>0</v>
      </c>
      <c r="F28" s="160"/>
      <c r="G28" s="187"/>
      <c r="H28" s="160"/>
      <c r="I28" s="160"/>
      <c r="J28" s="160"/>
      <c r="K28" s="160"/>
      <c r="L28" s="75" t="str">
        <f>IFERROR(VLOOKUP(K28,'PAINT LABOR COSTS'!$B$27:$C$58,2,FALSE),"Pick Color")</f>
        <v>Pick Color</v>
      </c>
      <c r="M28" s="160"/>
      <c r="N28" s="278">
        <f t="shared" si="1"/>
        <v>0</v>
      </c>
      <c r="O28" s="147" t="str">
        <f t="shared" si="2"/>
        <v/>
      </c>
      <c r="P28" s="75" t="str">
        <f t="shared" si="20"/>
        <v>YES</v>
      </c>
      <c r="Q28" s="160" t="s">
        <v>419</v>
      </c>
      <c r="R28" s="75" t="str">
        <f t="shared" si="3"/>
        <v>NO</v>
      </c>
      <c r="S28" s="75" t="str">
        <f t="shared" si="4"/>
        <v>NO</v>
      </c>
      <c r="T28" s="160">
        <v>0</v>
      </c>
      <c r="V28" s="31">
        <f t="shared" si="5"/>
        <v>0</v>
      </c>
      <c r="W28" s="277">
        <f t="shared" si="6"/>
        <v>0</v>
      </c>
      <c r="X28" s="277">
        <f t="shared" si="7"/>
        <v>0</v>
      </c>
      <c r="Y28" s="277">
        <f t="shared" si="8"/>
        <v>0</v>
      </c>
      <c r="Z28" s="181">
        <f t="shared" si="9"/>
        <v>0</v>
      </c>
      <c r="AA28" s="104">
        <f t="shared" si="10"/>
        <v>0</v>
      </c>
      <c r="AB28" s="104">
        <f t="shared" si="11"/>
        <v>0</v>
      </c>
      <c r="AC28" s="104">
        <f t="shared" si="12"/>
        <v>0</v>
      </c>
      <c r="AD28" s="104"/>
      <c r="AE28" s="279"/>
      <c r="AF28" s="279">
        <f t="shared" si="13"/>
        <v>0</v>
      </c>
      <c r="AG28" s="104">
        <f t="shared" si="14"/>
        <v>0</v>
      </c>
      <c r="AH28" s="104"/>
      <c r="AI28" s="104">
        <f t="shared" si="15"/>
        <v>0</v>
      </c>
      <c r="AJ28" s="104"/>
      <c r="AK28" s="104">
        <f t="shared" si="21"/>
        <v>0</v>
      </c>
      <c r="AL28" s="181">
        <f t="shared" si="22"/>
        <v>0</v>
      </c>
      <c r="AM28" s="104">
        <f t="shared" si="23"/>
        <v>0</v>
      </c>
      <c r="AN28" s="181">
        <f>IF(V28=0,0,VLOOKUP(K28,'PAINT LABOR COSTS'!$B$27:$N$67,12,0)*V28)*F28</f>
        <v>0</v>
      </c>
      <c r="AO28" s="181">
        <f t="shared" si="24"/>
        <v>0</v>
      </c>
      <c r="AP28" s="104">
        <f t="shared" si="16"/>
        <v>0</v>
      </c>
    </row>
    <row r="29" spans="1:42" ht="15.75">
      <c r="A29" s="2">
        <v>19</v>
      </c>
      <c r="B29" s="181">
        <f t="shared" si="17"/>
        <v>0</v>
      </c>
      <c r="C29" s="181">
        <f t="shared" si="18"/>
        <v>0</v>
      </c>
      <c r="D29" s="181">
        <f t="shared" si="19"/>
        <v>0</v>
      </c>
      <c r="E29" s="22">
        <f t="shared" si="25"/>
        <v>0</v>
      </c>
      <c r="F29" s="160"/>
      <c r="G29" s="187"/>
      <c r="H29" s="160"/>
      <c r="I29" s="160"/>
      <c r="J29" s="160"/>
      <c r="K29" s="160"/>
      <c r="L29" s="75" t="str">
        <f>IFERROR(VLOOKUP(K29,'PAINT LABOR COSTS'!$B$27:$C$58,2,FALSE),"Pick Color")</f>
        <v>Pick Color</v>
      </c>
      <c r="M29" s="160"/>
      <c r="N29" s="278">
        <f t="shared" si="1"/>
        <v>0</v>
      </c>
      <c r="O29" s="147" t="str">
        <f t="shared" si="2"/>
        <v/>
      </c>
      <c r="P29" s="75" t="str">
        <f t="shared" si="20"/>
        <v>YES</v>
      </c>
      <c r="Q29" s="160" t="s">
        <v>419</v>
      </c>
      <c r="R29" s="75" t="str">
        <f t="shared" si="3"/>
        <v>NO</v>
      </c>
      <c r="S29" s="75" t="str">
        <f t="shared" si="4"/>
        <v>NO</v>
      </c>
      <c r="T29" s="160">
        <v>0</v>
      </c>
      <c r="V29" s="31">
        <f t="shared" si="5"/>
        <v>0</v>
      </c>
      <c r="W29" s="277">
        <f t="shared" si="6"/>
        <v>0</v>
      </c>
      <c r="X29" s="277">
        <f t="shared" si="7"/>
        <v>0</v>
      </c>
      <c r="Y29" s="277">
        <f t="shared" si="8"/>
        <v>0</v>
      </c>
      <c r="Z29" s="181">
        <f t="shared" si="9"/>
        <v>0</v>
      </c>
      <c r="AA29" s="104">
        <f t="shared" si="10"/>
        <v>0</v>
      </c>
      <c r="AB29" s="104">
        <f t="shared" si="11"/>
        <v>0</v>
      </c>
      <c r="AC29" s="104">
        <f t="shared" si="12"/>
        <v>0</v>
      </c>
      <c r="AD29" s="104"/>
      <c r="AE29" s="279"/>
      <c r="AF29" s="279">
        <f t="shared" si="13"/>
        <v>0</v>
      </c>
      <c r="AG29" s="104">
        <f t="shared" si="14"/>
        <v>0</v>
      </c>
      <c r="AH29" s="104"/>
      <c r="AI29" s="104">
        <f t="shared" si="15"/>
        <v>0</v>
      </c>
      <c r="AJ29" s="104"/>
      <c r="AK29" s="104">
        <f t="shared" si="21"/>
        <v>0</v>
      </c>
      <c r="AL29" s="181">
        <f t="shared" si="22"/>
        <v>0</v>
      </c>
      <c r="AM29" s="104">
        <f t="shared" si="23"/>
        <v>0</v>
      </c>
      <c r="AN29" s="181">
        <f>IF(V29=0,0,VLOOKUP(K29,'PAINT LABOR COSTS'!$B$27:$N$67,12,0)*V29)*F29</f>
        <v>0</v>
      </c>
      <c r="AO29" s="181">
        <f t="shared" si="24"/>
        <v>0</v>
      </c>
      <c r="AP29" s="104">
        <f t="shared" si="16"/>
        <v>0</v>
      </c>
    </row>
    <row r="30" spans="1:42" ht="15.75">
      <c r="A30" s="2">
        <v>20</v>
      </c>
      <c r="B30" s="181">
        <f t="shared" si="17"/>
        <v>0</v>
      </c>
      <c r="C30" s="181">
        <f t="shared" si="18"/>
        <v>0</v>
      </c>
      <c r="D30" s="181">
        <f t="shared" si="19"/>
        <v>0</v>
      </c>
      <c r="E30" s="22">
        <f t="shared" si="25"/>
        <v>0</v>
      </c>
      <c r="F30" s="160"/>
      <c r="G30" s="187"/>
      <c r="H30" s="160"/>
      <c r="I30" s="160"/>
      <c r="J30" s="160"/>
      <c r="K30" s="160"/>
      <c r="L30" s="75" t="str">
        <f>IFERROR(VLOOKUP(K30,'PAINT LABOR COSTS'!$B$27:$C$58,2,FALSE),"Pick Color")</f>
        <v>Pick Color</v>
      </c>
      <c r="M30" s="160"/>
      <c r="N30" s="278">
        <f t="shared" si="1"/>
        <v>0</v>
      </c>
      <c r="O30" s="147" t="str">
        <f t="shared" si="2"/>
        <v/>
      </c>
      <c r="P30" s="75" t="str">
        <f t="shared" si="20"/>
        <v>YES</v>
      </c>
      <c r="Q30" s="160" t="s">
        <v>419</v>
      </c>
      <c r="R30" s="75" t="str">
        <f t="shared" si="3"/>
        <v>NO</v>
      </c>
      <c r="S30" s="75" t="str">
        <f t="shared" si="4"/>
        <v>NO</v>
      </c>
      <c r="T30" s="160">
        <v>0</v>
      </c>
      <c r="V30" s="31">
        <f t="shared" si="5"/>
        <v>0</v>
      </c>
      <c r="W30" s="277">
        <f t="shared" si="6"/>
        <v>0</v>
      </c>
      <c r="X30" s="277">
        <f t="shared" si="7"/>
        <v>0</v>
      </c>
      <c r="Y30" s="277">
        <f t="shared" si="8"/>
        <v>0</v>
      </c>
      <c r="Z30" s="181">
        <f t="shared" si="9"/>
        <v>0</v>
      </c>
      <c r="AA30" s="104">
        <f t="shared" si="10"/>
        <v>0</v>
      </c>
      <c r="AB30" s="104">
        <f t="shared" si="11"/>
        <v>0</v>
      </c>
      <c r="AC30" s="104">
        <f t="shared" si="12"/>
        <v>0</v>
      </c>
      <c r="AD30" s="104"/>
      <c r="AE30" s="279"/>
      <c r="AF30" s="279">
        <f t="shared" si="13"/>
        <v>0</v>
      </c>
      <c r="AG30" s="104">
        <f t="shared" si="14"/>
        <v>0</v>
      </c>
      <c r="AH30" s="104"/>
      <c r="AI30" s="104">
        <f t="shared" si="15"/>
        <v>0</v>
      </c>
      <c r="AJ30" s="104"/>
      <c r="AK30" s="104">
        <f t="shared" si="21"/>
        <v>0</v>
      </c>
      <c r="AL30" s="181">
        <f t="shared" si="22"/>
        <v>0</v>
      </c>
      <c r="AM30" s="104">
        <f t="shared" si="23"/>
        <v>0</v>
      </c>
      <c r="AN30" s="181">
        <f>IF(V30=0,0,VLOOKUP(K30,'PAINT LABOR COSTS'!$B$27:$N$67,12,0)*V30)*F30</f>
        <v>0</v>
      </c>
      <c r="AO30" s="181">
        <f t="shared" si="24"/>
        <v>0</v>
      </c>
      <c r="AP30" s="104">
        <f t="shared" si="16"/>
        <v>0</v>
      </c>
    </row>
    <row r="31" spans="1:42" ht="15.75">
      <c r="A31" s="2">
        <v>21</v>
      </c>
      <c r="B31" s="181">
        <f t="shared" si="17"/>
        <v>0</v>
      </c>
      <c r="C31" s="181">
        <f t="shared" si="18"/>
        <v>0</v>
      </c>
      <c r="D31" s="181">
        <f t="shared" si="19"/>
        <v>0</v>
      </c>
      <c r="E31" s="22">
        <f t="shared" si="25"/>
        <v>0</v>
      </c>
      <c r="F31" s="160"/>
      <c r="G31" s="187"/>
      <c r="H31" s="160"/>
      <c r="I31" s="160"/>
      <c r="J31" s="160"/>
      <c r="K31" s="160"/>
      <c r="L31" s="75" t="str">
        <f>IFERROR(VLOOKUP(K31,'PAINT LABOR COSTS'!$B$27:$C$58,2,FALSE),"Pick Color")</f>
        <v>Pick Color</v>
      </c>
      <c r="M31" s="160"/>
      <c r="N31" s="278">
        <f t="shared" si="1"/>
        <v>0</v>
      </c>
      <c r="O31" s="147" t="str">
        <f t="shared" si="2"/>
        <v/>
      </c>
      <c r="P31" s="75" t="str">
        <f t="shared" si="20"/>
        <v>YES</v>
      </c>
      <c r="Q31" s="160" t="s">
        <v>419</v>
      </c>
      <c r="R31" s="75" t="str">
        <f t="shared" si="3"/>
        <v>NO</v>
      </c>
      <c r="S31" s="75" t="str">
        <f t="shared" si="4"/>
        <v>NO</v>
      </c>
      <c r="T31" s="160">
        <v>0</v>
      </c>
      <c r="V31" s="31">
        <f t="shared" si="5"/>
        <v>0</v>
      </c>
      <c r="W31" s="277">
        <f t="shared" si="6"/>
        <v>0</v>
      </c>
      <c r="X31" s="277">
        <f t="shared" si="7"/>
        <v>0</v>
      </c>
      <c r="Y31" s="277">
        <f t="shared" si="8"/>
        <v>0</v>
      </c>
      <c r="Z31" s="181">
        <f t="shared" si="9"/>
        <v>0</v>
      </c>
      <c r="AA31" s="104">
        <f t="shared" si="10"/>
        <v>0</v>
      </c>
      <c r="AB31" s="104">
        <f t="shared" si="11"/>
        <v>0</v>
      </c>
      <c r="AC31" s="104">
        <f t="shared" si="12"/>
        <v>0</v>
      </c>
      <c r="AD31" s="104"/>
      <c r="AE31" s="279"/>
      <c r="AF31" s="279">
        <f t="shared" si="13"/>
        <v>0</v>
      </c>
      <c r="AG31" s="104">
        <f t="shared" si="14"/>
        <v>0</v>
      </c>
      <c r="AH31" s="104"/>
      <c r="AI31" s="104">
        <f t="shared" si="15"/>
        <v>0</v>
      </c>
      <c r="AJ31" s="104"/>
      <c r="AK31" s="104">
        <f t="shared" si="21"/>
        <v>0</v>
      </c>
      <c r="AL31" s="181">
        <f t="shared" si="22"/>
        <v>0</v>
      </c>
      <c r="AM31" s="104">
        <f t="shared" si="23"/>
        <v>0</v>
      </c>
      <c r="AN31" s="181">
        <f>IF(V31=0,0,VLOOKUP(K31,'PAINT LABOR COSTS'!$B$27:$N$67,12,0)*V31)*F31</f>
        <v>0</v>
      </c>
      <c r="AO31" s="181">
        <f t="shared" si="24"/>
        <v>0</v>
      </c>
      <c r="AP31" s="104">
        <f t="shared" si="16"/>
        <v>0</v>
      </c>
    </row>
    <row r="32" spans="1:42" ht="15.75">
      <c r="A32" s="2">
        <v>22</v>
      </c>
      <c r="B32" s="181">
        <f t="shared" si="17"/>
        <v>0</v>
      </c>
      <c r="C32" s="181">
        <f t="shared" si="18"/>
        <v>0</v>
      </c>
      <c r="D32" s="181">
        <f t="shared" si="19"/>
        <v>0</v>
      </c>
      <c r="E32" s="22">
        <f t="shared" si="25"/>
        <v>0</v>
      </c>
      <c r="F32" s="160"/>
      <c r="G32" s="187"/>
      <c r="H32" s="160"/>
      <c r="I32" s="160"/>
      <c r="J32" s="160"/>
      <c r="K32" s="160"/>
      <c r="L32" s="75" t="str">
        <f>IFERROR(VLOOKUP(K32,'PAINT LABOR COSTS'!$B$27:$C$58,2,FALSE),"Pick Color")</f>
        <v>Pick Color</v>
      </c>
      <c r="M32" s="160"/>
      <c r="N32" s="278">
        <f t="shared" si="1"/>
        <v>0</v>
      </c>
      <c r="O32" s="147" t="str">
        <f t="shared" si="2"/>
        <v/>
      </c>
      <c r="P32" s="75" t="str">
        <f t="shared" si="20"/>
        <v>YES</v>
      </c>
      <c r="Q32" s="160" t="s">
        <v>419</v>
      </c>
      <c r="R32" s="75" t="str">
        <f t="shared" si="3"/>
        <v>NO</v>
      </c>
      <c r="S32" s="75" t="str">
        <f t="shared" si="4"/>
        <v>NO</v>
      </c>
      <c r="T32" s="160">
        <v>0</v>
      </c>
      <c r="V32" s="31">
        <f t="shared" si="5"/>
        <v>0</v>
      </c>
      <c r="W32" s="277">
        <f t="shared" si="6"/>
        <v>0</v>
      </c>
      <c r="X32" s="277">
        <f t="shared" si="7"/>
        <v>0</v>
      </c>
      <c r="Y32" s="277">
        <f t="shared" si="8"/>
        <v>0</v>
      </c>
      <c r="Z32" s="181">
        <f t="shared" si="9"/>
        <v>0</v>
      </c>
      <c r="AA32" s="104">
        <f t="shared" si="10"/>
        <v>0</v>
      </c>
      <c r="AB32" s="104">
        <f t="shared" si="11"/>
        <v>0</v>
      </c>
      <c r="AC32" s="104">
        <f t="shared" si="12"/>
        <v>0</v>
      </c>
      <c r="AD32" s="104"/>
      <c r="AE32" s="279"/>
      <c r="AF32" s="279">
        <f t="shared" si="13"/>
        <v>0</v>
      </c>
      <c r="AG32" s="104">
        <f t="shared" si="14"/>
        <v>0</v>
      </c>
      <c r="AH32" s="104"/>
      <c r="AI32" s="104">
        <f t="shared" si="15"/>
        <v>0</v>
      </c>
      <c r="AJ32" s="104"/>
      <c r="AK32" s="104">
        <f t="shared" si="21"/>
        <v>0</v>
      </c>
      <c r="AL32" s="181">
        <f t="shared" si="22"/>
        <v>0</v>
      </c>
      <c r="AM32" s="104">
        <f t="shared" si="23"/>
        <v>0</v>
      </c>
      <c r="AN32" s="181">
        <f>IF(V32=0,0,VLOOKUP(K32,'PAINT LABOR COSTS'!$B$27:$N$67,12,0)*V32)*F32</f>
        <v>0</v>
      </c>
      <c r="AO32" s="181">
        <f t="shared" si="24"/>
        <v>0</v>
      </c>
      <c r="AP32" s="104">
        <f t="shared" si="16"/>
        <v>0</v>
      </c>
    </row>
    <row r="33" spans="1:42" ht="15.75">
      <c r="A33" s="2">
        <v>23</v>
      </c>
      <c r="B33" s="181">
        <f t="shared" si="17"/>
        <v>0</v>
      </c>
      <c r="C33" s="181">
        <f t="shared" si="18"/>
        <v>0</v>
      </c>
      <c r="D33" s="181">
        <f t="shared" si="19"/>
        <v>0</v>
      </c>
      <c r="E33" s="22">
        <f t="shared" si="25"/>
        <v>0</v>
      </c>
      <c r="F33" s="160"/>
      <c r="G33" s="187"/>
      <c r="H33" s="160"/>
      <c r="I33" s="160"/>
      <c r="J33" s="160"/>
      <c r="K33" s="160"/>
      <c r="L33" s="75" t="str">
        <f>IFERROR(VLOOKUP(K33,'PAINT LABOR COSTS'!$B$27:$C$58,2,FALSE),"Pick Color")</f>
        <v>Pick Color</v>
      </c>
      <c r="M33" s="160"/>
      <c r="N33" s="278">
        <f t="shared" si="1"/>
        <v>0</v>
      </c>
      <c r="O33" s="147" t="str">
        <f t="shared" si="2"/>
        <v/>
      </c>
      <c r="P33" s="75" t="str">
        <f t="shared" si="20"/>
        <v>YES</v>
      </c>
      <c r="Q33" s="160" t="s">
        <v>419</v>
      </c>
      <c r="R33" s="75" t="str">
        <f t="shared" si="3"/>
        <v>NO</v>
      </c>
      <c r="S33" s="75" t="str">
        <f t="shared" si="4"/>
        <v>NO</v>
      </c>
      <c r="T33" s="160">
        <v>0</v>
      </c>
      <c r="V33" s="31">
        <f t="shared" si="5"/>
        <v>0</v>
      </c>
      <c r="W33" s="277">
        <f t="shared" si="6"/>
        <v>0</v>
      </c>
      <c r="X33" s="277">
        <f t="shared" si="7"/>
        <v>0</v>
      </c>
      <c r="Y33" s="277">
        <f t="shared" si="8"/>
        <v>0</v>
      </c>
      <c r="Z33" s="181">
        <f t="shared" si="9"/>
        <v>0</v>
      </c>
      <c r="AA33" s="104">
        <f t="shared" si="10"/>
        <v>0</v>
      </c>
      <c r="AB33" s="104">
        <f t="shared" si="11"/>
        <v>0</v>
      </c>
      <c r="AC33" s="104">
        <f t="shared" si="12"/>
        <v>0</v>
      </c>
      <c r="AD33" s="104"/>
      <c r="AE33" s="279"/>
      <c r="AF33" s="279">
        <f t="shared" si="13"/>
        <v>0</v>
      </c>
      <c r="AG33" s="104">
        <f t="shared" si="14"/>
        <v>0</v>
      </c>
      <c r="AH33" s="104"/>
      <c r="AI33" s="104">
        <f t="shared" si="15"/>
        <v>0</v>
      </c>
      <c r="AJ33" s="104"/>
      <c r="AK33" s="104">
        <f t="shared" si="21"/>
        <v>0</v>
      </c>
      <c r="AL33" s="181">
        <f t="shared" si="22"/>
        <v>0</v>
      </c>
      <c r="AM33" s="104">
        <f t="shared" si="23"/>
        <v>0</v>
      </c>
      <c r="AN33" s="181">
        <f>IF(V33=0,0,VLOOKUP(K33,'PAINT LABOR COSTS'!$B$27:$N$67,12,0)*V33)*F33</f>
        <v>0</v>
      </c>
      <c r="AO33" s="181">
        <f t="shared" si="24"/>
        <v>0</v>
      </c>
      <c r="AP33" s="104">
        <f t="shared" si="16"/>
        <v>0</v>
      </c>
    </row>
    <row r="34" spans="1:42" ht="15.75">
      <c r="A34" s="2">
        <v>24</v>
      </c>
      <c r="B34" s="181">
        <f t="shared" si="17"/>
        <v>0</v>
      </c>
      <c r="C34" s="181">
        <f t="shared" si="18"/>
        <v>0</v>
      </c>
      <c r="D34" s="181">
        <f t="shared" si="19"/>
        <v>0</v>
      </c>
      <c r="E34" s="22">
        <f t="shared" si="25"/>
        <v>0</v>
      </c>
      <c r="F34" s="160"/>
      <c r="G34" s="187"/>
      <c r="H34" s="160"/>
      <c r="I34" s="160"/>
      <c r="J34" s="160"/>
      <c r="K34" s="160"/>
      <c r="L34" s="75" t="str">
        <f>IFERROR(VLOOKUP(K34,'PAINT LABOR COSTS'!$B$27:$C$58,2,FALSE),"Pick Color")</f>
        <v>Pick Color</v>
      </c>
      <c r="M34" s="160"/>
      <c r="N34" s="278">
        <f t="shared" si="1"/>
        <v>0</v>
      </c>
      <c r="O34" s="147" t="str">
        <f t="shared" si="2"/>
        <v/>
      </c>
      <c r="P34" s="75" t="str">
        <f t="shared" si="20"/>
        <v>YES</v>
      </c>
      <c r="Q34" s="160" t="s">
        <v>419</v>
      </c>
      <c r="R34" s="75" t="str">
        <f t="shared" si="3"/>
        <v>NO</v>
      </c>
      <c r="S34" s="75" t="str">
        <f t="shared" si="4"/>
        <v>NO</v>
      </c>
      <c r="T34" s="160">
        <v>0</v>
      </c>
      <c r="V34" s="31">
        <f t="shared" si="5"/>
        <v>0</v>
      </c>
      <c r="W34" s="277">
        <f t="shared" si="6"/>
        <v>0</v>
      </c>
      <c r="X34" s="277">
        <f t="shared" si="7"/>
        <v>0</v>
      </c>
      <c r="Y34" s="277">
        <f t="shared" si="8"/>
        <v>0</v>
      </c>
      <c r="Z34" s="181">
        <f t="shared" si="9"/>
        <v>0</v>
      </c>
      <c r="AA34" s="104">
        <f t="shared" si="10"/>
        <v>0</v>
      </c>
      <c r="AB34" s="104">
        <f t="shared" si="11"/>
        <v>0</v>
      </c>
      <c r="AC34" s="104">
        <f t="shared" si="12"/>
        <v>0</v>
      </c>
      <c r="AD34" s="104"/>
      <c r="AE34" s="279"/>
      <c r="AF34" s="279">
        <f t="shared" si="13"/>
        <v>0</v>
      </c>
      <c r="AG34" s="104">
        <f t="shared" si="14"/>
        <v>0</v>
      </c>
      <c r="AH34" s="104"/>
      <c r="AI34" s="104">
        <f t="shared" si="15"/>
        <v>0</v>
      </c>
      <c r="AJ34" s="104"/>
      <c r="AK34" s="104">
        <f t="shared" si="21"/>
        <v>0</v>
      </c>
      <c r="AL34" s="181">
        <f t="shared" si="22"/>
        <v>0</v>
      </c>
      <c r="AM34" s="104">
        <f t="shared" si="23"/>
        <v>0</v>
      </c>
      <c r="AN34" s="181">
        <f>IF(V34=0,0,VLOOKUP(K34,'PAINT LABOR COSTS'!$B$27:$N$67,12,0)*V34)*F34</f>
        <v>0</v>
      </c>
      <c r="AO34" s="181">
        <f t="shared" si="24"/>
        <v>0</v>
      </c>
      <c r="AP34" s="104">
        <f t="shared" si="16"/>
        <v>0</v>
      </c>
    </row>
    <row r="35" spans="1:42" ht="15.75">
      <c r="A35" s="2">
        <v>25</v>
      </c>
      <c r="B35" s="181">
        <f t="shared" si="17"/>
        <v>0</v>
      </c>
      <c r="C35" s="181">
        <f t="shared" si="18"/>
        <v>0</v>
      </c>
      <c r="D35" s="181">
        <f t="shared" si="19"/>
        <v>0</v>
      </c>
      <c r="E35" s="22">
        <f t="shared" si="25"/>
        <v>0</v>
      </c>
      <c r="F35" s="160"/>
      <c r="G35" s="187"/>
      <c r="H35" s="160"/>
      <c r="I35" s="160"/>
      <c r="J35" s="160"/>
      <c r="K35" s="160"/>
      <c r="L35" s="75" t="str">
        <f>IFERROR(VLOOKUP(K35,'PAINT LABOR COSTS'!$B$27:$C$58,2,FALSE),"Pick Color")</f>
        <v>Pick Color</v>
      </c>
      <c r="M35" s="160"/>
      <c r="N35" s="278">
        <f t="shared" si="1"/>
        <v>0</v>
      </c>
      <c r="O35" s="147" t="str">
        <f t="shared" si="2"/>
        <v/>
      </c>
      <c r="P35" s="75" t="str">
        <f t="shared" si="20"/>
        <v>YES</v>
      </c>
      <c r="Q35" s="160" t="s">
        <v>419</v>
      </c>
      <c r="R35" s="75" t="str">
        <f t="shared" si="3"/>
        <v>NO</v>
      </c>
      <c r="S35" s="75" t="str">
        <f t="shared" si="4"/>
        <v>NO</v>
      </c>
      <c r="T35" s="160">
        <v>0</v>
      </c>
      <c r="V35" s="31">
        <f t="shared" si="5"/>
        <v>0</v>
      </c>
      <c r="W35" s="277">
        <f t="shared" si="6"/>
        <v>0</v>
      </c>
      <c r="X35" s="277">
        <f t="shared" si="7"/>
        <v>0</v>
      </c>
      <c r="Y35" s="277">
        <f t="shared" si="8"/>
        <v>0</v>
      </c>
      <c r="Z35" s="181">
        <f t="shared" si="9"/>
        <v>0</v>
      </c>
      <c r="AA35" s="104">
        <f t="shared" si="10"/>
        <v>0</v>
      </c>
      <c r="AB35" s="104">
        <f t="shared" si="11"/>
        <v>0</v>
      </c>
      <c r="AC35" s="104">
        <f t="shared" si="12"/>
        <v>0</v>
      </c>
      <c r="AD35" s="104"/>
      <c r="AE35" s="279"/>
      <c r="AF35" s="279">
        <f t="shared" si="13"/>
        <v>0</v>
      </c>
      <c r="AG35" s="104">
        <f t="shared" si="14"/>
        <v>0</v>
      </c>
      <c r="AH35" s="104"/>
      <c r="AI35" s="104">
        <f t="shared" si="15"/>
        <v>0</v>
      </c>
      <c r="AJ35" s="104"/>
      <c r="AK35" s="104">
        <f t="shared" si="21"/>
        <v>0</v>
      </c>
      <c r="AL35" s="181">
        <f t="shared" si="22"/>
        <v>0</v>
      </c>
      <c r="AM35" s="104">
        <f t="shared" si="23"/>
        <v>0</v>
      </c>
      <c r="AN35" s="181">
        <f>IF(V35=0,0,VLOOKUP(K35,'PAINT LABOR COSTS'!$B$27:$N$67,12,0)*V35)*F35</f>
        <v>0</v>
      </c>
      <c r="AO35" s="181">
        <f t="shared" si="24"/>
        <v>0</v>
      </c>
      <c r="AP35" s="104">
        <f t="shared" si="16"/>
        <v>0</v>
      </c>
    </row>
    <row r="36" spans="1:42" ht="15.75">
      <c r="A36" s="2">
        <v>26</v>
      </c>
      <c r="B36" s="181">
        <f t="shared" si="17"/>
        <v>0</v>
      </c>
      <c r="C36" s="181">
        <f t="shared" si="18"/>
        <v>0</v>
      </c>
      <c r="D36" s="181">
        <f t="shared" si="19"/>
        <v>0</v>
      </c>
      <c r="E36" s="22">
        <f t="shared" si="25"/>
        <v>0</v>
      </c>
      <c r="F36" s="160"/>
      <c r="G36" s="187"/>
      <c r="H36" s="160"/>
      <c r="I36" s="160"/>
      <c r="J36" s="160"/>
      <c r="K36" s="160"/>
      <c r="L36" s="75" t="str">
        <f>IFERROR(VLOOKUP(K36,'PAINT LABOR COSTS'!$B$27:$C$58,2,FALSE),"Pick Color")</f>
        <v>Pick Color</v>
      </c>
      <c r="M36" s="160"/>
      <c r="N36" s="278">
        <f t="shared" si="1"/>
        <v>0</v>
      </c>
      <c r="O36" s="147" t="str">
        <f t="shared" si="2"/>
        <v/>
      </c>
      <c r="P36" s="75" t="str">
        <f t="shared" si="20"/>
        <v>YES</v>
      </c>
      <c r="Q36" s="160" t="s">
        <v>419</v>
      </c>
      <c r="R36" s="75" t="str">
        <f t="shared" si="3"/>
        <v>NO</v>
      </c>
      <c r="S36" s="75" t="str">
        <f t="shared" si="4"/>
        <v>NO</v>
      </c>
      <c r="T36" s="160">
        <v>0</v>
      </c>
      <c r="V36" s="31">
        <f t="shared" si="5"/>
        <v>0</v>
      </c>
      <c r="W36" s="277">
        <f t="shared" si="6"/>
        <v>0</v>
      </c>
      <c r="X36" s="277">
        <f t="shared" si="7"/>
        <v>0</v>
      </c>
      <c r="Y36" s="277">
        <f t="shared" si="8"/>
        <v>0</v>
      </c>
      <c r="Z36" s="181">
        <f t="shared" si="9"/>
        <v>0</v>
      </c>
      <c r="AA36" s="104">
        <f t="shared" si="10"/>
        <v>0</v>
      </c>
      <c r="AB36" s="104">
        <f t="shared" si="11"/>
        <v>0</v>
      </c>
      <c r="AC36" s="104">
        <f t="shared" si="12"/>
        <v>0</v>
      </c>
      <c r="AD36" s="104"/>
      <c r="AE36" s="279"/>
      <c r="AF36" s="279">
        <f t="shared" si="13"/>
        <v>0</v>
      </c>
      <c r="AG36" s="104">
        <f t="shared" si="14"/>
        <v>0</v>
      </c>
      <c r="AH36" s="104"/>
      <c r="AI36" s="104">
        <f t="shared" si="15"/>
        <v>0</v>
      </c>
      <c r="AJ36" s="104"/>
      <c r="AK36" s="104">
        <f t="shared" si="21"/>
        <v>0</v>
      </c>
      <c r="AL36" s="181">
        <f t="shared" si="22"/>
        <v>0</v>
      </c>
      <c r="AM36" s="104">
        <f t="shared" si="23"/>
        <v>0</v>
      </c>
      <c r="AN36" s="181">
        <f>IF(V36=0,0,VLOOKUP(K36,'PAINT LABOR COSTS'!$B$27:$N$67,12,0)*V36)*F36</f>
        <v>0</v>
      </c>
      <c r="AO36" s="181">
        <f t="shared" si="24"/>
        <v>0</v>
      </c>
      <c r="AP36" s="104">
        <f t="shared" si="16"/>
        <v>0</v>
      </c>
    </row>
    <row r="37" spans="1:42" ht="15.75">
      <c r="A37" s="2">
        <v>27</v>
      </c>
      <c r="B37" s="181">
        <f t="shared" si="17"/>
        <v>0</v>
      </c>
      <c r="C37" s="181">
        <f t="shared" si="18"/>
        <v>0</v>
      </c>
      <c r="D37" s="181">
        <f t="shared" si="19"/>
        <v>0</v>
      </c>
      <c r="E37" s="22">
        <f t="shared" si="25"/>
        <v>0</v>
      </c>
      <c r="F37" s="160"/>
      <c r="G37" s="187"/>
      <c r="H37" s="160"/>
      <c r="I37" s="160"/>
      <c r="J37" s="160"/>
      <c r="K37" s="160"/>
      <c r="L37" s="75" t="str">
        <f>IFERROR(VLOOKUP(K37,'PAINT LABOR COSTS'!$B$27:$C$58,2,FALSE),"Pick Color")</f>
        <v>Pick Color</v>
      </c>
      <c r="M37" s="160"/>
      <c r="N37" s="278">
        <f t="shared" si="1"/>
        <v>0</v>
      </c>
      <c r="O37" s="147" t="str">
        <f t="shared" si="2"/>
        <v/>
      </c>
      <c r="P37" s="75" t="str">
        <f t="shared" si="20"/>
        <v>YES</v>
      </c>
      <c r="Q37" s="160" t="s">
        <v>419</v>
      </c>
      <c r="R37" s="75" t="str">
        <f t="shared" si="3"/>
        <v>NO</v>
      </c>
      <c r="S37" s="75" t="str">
        <f t="shared" si="4"/>
        <v>NO</v>
      </c>
      <c r="T37" s="160">
        <v>0</v>
      </c>
      <c r="V37" s="31">
        <f t="shared" si="5"/>
        <v>0</v>
      </c>
      <c r="W37" s="277">
        <f t="shared" si="6"/>
        <v>0</v>
      </c>
      <c r="X37" s="277">
        <f t="shared" si="7"/>
        <v>0</v>
      </c>
      <c r="Y37" s="277">
        <f t="shared" si="8"/>
        <v>0</v>
      </c>
      <c r="Z37" s="181">
        <f t="shared" si="9"/>
        <v>0</v>
      </c>
      <c r="AA37" s="104">
        <f t="shared" si="10"/>
        <v>0</v>
      </c>
      <c r="AB37" s="104">
        <f t="shared" si="11"/>
        <v>0</v>
      </c>
      <c r="AC37" s="104">
        <f t="shared" si="12"/>
        <v>0</v>
      </c>
      <c r="AD37" s="104"/>
      <c r="AE37" s="279"/>
      <c r="AF37" s="279">
        <f t="shared" si="13"/>
        <v>0</v>
      </c>
      <c r="AG37" s="104">
        <f t="shared" si="14"/>
        <v>0</v>
      </c>
      <c r="AH37" s="104"/>
      <c r="AI37" s="104">
        <f t="shared" si="15"/>
        <v>0</v>
      </c>
      <c r="AJ37" s="104"/>
      <c r="AK37" s="104">
        <f t="shared" si="21"/>
        <v>0</v>
      </c>
      <c r="AL37" s="181">
        <f t="shared" si="22"/>
        <v>0</v>
      </c>
      <c r="AM37" s="104">
        <f t="shared" si="23"/>
        <v>0</v>
      </c>
      <c r="AN37" s="181">
        <f>IF(V37=0,0,VLOOKUP(K37,'PAINT LABOR COSTS'!$B$27:$N$67,12,0)*V37)*F37</f>
        <v>0</v>
      </c>
      <c r="AO37" s="181">
        <f t="shared" si="24"/>
        <v>0</v>
      </c>
      <c r="AP37" s="104">
        <f t="shared" si="16"/>
        <v>0</v>
      </c>
    </row>
    <row r="38" spans="1:42" ht="15.75">
      <c r="A38" s="2">
        <v>28</v>
      </c>
      <c r="B38" s="181">
        <f t="shared" si="17"/>
        <v>0</v>
      </c>
      <c r="C38" s="181">
        <f t="shared" si="18"/>
        <v>0</v>
      </c>
      <c r="D38" s="181">
        <f t="shared" si="19"/>
        <v>0</v>
      </c>
      <c r="E38" s="22">
        <f t="shared" si="25"/>
        <v>0</v>
      </c>
      <c r="F38" s="160"/>
      <c r="G38" s="187"/>
      <c r="H38" s="160"/>
      <c r="I38" s="160"/>
      <c r="J38" s="160"/>
      <c r="K38" s="160"/>
      <c r="L38" s="75" t="str">
        <f>IFERROR(VLOOKUP(K38,'PAINT LABOR COSTS'!$B$27:$C$58,2,FALSE),"Pick Color")</f>
        <v>Pick Color</v>
      </c>
      <c r="M38" s="160"/>
      <c r="N38" s="278">
        <f t="shared" si="1"/>
        <v>0</v>
      </c>
      <c r="O38" s="147" t="str">
        <f t="shared" si="2"/>
        <v/>
      </c>
      <c r="P38" s="75" t="str">
        <f t="shared" si="20"/>
        <v>YES</v>
      </c>
      <c r="Q38" s="160" t="s">
        <v>419</v>
      </c>
      <c r="R38" s="75" t="str">
        <f t="shared" si="3"/>
        <v>NO</v>
      </c>
      <c r="S38" s="75" t="str">
        <f t="shared" si="4"/>
        <v>NO</v>
      </c>
      <c r="T38" s="160">
        <v>0</v>
      </c>
      <c r="V38" s="31">
        <f t="shared" si="5"/>
        <v>0</v>
      </c>
      <c r="W38" s="277">
        <f t="shared" si="6"/>
        <v>0</v>
      </c>
      <c r="X38" s="277">
        <f t="shared" si="7"/>
        <v>0</v>
      </c>
      <c r="Y38" s="277">
        <f t="shared" si="8"/>
        <v>0</v>
      </c>
      <c r="Z38" s="181">
        <f t="shared" si="9"/>
        <v>0</v>
      </c>
      <c r="AA38" s="104">
        <f t="shared" si="10"/>
        <v>0</v>
      </c>
      <c r="AB38" s="104">
        <f t="shared" si="11"/>
        <v>0</v>
      </c>
      <c r="AC38" s="104">
        <f t="shared" si="12"/>
        <v>0</v>
      </c>
      <c r="AD38" s="104"/>
      <c r="AE38" s="279"/>
      <c r="AF38" s="279">
        <f t="shared" si="13"/>
        <v>0</v>
      </c>
      <c r="AG38" s="104">
        <f t="shared" si="14"/>
        <v>0</v>
      </c>
      <c r="AH38" s="104"/>
      <c r="AI38" s="104">
        <f t="shared" si="15"/>
        <v>0</v>
      </c>
      <c r="AJ38" s="104"/>
      <c r="AK38" s="104">
        <f t="shared" si="21"/>
        <v>0</v>
      </c>
      <c r="AL38" s="181">
        <f t="shared" si="22"/>
        <v>0</v>
      </c>
      <c r="AM38" s="104">
        <f t="shared" si="23"/>
        <v>0</v>
      </c>
      <c r="AN38" s="181">
        <f>IF(V38=0,0,VLOOKUP(K38,'PAINT LABOR COSTS'!$B$27:$N$67,12,0)*V38)*F38</f>
        <v>0</v>
      </c>
      <c r="AO38" s="181">
        <f t="shared" si="24"/>
        <v>0</v>
      </c>
      <c r="AP38" s="104">
        <f t="shared" si="16"/>
        <v>0</v>
      </c>
    </row>
    <row r="39" spans="1:42" ht="15.75">
      <c r="A39" s="2">
        <v>29</v>
      </c>
      <c r="B39" s="181">
        <f t="shared" si="17"/>
        <v>0</v>
      </c>
      <c r="C39" s="181">
        <f t="shared" si="18"/>
        <v>0</v>
      </c>
      <c r="D39" s="181">
        <f t="shared" si="19"/>
        <v>0</v>
      </c>
      <c r="E39" s="22">
        <f t="shared" si="25"/>
        <v>0</v>
      </c>
      <c r="F39" s="160"/>
      <c r="G39" s="187"/>
      <c r="H39" s="160"/>
      <c r="I39" s="160"/>
      <c r="J39" s="160"/>
      <c r="K39" s="160"/>
      <c r="L39" s="75" t="str">
        <f>IFERROR(VLOOKUP(K39,'PAINT LABOR COSTS'!$B$27:$C$58,2,FALSE),"Pick Color")</f>
        <v>Pick Color</v>
      </c>
      <c r="M39" s="160"/>
      <c r="N39" s="278">
        <f t="shared" si="1"/>
        <v>0</v>
      </c>
      <c r="O39" s="147" t="str">
        <f t="shared" si="2"/>
        <v/>
      </c>
      <c r="P39" s="75" t="str">
        <f t="shared" si="20"/>
        <v>YES</v>
      </c>
      <c r="Q39" s="160" t="s">
        <v>419</v>
      </c>
      <c r="R39" s="75" t="str">
        <f t="shared" si="3"/>
        <v>NO</v>
      </c>
      <c r="S39" s="75" t="str">
        <f t="shared" si="4"/>
        <v>NO</v>
      </c>
      <c r="T39" s="160">
        <v>0</v>
      </c>
      <c r="V39" s="31">
        <f t="shared" si="5"/>
        <v>0</v>
      </c>
      <c r="W39" s="277">
        <f t="shared" si="6"/>
        <v>0</v>
      </c>
      <c r="X39" s="277">
        <f t="shared" si="7"/>
        <v>0</v>
      </c>
      <c r="Y39" s="277">
        <f t="shared" si="8"/>
        <v>0</v>
      </c>
      <c r="Z39" s="181">
        <f t="shared" si="9"/>
        <v>0</v>
      </c>
      <c r="AA39" s="104">
        <f t="shared" si="10"/>
        <v>0</v>
      </c>
      <c r="AB39" s="104">
        <f t="shared" si="11"/>
        <v>0</v>
      </c>
      <c r="AC39" s="104">
        <f t="shared" si="12"/>
        <v>0</v>
      </c>
      <c r="AD39" s="104"/>
      <c r="AE39" s="279"/>
      <c r="AF39" s="279">
        <f t="shared" si="13"/>
        <v>0</v>
      </c>
      <c r="AG39" s="104">
        <f t="shared" si="14"/>
        <v>0</v>
      </c>
      <c r="AH39" s="104"/>
      <c r="AI39" s="104">
        <f t="shared" si="15"/>
        <v>0</v>
      </c>
      <c r="AJ39" s="104"/>
      <c r="AK39" s="104">
        <f t="shared" si="21"/>
        <v>0</v>
      </c>
      <c r="AL39" s="181">
        <f t="shared" si="22"/>
        <v>0</v>
      </c>
      <c r="AM39" s="104">
        <f t="shared" si="23"/>
        <v>0</v>
      </c>
      <c r="AN39" s="181">
        <f>IF(V39=0,0,VLOOKUP(K39,'PAINT LABOR COSTS'!$B$27:$N$67,12,0)*V39)*F39</f>
        <v>0</v>
      </c>
      <c r="AO39" s="181">
        <f t="shared" si="24"/>
        <v>0</v>
      </c>
      <c r="AP39" s="104">
        <f t="shared" si="16"/>
        <v>0</v>
      </c>
    </row>
    <row r="40" spans="1:42" ht="15.75">
      <c r="A40" s="2">
        <v>30</v>
      </c>
      <c r="B40" s="181">
        <f t="shared" si="17"/>
        <v>0</v>
      </c>
      <c r="C40" s="181">
        <f t="shared" si="18"/>
        <v>0</v>
      </c>
      <c r="D40" s="181">
        <f t="shared" si="19"/>
        <v>0</v>
      </c>
      <c r="E40" s="22">
        <f t="shared" si="25"/>
        <v>0</v>
      </c>
      <c r="F40" s="160"/>
      <c r="G40" s="187"/>
      <c r="H40" s="160"/>
      <c r="I40" s="160"/>
      <c r="J40" s="160"/>
      <c r="K40" s="160"/>
      <c r="L40" s="75" t="str">
        <f>IFERROR(VLOOKUP(K40,'PAINT LABOR COSTS'!$B$27:$C$58,2,FALSE),"Pick Color")</f>
        <v>Pick Color</v>
      </c>
      <c r="M40" s="160"/>
      <c r="N40" s="278">
        <f t="shared" si="1"/>
        <v>0</v>
      </c>
      <c r="O40" s="147" t="str">
        <f t="shared" si="2"/>
        <v/>
      </c>
      <c r="P40" s="75" t="str">
        <f t="shared" si="20"/>
        <v>YES</v>
      </c>
      <c r="Q40" s="160" t="s">
        <v>419</v>
      </c>
      <c r="R40" s="75" t="str">
        <f t="shared" si="3"/>
        <v>NO</v>
      </c>
      <c r="S40" s="75" t="str">
        <f t="shared" si="4"/>
        <v>NO</v>
      </c>
      <c r="T40" s="160">
        <v>0</v>
      </c>
      <c r="V40" s="31">
        <f t="shared" si="5"/>
        <v>0</v>
      </c>
      <c r="W40" s="277">
        <f t="shared" si="6"/>
        <v>0</v>
      </c>
      <c r="X40" s="277">
        <f t="shared" si="7"/>
        <v>0</v>
      </c>
      <c r="Y40" s="277">
        <f t="shared" si="8"/>
        <v>0</v>
      </c>
      <c r="Z40" s="181">
        <f t="shared" si="9"/>
        <v>0</v>
      </c>
      <c r="AA40" s="104">
        <f t="shared" si="10"/>
        <v>0</v>
      </c>
      <c r="AB40" s="104">
        <f t="shared" si="11"/>
        <v>0</v>
      </c>
      <c r="AC40" s="104">
        <f t="shared" si="12"/>
        <v>0</v>
      </c>
      <c r="AD40" s="104"/>
      <c r="AE40" s="279"/>
      <c r="AF40" s="279">
        <f t="shared" si="13"/>
        <v>0</v>
      </c>
      <c r="AG40" s="104">
        <f t="shared" si="14"/>
        <v>0</v>
      </c>
      <c r="AH40" s="104"/>
      <c r="AI40" s="104">
        <f t="shared" si="15"/>
        <v>0</v>
      </c>
      <c r="AJ40" s="104"/>
      <c r="AK40" s="104">
        <f t="shared" si="21"/>
        <v>0</v>
      </c>
      <c r="AL40" s="181">
        <f t="shared" si="22"/>
        <v>0</v>
      </c>
      <c r="AM40" s="104">
        <f t="shared" si="23"/>
        <v>0</v>
      </c>
      <c r="AN40" s="181">
        <f>IF(V40=0,0,VLOOKUP(K40,'PAINT LABOR COSTS'!$B$27:$N$67,12,0)*V40)*F40</f>
        <v>0</v>
      </c>
      <c r="AO40" s="181">
        <f t="shared" si="24"/>
        <v>0</v>
      </c>
      <c r="AP40" s="104">
        <f t="shared" si="16"/>
        <v>0</v>
      </c>
    </row>
    <row r="41" spans="1:42" ht="15.75">
      <c r="A41" s="2">
        <v>31</v>
      </c>
      <c r="B41" s="181">
        <f t="shared" si="17"/>
        <v>0</v>
      </c>
      <c r="C41" s="181">
        <f t="shared" si="18"/>
        <v>0</v>
      </c>
      <c r="D41" s="181">
        <f t="shared" si="19"/>
        <v>0</v>
      </c>
      <c r="E41" s="22">
        <f t="shared" si="25"/>
        <v>0</v>
      </c>
      <c r="F41" s="160"/>
      <c r="G41" s="187"/>
      <c r="H41" s="160"/>
      <c r="I41" s="160"/>
      <c r="J41" s="160"/>
      <c r="K41" s="160"/>
      <c r="L41" s="75" t="str">
        <f>IFERROR(VLOOKUP(K41,'PAINT LABOR COSTS'!$B$27:$C$58,2,FALSE),"Pick Color")</f>
        <v>Pick Color</v>
      </c>
      <c r="M41" s="160"/>
      <c r="N41" s="278">
        <f t="shared" si="1"/>
        <v>0</v>
      </c>
      <c r="O41" s="147" t="str">
        <f t="shared" si="2"/>
        <v/>
      </c>
      <c r="P41" s="75" t="str">
        <f t="shared" si="20"/>
        <v>YES</v>
      </c>
      <c r="Q41" s="160" t="s">
        <v>419</v>
      </c>
      <c r="R41" s="75" t="str">
        <f t="shared" si="3"/>
        <v>NO</v>
      </c>
      <c r="S41" s="75" t="str">
        <f t="shared" si="4"/>
        <v>NO</v>
      </c>
      <c r="T41" s="160">
        <v>0</v>
      </c>
      <c r="V41" s="31">
        <f t="shared" si="5"/>
        <v>0</v>
      </c>
      <c r="W41" s="277">
        <f t="shared" si="6"/>
        <v>0</v>
      </c>
      <c r="X41" s="277">
        <f t="shared" si="7"/>
        <v>0</v>
      </c>
      <c r="Y41" s="277">
        <f t="shared" si="8"/>
        <v>0</v>
      </c>
      <c r="Z41" s="181">
        <f t="shared" si="9"/>
        <v>0</v>
      </c>
      <c r="AA41" s="104">
        <f t="shared" si="10"/>
        <v>0</v>
      </c>
      <c r="AB41" s="104">
        <f t="shared" si="11"/>
        <v>0</v>
      </c>
      <c r="AC41" s="104">
        <f t="shared" si="12"/>
        <v>0</v>
      </c>
      <c r="AD41" s="104"/>
      <c r="AE41" s="279"/>
      <c r="AF41" s="279">
        <f t="shared" si="13"/>
        <v>0</v>
      </c>
      <c r="AG41" s="104">
        <f t="shared" si="14"/>
        <v>0</v>
      </c>
      <c r="AH41" s="104"/>
      <c r="AI41" s="104">
        <f t="shared" si="15"/>
        <v>0</v>
      </c>
      <c r="AJ41" s="104"/>
      <c r="AK41" s="104">
        <f t="shared" si="21"/>
        <v>0</v>
      </c>
      <c r="AL41" s="181">
        <f t="shared" si="22"/>
        <v>0</v>
      </c>
      <c r="AM41" s="104">
        <f t="shared" si="23"/>
        <v>0</v>
      </c>
      <c r="AN41" s="181">
        <f>IF(V41=0,0,VLOOKUP(K41,'PAINT LABOR COSTS'!$B$27:$N$67,12,0)*V41)*F41</f>
        <v>0</v>
      </c>
      <c r="AO41" s="181">
        <f t="shared" si="24"/>
        <v>0</v>
      </c>
      <c r="AP41" s="104">
        <f t="shared" si="16"/>
        <v>0</v>
      </c>
    </row>
    <row r="42" spans="1:42" ht="15.75">
      <c r="A42" s="2">
        <v>32</v>
      </c>
      <c r="B42" s="181">
        <f t="shared" si="17"/>
        <v>0</v>
      </c>
      <c r="C42" s="181">
        <f t="shared" si="18"/>
        <v>0</v>
      </c>
      <c r="D42" s="181">
        <f t="shared" si="19"/>
        <v>0</v>
      </c>
      <c r="E42" s="22">
        <f t="shared" si="25"/>
        <v>0</v>
      </c>
      <c r="F42" s="160"/>
      <c r="G42" s="187"/>
      <c r="H42" s="160"/>
      <c r="I42" s="160"/>
      <c r="J42" s="160"/>
      <c r="K42" s="160"/>
      <c r="L42" s="75" t="str">
        <f>IFERROR(VLOOKUP(K42,'PAINT LABOR COSTS'!$B$27:$C$58,2,FALSE),"Pick Color")</f>
        <v>Pick Color</v>
      </c>
      <c r="M42" s="160"/>
      <c r="N42" s="278">
        <f t="shared" si="1"/>
        <v>0</v>
      </c>
      <c r="O42" s="147" t="str">
        <f t="shared" si="2"/>
        <v/>
      </c>
      <c r="P42" s="75" t="str">
        <f t="shared" si="20"/>
        <v>YES</v>
      </c>
      <c r="Q42" s="160" t="s">
        <v>419</v>
      </c>
      <c r="R42" s="75" t="str">
        <f t="shared" si="3"/>
        <v>NO</v>
      </c>
      <c r="S42" s="75" t="str">
        <f t="shared" si="4"/>
        <v>NO</v>
      </c>
      <c r="T42" s="160">
        <v>0</v>
      </c>
      <c r="V42" s="31">
        <f t="shared" si="5"/>
        <v>0</v>
      </c>
      <c r="W42" s="277">
        <f t="shared" si="6"/>
        <v>0</v>
      </c>
      <c r="X42" s="277">
        <f t="shared" si="7"/>
        <v>0</v>
      </c>
      <c r="Y42" s="277">
        <f t="shared" si="8"/>
        <v>0</v>
      </c>
      <c r="Z42" s="181">
        <f t="shared" si="9"/>
        <v>0</v>
      </c>
      <c r="AA42" s="104">
        <f t="shared" si="10"/>
        <v>0</v>
      </c>
      <c r="AB42" s="104">
        <f t="shared" si="11"/>
        <v>0</v>
      </c>
      <c r="AC42" s="104">
        <f t="shared" si="12"/>
        <v>0</v>
      </c>
      <c r="AD42" s="104"/>
      <c r="AE42" s="279"/>
      <c r="AF42" s="279">
        <f t="shared" si="13"/>
        <v>0</v>
      </c>
      <c r="AG42" s="104">
        <f t="shared" si="14"/>
        <v>0</v>
      </c>
      <c r="AH42" s="104"/>
      <c r="AI42" s="104">
        <f t="shared" si="15"/>
        <v>0</v>
      </c>
      <c r="AJ42" s="104"/>
      <c r="AK42" s="104">
        <f t="shared" si="21"/>
        <v>0</v>
      </c>
      <c r="AL42" s="181">
        <f t="shared" si="22"/>
        <v>0</v>
      </c>
      <c r="AM42" s="104">
        <f t="shared" si="23"/>
        <v>0</v>
      </c>
      <c r="AN42" s="181">
        <f>IF(V42=0,0,VLOOKUP(K42,'PAINT LABOR COSTS'!$B$27:$N$67,12,0)*V42)*F42</f>
        <v>0</v>
      </c>
      <c r="AO42" s="181">
        <f t="shared" si="24"/>
        <v>0</v>
      </c>
      <c r="AP42" s="104">
        <f t="shared" si="16"/>
        <v>0</v>
      </c>
    </row>
    <row r="43" spans="1:42" ht="15.75">
      <c r="A43" s="2">
        <v>33</v>
      </c>
      <c r="B43" s="181">
        <f t="shared" si="17"/>
        <v>0</v>
      </c>
      <c r="C43" s="181">
        <f t="shared" si="18"/>
        <v>0</v>
      </c>
      <c r="D43" s="181">
        <f t="shared" si="19"/>
        <v>0</v>
      </c>
      <c r="E43" s="22">
        <f t="shared" si="25"/>
        <v>0</v>
      </c>
      <c r="F43" s="160"/>
      <c r="G43" s="187"/>
      <c r="H43" s="160"/>
      <c r="I43" s="160"/>
      <c r="J43" s="160"/>
      <c r="K43" s="160"/>
      <c r="L43" s="75" t="str">
        <f>IFERROR(VLOOKUP(K43,'PAINT LABOR COSTS'!$B$27:$C$58,2,FALSE),"Pick Color")</f>
        <v>Pick Color</v>
      </c>
      <c r="M43" s="160"/>
      <c r="N43" s="278">
        <f t="shared" ref="N43:N74" si="26">ROUNDUP(IF(AND(G43="S",I43&gt;5,I43&lt;26),I43,IF(AND(G43="PR",I43&gt;11,I43&lt;51),I43/2,IF(AND(G43="QD",I43&gt;50,I43&lt;102),I43/4,0))),0)</f>
        <v>0</v>
      </c>
      <c r="O43" s="147" t="str">
        <f t="shared" ref="O43:O74" si="27">IF(I43="","",LOOKUP(N43,N204:O223))</f>
        <v/>
      </c>
      <c r="P43" s="75" t="str">
        <f t="shared" si="20"/>
        <v>YES</v>
      </c>
      <c r="Q43" s="160" t="s">
        <v>419</v>
      </c>
      <c r="R43" s="75" t="str">
        <f t="shared" ref="R43:R74" si="28">IF(J43&gt;48,"YES","NO")</f>
        <v>NO</v>
      </c>
      <c r="S43" s="75" t="str">
        <f t="shared" ref="S43:S74" si="29">IF(I43&gt;50,"YES","NO")</f>
        <v>NO</v>
      </c>
      <c r="T43" s="160">
        <v>0</v>
      </c>
      <c r="V43" s="31">
        <f t="shared" ref="V43:V74" si="30">(((I43*J43/144)*2)+(((I43/12)*2)*(1.5/12))+(((J43/12)*2)*(1.5/12)))</f>
        <v>0</v>
      </c>
      <c r="W43" s="277">
        <f t="shared" ref="W43:W74" si="31">IF(G43="S",(INDEX($W$181:$FK$200,MATCH(O43,$V$181:$V$200,0),MATCH(J43,$W$180:$FK$180,0))*1),0)*F43</f>
        <v>0</v>
      </c>
      <c r="X43" s="277">
        <f t="shared" ref="X43:X74" si="32">IF(G43="PR",(INDEX($W$181:$FK$200,MATCH(O43,$V$181:$V$200,0),MATCH(J43,$W$180:$FK$180,0))*2),0)*F43</f>
        <v>0</v>
      </c>
      <c r="Y43" s="277">
        <f t="shared" ref="Y43:Y74" si="33">IF(G43="QD",(INDEX($W$181:$FK$200,MATCH(O43,$V$181:$V$200,0),MATCH(J43,$W$180:$FK$180,0))*4),0)*F43</f>
        <v>0</v>
      </c>
      <c r="Z43" s="181">
        <f t="shared" ref="Z43:Z74" si="34">IF(G43="S",LOOKUP(N43,$V$203:$V$222,$W$203:$W$222)*F43,IF(G43="PR",LOOKUP(N43,$V$203:$V$222,$X$203:$X$222)*F43*2,IF(G43="QD",LOOKUP(N43,$V$203:$V$222,$Y$203:$Y$222)*F43*4,0)))</f>
        <v>0</v>
      </c>
      <c r="AA43" s="104">
        <f t="shared" ref="AA43:AA74" si="35">IF(T43="+1",Z43/2,IF(T43="+2",Z43,IF(T43="+3",Z43*1.5,0)))*F43</f>
        <v>0</v>
      </c>
      <c r="AB43" s="104">
        <f t="shared" ref="AB43:AB74" si="36">F43*$AB$9</f>
        <v>0</v>
      </c>
      <c r="AC43" s="104">
        <f t="shared" ref="AC43:AC74" si="37">IF(AND(G43="S",H43="WOOD",J43&lt;49),F43*($AC$8*2),IF(AND(G43="S",H43="WOOD",J43&gt;48),F43*($AC$8*3),0))</f>
        <v>0</v>
      </c>
      <c r="AD43" s="104"/>
      <c r="AE43" s="279"/>
      <c r="AF43" s="279">
        <f t="shared" ref="AF43:AF74" si="38">(((I43+8)*F43)/12*$AF$9)</f>
        <v>0</v>
      </c>
      <c r="AG43" s="104">
        <f t="shared" ref="AG43:AG74" si="39">IF(G43="QD",6*$AG$9*F43,0)</f>
        <v>0</v>
      </c>
      <c r="AH43" s="104"/>
      <c r="AI43" s="104">
        <f t="shared" ref="AI43:AI74" si="40">(I43*J43)/144*($AI$8*$AI$7)</f>
        <v>0</v>
      </c>
      <c r="AJ43" s="104"/>
      <c r="AK43" s="104">
        <f t="shared" si="21"/>
        <v>0</v>
      </c>
      <c r="AL43" s="181">
        <f t="shared" si="22"/>
        <v>0</v>
      </c>
      <c r="AM43" s="104">
        <f t="shared" si="23"/>
        <v>0</v>
      </c>
      <c r="AN43" s="181">
        <f>IF(V43=0,0,VLOOKUP(K43,'PAINT LABOR COSTS'!$B$27:$N$67,12,0)*V43)*F43</f>
        <v>0</v>
      </c>
      <c r="AO43" s="181">
        <f t="shared" si="24"/>
        <v>0</v>
      </c>
      <c r="AP43" s="104">
        <f t="shared" ref="AP43:AP74" si="41">IF(M43="DELIVERY",$L$167*$F$11,IF(M43="PICKUP",$L$163*$F$11,IF(M43="SHIP/CR",$L$165*$F$11,IF(M43="LCR",$L$171*$F$11,IF(M43="INSTALL",$L$169*$F$11,0)))))</f>
        <v>0</v>
      </c>
    </row>
    <row r="44" spans="1:42" ht="15.75">
      <c r="A44" s="2">
        <v>34</v>
      </c>
      <c r="B44" s="181">
        <f t="shared" si="17"/>
        <v>0</v>
      </c>
      <c r="C44" s="181">
        <f t="shared" si="18"/>
        <v>0</v>
      </c>
      <c r="D44" s="181">
        <f t="shared" si="19"/>
        <v>0</v>
      </c>
      <c r="E44" s="22">
        <f t="shared" si="25"/>
        <v>0</v>
      </c>
      <c r="F44" s="160"/>
      <c r="G44" s="187"/>
      <c r="H44" s="160"/>
      <c r="I44" s="160"/>
      <c r="J44" s="160"/>
      <c r="K44" s="160"/>
      <c r="L44" s="75" t="str">
        <f>IFERROR(VLOOKUP(K44,'PAINT LABOR COSTS'!$B$27:$C$58,2,FALSE),"Pick Color")</f>
        <v>Pick Color</v>
      </c>
      <c r="M44" s="160"/>
      <c r="N44" s="278">
        <f t="shared" si="26"/>
        <v>0</v>
      </c>
      <c r="O44" s="147" t="str">
        <f t="shared" si="27"/>
        <v/>
      </c>
      <c r="P44" s="75" t="str">
        <f t="shared" si="20"/>
        <v>YES</v>
      </c>
      <c r="Q44" s="160" t="s">
        <v>419</v>
      </c>
      <c r="R44" s="75" t="str">
        <f t="shared" si="28"/>
        <v>NO</v>
      </c>
      <c r="S44" s="75" t="str">
        <f t="shared" si="29"/>
        <v>NO</v>
      </c>
      <c r="T44" s="160">
        <v>0</v>
      </c>
      <c r="V44" s="31">
        <f t="shared" si="30"/>
        <v>0</v>
      </c>
      <c r="W44" s="277">
        <f t="shared" si="31"/>
        <v>0</v>
      </c>
      <c r="X44" s="277">
        <f t="shared" si="32"/>
        <v>0</v>
      </c>
      <c r="Y44" s="277">
        <f t="shared" si="33"/>
        <v>0</v>
      </c>
      <c r="Z44" s="181">
        <f t="shared" si="34"/>
        <v>0</v>
      </c>
      <c r="AA44" s="104">
        <f t="shared" si="35"/>
        <v>0</v>
      </c>
      <c r="AB44" s="104">
        <f t="shared" si="36"/>
        <v>0</v>
      </c>
      <c r="AC44" s="104">
        <f t="shared" si="37"/>
        <v>0</v>
      </c>
      <c r="AD44" s="104"/>
      <c r="AE44" s="279"/>
      <c r="AF44" s="279">
        <f t="shared" si="38"/>
        <v>0</v>
      </c>
      <c r="AG44" s="104">
        <f t="shared" si="39"/>
        <v>0</v>
      </c>
      <c r="AH44" s="104"/>
      <c r="AI44" s="104">
        <f t="shared" si="40"/>
        <v>0</v>
      </c>
      <c r="AJ44" s="104"/>
      <c r="AK44" s="104">
        <f t="shared" si="21"/>
        <v>0</v>
      </c>
      <c r="AL44" s="181">
        <f t="shared" si="22"/>
        <v>0</v>
      </c>
      <c r="AM44" s="104">
        <f t="shared" si="23"/>
        <v>0</v>
      </c>
      <c r="AN44" s="181">
        <f>IF(V44=0,0,VLOOKUP(K44,'PAINT LABOR COSTS'!$B$27:$N$67,12,0)*V44)*F44</f>
        <v>0</v>
      </c>
      <c r="AO44" s="181">
        <f t="shared" si="24"/>
        <v>0</v>
      </c>
      <c r="AP44" s="104">
        <f t="shared" si="41"/>
        <v>0</v>
      </c>
    </row>
    <row r="45" spans="1:42" ht="15.75">
      <c r="A45" s="2">
        <v>35</v>
      </c>
      <c r="B45" s="181">
        <f t="shared" si="17"/>
        <v>0</v>
      </c>
      <c r="C45" s="181">
        <f t="shared" si="18"/>
        <v>0</v>
      </c>
      <c r="D45" s="181">
        <f t="shared" si="19"/>
        <v>0</v>
      </c>
      <c r="E45" s="22">
        <f t="shared" si="25"/>
        <v>0</v>
      </c>
      <c r="F45" s="160"/>
      <c r="G45" s="187"/>
      <c r="H45" s="160"/>
      <c r="I45" s="160"/>
      <c r="J45" s="160"/>
      <c r="K45" s="160"/>
      <c r="L45" s="75" t="str">
        <f>IFERROR(VLOOKUP(K45,'PAINT LABOR COSTS'!$B$27:$C$58,2,FALSE),"Pick Color")</f>
        <v>Pick Color</v>
      </c>
      <c r="M45" s="160"/>
      <c r="N45" s="278">
        <f t="shared" si="26"/>
        <v>0</v>
      </c>
      <c r="O45" s="147" t="str">
        <f t="shared" si="27"/>
        <v/>
      </c>
      <c r="P45" s="75" t="str">
        <f t="shared" si="20"/>
        <v>YES</v>
      </c>
      <c r="Q45" s="160" t="s">
        <v>419</v>
      </c>
      <c r="R45" s="75" t="str">
        <f t="shared" si="28"/>
        <v>NO</v>
      </c>
      <c r="S45" s="75" t="str">
        <f t="shared" si="29"/>
        <v>NO</v>
      </c>
      <c r="T45" s="160">
        <v>0</v>
      </c>
      <c r="V45" s="31">
        <f t="shared" si="30"/>
        <v>0</v>
      </c>
      <c r="W45" s="277">
        <f t="shared" si="31"/>
        <v>0</v>
      </c>
      <c r="X45" s="277">
        <f t="shared" si="32"/>
        <v>0</v>
      </c>
      <c r="Y45" s="277">
        <f t="shared" si="33"/>
        <v>0</v>
      </c>
      <c r="Z45" s="181">
        <f t="shared" si="34"/>
        <v>0</v>
      </c>
      <c r="AA45" s="104">
        <f t="shared" si="35"/>
        <v>0</v>
      </c>
      <c r="AB45" s="104">
        <f t="shared" si="36"/>
        <v>0</v>
      </c>
      <c r="AC45" s="104">
        <f t="shared" si="37"/>
        <v>0</v>
      </c>
      <c r="AD45" s="104"/>
      <c r="AE45" s="279"/>
      <c r="AF45" s="279">
        <f t="shared" si="38"/>
        <v>0</v>
      </c>
      <c r="AG45" s="104">
        <f t="shared" si="39"/>
        <v>0</v>
      </c>
      <c r="AH45" s="104"/>
      <c r="AI45" s="104">
        <f t="shared" si="40"/>
        <v>0</v>
      </c>
      <c r="AJ45" s="104"/>
      <c r="AK45" s="104">
        <f t="shared" si="21"/>
        <v>0</v>
      </c>
      <c r="AL45" s="181">
        <f t="shared" si="22"/>
        <v>0</v>
      </c>
      <c r="AM45" s="104">
        <f t="shared" si="23"/>
        <v>0</v>
      </c>
      <c r="AN45" s="181">
        <f>IF(V45=0,0,VLOOKUP(K45,'PAINT LABOR COSTS'!$B$27:$N$67,12,0)*V45)*F45</f>
        <v>0</v>
      </c>
      <c r="AO45" s="181">
        <f t="shared" si="24"/>
        <v>0</v>
      </c>
      <c r="AP45" s="104">
        <f t="shared" si="41"/>
        <v>0</v>
      </c>
    </row>
    <row r="46" spans="1:42" ht="15.75">
      <c r="A46" s="2">
        <v>36</v>
      </c>
      <c r="B46" s="181">
        <f t="shared" si="17"/>
        <v>0</v>
      </c>
      <c r="C46" s="181">
        <f t="shared" si="18"/>
        <v>0</v>
      </c>
      <c r="D46" s="181">
        <f t="shared" si="19"/>
        <v>0</v>
      </c>
      <c r="E46" s="22">
        <f t="shared" si="25"/>
        <v>0</v>
      </c>
      <c r="F46" s="160"/>
      <c r="G46" s="187"/>
      <c r="H46" s="160"/>
      <c r="I46" s="160"/>
      <c r="J46" s="160"/>
      <c r="K46" s="160"/>
      <c r="L46" s="75" t="str">
        <f>IFERROR(VLOOKUP(K46,'PAINT LABOR COSTS'!$B$27:$C$58,2,FALSE),"Pick Color")</f>
        <v>Pick Color</v>
      </c>
      <c r="M46" s="160"/>
      <c r="N46" s="278">
        <f t="shared" si="26"/>
        <v>0</v>
      </c>
      <c r="O46" s="147" t="str">
        <f t="shared" si="27"/>
        <v/>
      </c>
      <c r="P46" s="75" t="str">
        <f t="shared" si="20"/>
        <v>YES</v>
      </c>
      <c r="Q46" s="160" t="s">
        <v>419</v>
      </c>
      <c r="R46" s="75" t="str">
        <f t="shared" si="28"/>
        <v>NO</v>
      </c>
      <c r="S46" s="75" t="str">
        <f t="shared" si="29"/>
        <v>NO</v>
      </c>
      <c r="T46" s="160">
        <v>0</v>
      </c>
      <c r="V46" s="31">
        <f t="shared" si="30"/>
        <v>0</v>
      </c>
      <c r="W46" s="277">
        <f t="shared" si="31"/>
        <v>0</v>
      </c>
      <c r="X46" s="277">
        <f t="shared" si="32"/>
        <v>0</v>
      </c>
      <c r="Y46" s="277">
        <f t="shared" si="33"/>
        <v>0</v>
      </c>
      <c r="Z46" s="181">
        <f t="shared" si="34"/>
        <v>0</v>
      </c>
      <c r="AA46" s="104">
        <f t="shared" si="35"/>
        <v>0</v>
      </c>
      <c r="AB46" s="104">
        <f t="shared" si="36"/>
        <v>0</v>
      </c>
      <c r="AC46" s="104">
        <f t="shared" si="37"/>
        <v>0</v>
      </c>
      <c r="AD46" s="104"/>
      <c r="AE46" s="279"/>
      <c r="AF46" s="279">
        <f t="shared" si="38"/>
        <v>0</v>
      </c>
      <c r="AG46" s="104">
        <f t="shared" si="39"/>
        <v>0</v>
      </c>
      <c r="AH46" s="104"/>
      <c r="AI46" s="104">
        <f t="shared" si="40"/>
        <v>0</v>
      </c>
      <c r="AJ46" s="104"/>
      <c r="AK46" s="104">
        <f t="shared" si="21"/>
        <v>0</v>
      </c>
      <c r="AL46" s="181">
        <f t="shared" si="22"/>
        <v>0</v>
      </c>
      <c r="AM46" s="104">
        <f t="shared" si="23"/>
        <v>0</v>
      </c>
      <c r="AN46" s="181">
        <f>IF(V46=0,0,VLOOKUP(K46,'PAINT LABOR COSTS'!$B$27:$N$67,12,0)*V46)*F46</f>
        <v>0</v>
      </c>
      <c r="AO46" s="181">
        <f t="shared" si="24"/>
        <v>0</v>
      </c>
      <c r="AP46" s="104">
        <f t="shared" si="41"/>
        <v>0</v>
      </c>
    </row>
    <row r="47" spans="1:42" ht="15.75">
      <c r="A47" s="2">
        <v>37</v>
      </c>
      <c r="B47" s="181">
        <f t="shared" si="17"/>
        <v>0</v>
      </c>
      <c r="C47" s="181">
        <f t="shared" si="18"/>
        <v>0</v>
      </c>
      <c r="D47" s="181">
        <f t="shared" si="19"/>
        <v>0</v>
      </c>
      <c r="E47" s="22">
        <f t="shared" si="25"/>
        <v>0</v>
      </c>
      <c r="F47" s="160"/>
      <c r="G47" s="187"/>
      <c r="H47" s="160"/>
      <c r="I47" s="160"/>
      <c r="J47" s="160"/>
      <c r="K47" s="160"/>
      <c r="L47" s="75" t="str">
        <f>IFERROR(VLOOKUP(K47,'PAINT LABOR COSTS'!$B$27:$C$58,2,FALSE),"Pick Color")</f>
        <v>Pick Color</v>
      </c>
      <c r="M47" s="160"/>
      <c r="N47" s="278">
        <f t="shared" si="26"/>
        <v>0</v>
      </c>
      <c r="O47" s="147" t="str">
        <f t="shared" si="27"/>
        <v/>
      </c>
      <c r="P47" s="75" t="str">
        <f t="shared" si="20"/>
        <v>YES</v>
      </c>
      <c r="Q47" s="160" t="s">
        <v>419</v>
      </c>
      <c r="R47" s="75" t="str">
        <f t="shared" si="28"/>
        <v>NO</v>
      </c>
      <c r="S47" s="75" t="str">
        <f t="shared" si="29"/>
        <v>NO</v>
      </c>
      <c r="T47" s="160">
        <v>0</v>
      </c>
      <c r="V47" s="31">
        <f t="shared" si="30"/>
        <v>0</v>
      </c>
      <c r="W47" s="277">
        <f t="shared" si="31"/>
        <v>0</v>
      </c>
      <c r="X47" s="277">
        <f t="shared" si="32"/>
        <v>0</v>
      </c>
      <c r="Y47" s="277">
        <f t="shared" si="33"/>
        <v>0</v>
      </c>
      <c r="Z47" s="181">
        <f t="shared" si="34"/>
        <v>0</v>
      </c>
      <c r="AA47" s="104">
        <f t="shared" si="35"/>
        <v>0</v>
      </c>
      <c r="AB47" s="104">
        <f t="shared" si="36"/>
        <v>0</v>
      </c>
      <c r="AC47" s="104">
        <f t="shared" si="37"/>
        <v>0</v>
      </c>
      <c r="AD47" s="104"/>
      <c r="AE47" s="279"/>
      <c r="AF47" s="279">
        <f t="shared" si="38"/>
        <v>0</v>
      </c>
      <c r="AG47" s="104">
        <f t="shared" si="39"/>
        <v>0</v>
      </c>
      <c r="AH47" s="104"/>
      <c r="AI47" s="104">
        <f t="shared" si="40"/>
        <v>0</v>
      </c>
      <c r="AJ47" s="104"/>
      <c r="AK47" s="104">
        <f t="shared" si="21"/>
        <v>0</v>
      </c>
      <c r="AL47" s="181">
        <f t="shared" si="22"/>
        <v>0</v>
      </c>
      <c r="AM47" s="104">
        <f t="shared" si="23"/>
        <v>0</v>
      </c>
      <c r="AN47" s="181">
        <f>IF(V47=0,0,VLOOKUP(K47,'PAINT LABOR COSTS'!$B$27:$N$67,12,0)*V47)*F47</f>
        <v>0</v>
      </c>
      <c r="AO47" s="181">
        <f t="shared" si="24"/>
        <v>0</v>
      </c>
      <c r="AP47" s="104">
        <f t="shared" si="41"/>
        <v>0</v>
      </c>
    </row>
    <row r="48" spans="1:42" ht="15.75">
      <c r="A48" s="2">
        <v>38</v>
      </c>
      <c r="B48" s="181">
        <f t="shared" si="17"/>
        <v>0</v>
      </c>
      <c r="C48" s="181">
        <f t="shared" si="18"/>
        <v>0</v>
      </c>
      <c r="D48" s="181">
        <f t="shared" si="19"/>
        <v>0</v>
      </c>
      <c r="E48" s="22">
        <f t="shared" si="25"/>
        <v>0</v>
      </c>
      <c r="F48" s="160"/>
      <c r="G48" s="187"/>
      <c r="H48" s="160"/>
      <c r="I48" s="160"/>
      <c r="J48" s="160"/>
      <c r="K48" s="160"/>
      <c r="L48" s="75" t="str">
        <f>IFERROR(VLOOKUP(K48,'PAINT LABOR COSTS'!$B$27:$C$58,2,FALSE),"Pick Color")</f>
        <v>Pick Color</v>
      </c>
      <c r="M48" s="160"/>
      <c r="N48" s="278">
        <f t="shared" si="26"/>
        <v>0</v>
      </c>
      <c r="O48" s="147" t="str">
        <f t="shared" si="27"/>
        <v/>
      </c>
      <c r="P48" s="75" t="str">
        <f t="shared" si="20"/>
        <v>YES</v>
      </c>
      <c r="Q48" s="160" t="s">
        <v>419</v>
      </c>
      <c r="R48" s="75" t="str">
        <f t="shared" si="28"/>
        <v>NO</v>
      </c>
      <c r="S48" s="75" t="str">
        <f t="shared" si="29"/>
        <v>NO</v>
      </c>
      <c r="T48" s="160">
        <v>0</v>
      </c>
      <c r="V48" s="31">
        <f t="shared" si="30"/>
        <v>0</v>
      </c>
      <c r="W48" s="277">
        <f t="shared" si="31"/>
        <v>0</v>
      </c>
      <c r="X48" s="277">
        <f t="shared" si="32"/>
        <v>0</v>
      </c>
      <c r="Y48" s="277">
        <f t="shared" si="33"/>
        <v>0</v>
      </c>
      <c r="Z48" s="181">
        <f t="shared" si="34"/>
        <v>0</v>
      </c>
      <c r="AA48" s="104">
        <f t="shared" si="35"/>
        <v>0</v>
      </c>
      <c r="AB48" s="104">
        <f t="shared" si="36"/>
        <v>0</v>
      </c>
      <c r="AC48" s="104">
        <f t="shared" si="37"/>
        <v>0</v>
      </c>
      <c r="AD48" s="104"/>
      <c r="AE48" s="279"/>
      <c r="AF48" s="279">
        <f t="shared" si="38"/>
        <v>0</v>
      </c>
      <c r="AG48" s="104">
        <f t="shared" si="39"/>
        <v>0</v>
      </c>
      <c r="AH48" s="104"/>
      <c r="AI48" s="104">
        <f t="shared" si="40"/>
        <v>0</v>
      </c>
      <c r="AJ48" s="104"/>
      <c r="AK48" s="104">
        <f t="shared" si="21"/>
        <v>0</v>
      </c>
      <c r="AL48" s="181">
        <f t="shared" si="22"/>
        <v>0</v>
      </c>
      <c r="AM48" s="104">
        <f t="shared" si="23"/>
        <v>0</v>
      </c>
      <c r="AN48" s="181">
        <f>IF(V48=0,0,VLOOKUP(K48,'PAINT LABOR COSTS'!$B$27:$N$67,12,0)*V48)*F48</f>
        <v>0</v>
      </c>
      <c r="AO48" s="181">
        <f t="shared" si="24"/>
        <v>0</v>
      </c>
      <c r="AP48" s="104">
        <f t="shared" si="41"/>
        <v>0</v>
      </c>
    </row>
    <row r="49" spans="1:42" ht="15.75">
      <c r="A49" s="2">
        <v>39</v>
      </c>
      <c r="B49" s="181">
        <f t="shared" si="17"/>
        <v>0</v>
      </c>
      <c r="C49" s="181">
        <f t="shared" si="18"/>
        <v>0</v>
      </c>
      <c r="D49" s="181">
        <f t="shared" si="19"/>
        <v>0</v>
      </c>
      <c r="E49" s="22">
        <f t="shared" si="25"/>
        <v>0</v>
      </c>
      <c r="F49" s="160"/>
      <c r="G49" s="187"/>
      <c r="H49" s="160"/>
      <c r="I49" s="160"/>
      <c r="J49" s="160"/>
      <c r="K49" s="160"/>
      <c r="L49" s="75" t="str">
        <f>IFERROR(VLOOKUP(K49,'PAINT LABOR COSTS'!$B$27:$C$58,2,FALSE),"Pick Color")</f>
        <v>Pick Color</v>
      </c>
      <c r="M49" s="160"/>
      <c r="N49" s="278">
        <f t="shared" si="26"/>
        <v>0</v>
      </c>
      <c r="O49" s="147" t="str">
        <f t="shared" si="27"/>
        <v/>
      </c>
      <c r="P49" s="75" t="str">
        <f t="shared" si="20"/>
        <v>YES</v>
      </c>
      <c r="Q49" s="160" t="s">
        <v>419</v>
      </c>
      <c r="R49" s="75" t="str">
        <f t="shared" si="28"/>
        <v>NO</v>
      </c>
      <c r="S49" s="75" t="str">
        <f t="shared" si="29"/>
        <v>NO</v>
      </c>
      <c r="T49" s="160">
        <v>0</v>
      </c>
      <c r="V49" s="31">
        <f t="shared" si="30"/>
        <v>0</v>
      </c>
      <c r="W49" s="277">
        <f t="shared" si="31"/>
        <v>0</v>
      </c>
      <c r="X49" s="277">
        <f t="shared" si="32"/>
        <v>0</v>
      </c>
      <c r="Y49" s="277">
        <f t="shared" si="33"/>
        <v>0</v>
      </c>
      <c r="Z49" s="181">
        <f t="shared" si="34"/>
        <v>0</v>
      </c>
      <c r="AA49" s="104">
        <f t="shared" si="35"/>
        <v>0</v>
      </c>
      <c r="AB49" s="104">
        <f t="shared" si="36"/>
        <v>0</v>
      </c>
      <c r="AC49" s="104">
        <f t="shared" si="37"/>
        <v>0</v>
      </c>
      <c r="AD49" s="104"/>
      <c r="AE49" s="279"/>
      <c r="AF49" s="279">
        <f t="shared" si="38"/>
        <v>0</v>
      </c>
      <c r="AG49" s="104">
        <f t="shared" si="39"/>
        <v>0</v>
      </c>
      <c r="AH49" s="104"/>
      <c r="AI49" s="104">
        <f t="shared" si="40"/>
        <v>0</v>
      </c>
      <c r="AJ49" s="104"/>
      <c r="AK49" s="104">
        <f t="shared" si="21"/>
        <v>0</v>
      </c>
      <c r="AL49" s="181">
        <f t="shared" si="22"/>
        <v>0</v>
      </c>
      <c r="AM49" s="104">
        <f t="shared" si="23"/>
        <v>0</v>
      </c>
      <c r="AN49" s="181">
        <f>IF(V49=0,0,VLOOKUP(K49,'PAINT LABOR COSTS'!$B$27:$N$67,12,0)*V49)*F49</f>
        <v>0</v>
      </c>
      <c r="AO49" s="181">
        <f t="shared" si="24"/>
        <v>0</v>
      </c>
      <c r="AP49" s="104">
        <f t="shared" si="41"/>
        <v>0</v>
      </c>
    </row>
    <row r="50" spans="1:42" ht="15.75">
      <c r="A50" s="2">
        <v>40</v>
      </c>
      <c r="B50" s="181">
        <f t="shared" si="17"/>
        <v>0</v>
      </c>
      <c r="C50" s="181">
        <f t="shared" si="18"/>
        <v>0</v>
      </c>
      <c r="D50" s="181">
        <f t="shared" si="19"/>
        <v>0</v>
      </c>
      <c r="E50" s="22">
        <f t="shared" si="25"/>
        <v>0</v>
      </c>
      <c r="F50" s="160"/>
      <c r="G50" s="187"/>
      <c r="H50" s="160"/>
      <c r="I50" s="160"/>
      <c r="J50" s="160"/>
      <c r="K50" s="160"/>
      <c r="L50" s="75" t="str">
        <f>IFERROR(VLOOKUP(K50,'PAINT LABOR COSTS'!$B$27:$C$58,2,FALSE),"Pick Color")</f>
        <v>Pick Color</v>
      </c>
      <c r="M50" s="160"/>
      <c r="N50" s="278">
        <f t="shared" si="26"/>
        <v>0</v>
      </c>
      <c r="O50" s="147" t="str">
        <f t="shared" si="27"/>
        <v/>
      </c>
      <c r="P50" s="75" t="str">
        <f t="shared" si="20"/>
        <v>YES</v>
      </c>
      <c r="Q50" s="160" t="s">
        <v>419</v>
      </c>
      <c r="R50" s="75" t="str">
        <f t="shared" si="28"/>
        <v>NO</v>
      </c>
      <c r="S50" s="75" t="str">
        <f t="shared" si="29"/>
        <v>NO</v>
      </c>
      <c r="T50" s="160">
        <v>0</v>
      </c>
      <c r="V50" s="31">
        <f t="shared" si="30"/>
        <v>0</v>
      </c>
      <c r="W50" s="277">
        <f t="shared" si="31"/>
        <v>0</v>
      </c>
      <c r="X50" s="277">
        <f t="shared" si="32"/>
        <v>0</v>
      </c>
      <c r="Y50" s="277">
        <f t="shared" si="33"/>
        <v>0</v>
      </c>
      <c r="Z50" s="181">
        <f t="shared" si="34"/>
        <v>0</v>
      </c>
      <c r="AA50" s="104">
        <f t="shared" si="35"/>
        <v>0</v>
      </c>
      <c r="AB50" s="104">
        <f t="shared" si="36"/>
        <v>0</v>
      </c>
      <c r="AC50" s="104">
        <f t="shared" si="37"/>
        <v>0</v>
      </c>
      <c r="AD50" s="104"/>
      <c r="AE50" s="279"/>
      <c r="AF50" s="279">
        <f t="shared" si="38"/>
        <v>0</v>
      </c>
      <c r="AG50" s="104">
        <f t="shared" si="39"/>
        <v>0</v>
      </c>
      <c r="AH50" s="104"/>
      <c r="AI50" s="104">
        <f t="shared" si="40"/>
        <v>0</v>
      </c>
      <c r="AJ50" s="104"/>
      <c r="AK50" s="104">
        <f t="shared" si="21"/>
        <v>0</v>
      </c>
      <c r="AL50" s="181">
        <f t="shared" si="22"/>
        <v>0</v>
      </c>
      <c r="AM50" s="104">
        <f t="shared" si="23"/>
        <v>0</v>
      </c>
      <c r="AN50" s="181">
        <f>IF(V50=0,0,VLOOKUP(K50,'PAINT LABOR COSTS'!$B$27:$N$67,12,0)*V50)*F50</f>
        <v>0</v>
      </c>
      <c r="AO50" s="181">
        <f t="shared" si="24"/>
        <v>0</v>
      </c>
      <c r="AP50" s="104">
        <f t="shared" si="41"/>
        <v>0</v>
      </c>
    </row>
    <row r="51" spans="1:42" ht="15.75">
      <c r="A51" s="2">
        <v>41</v>
      </c>
      <c r="B51" s="181">
        <f t="shared" si="17"/>
        <v>0</v>
      </c>
      <c r="C51" s="181">
        <f t="shared" si="18"/>
        <v>0</v>
      </c>
      <c r="D51" s="181">
        <f t="shared" si="19"/>
        <v>0</v>
      </c>
      <c r="E51" s="22">
        <f t="shared" si="25"/>
        <v>0</v>
      </c>
      <c r="F51" s="160"/>
      <c r="G51" s="187"/>
      <c r="H51" s="160"/>
      <c r="I51" s="160"/>
      <c r="J51" s="160"/>
      <c r="K51" s="160"/>
      <c r="L51" s="75" t="str">
        <f>IFERROR(VLOOKUP(K51,'PAINT LABOR COSTS'!$B$27:$C$58,2,FALSE),"Pick Color")</f>
        <v>Pick Color</v>
      </c>
      <c r="M51" s="160"/>
      <c r="N51" s="278">
        <f t="shared" si="26"/>
        <v>0</v>
      </c>
      <c r="O51" s="147" t="str">
        <f t="shared" si="27"/>
        <v/>
      </c>
      <c r="P51" s="75" t="str">
        <f t="shared" si="20"/>
        <v>YES</v>
      </c>
      <c r="Q51" s="160" t="s">
        <v>419</v>
      </c>
      <c r="R51" s="75" t="str">
        <f t="shared" si="28"/>
        <v>NO</v>
      </c>
      <c r="S51" s="75" t="str">
        <f t="shared" si="29"/>
        <v>NO</v>
      </c>
      <c r="T51" s="160">
        <v>0</v>
      </c>
      <c r="V51" s="31">
        <f t="shared" si="30"/>
        <v>0</v>
      </c>
      <c r="W51" s="277">
        <f t="shared" si="31"/>
        <v>0</v>
      </c>
      <c r="X51" s="277">
        <f t="shared" si="32"/>
        <v>0</v>
      </c>
      <c r="Y51" s="277">
        <f t="shared" si="33"/>
        <v>0</v>
      </c>
      <c r="Z51" s="181">
        <f t="shared" si="34"/>
        <v>0</v>
      </c>
      <c r="AA51" s="104">
        <f t="shared" si="35"/>
        <v>0</v>
      </c>
      <c r="AB51" s="104">
        <f t="shared" si="36"/>
        <v>0</v>
      </c>
      <c r="AC51" s="104">
        <f t="shared" si="37"/>
        <v>0</v>
      </c>
      <c r="AD51" s="104"/>
      <c r="AE51" s="279"/>
      <c r="AF51" s="279">
        <f t="shared" si="38"/>
        <v>0</v>
      </c>
      <c r="AG51" s="104">
        <f t="shared" si="39"/>
        <v>0</v>
      </c>
      <c r="AH51" s="104"/>
      <c r="AI51" s="104">
        <f t="shared" si="40"/>
        <v>0</v>
      </c>
      <c r="AJ51" s="104"/>
      <c r="AK51" s="104">
        <f t="shared" si="21"/>
        <v>0</v>
      </c>
      <c r="AL51" s="181">
        <f t="shared" si="22"/>
        <v>0</v>
      </c>
      <c r="AM51" s="104">
        <f t="shared" si="23"/>
        <v>0</v>
      </c>
      <c r="AN51" s="181">
        <f>IF(V51=0,0,VLOOKUP(K51,'PAINT LABOR COSTS'!$B$27:$N$67,12,0)*V51)*F51</f>
        <v>0</v>
      </c>
      <c r="AO51" s="181">
        <f t="shared" si="24"/>
        <v>0</v>
      </c>
      <c r="AP51" s="104">
        <f t="shared" si="41"/>
        <v>0</v>
      </c>
    </row>
    <row r="52" spans="1:42" ht="15.75">
      <c r="A52" s="2">
        <v>42</v>
      </c>
      <c r="B52" s="181">
        <f t="shared" si="17"/>
        <v>0</v>
      </c>
      <c r="C52" s="181">
        <f t="shared" si="18"/>
        <v>0</v>
      </c>
      <c r="D52" s="181">
        <f t="shared" si="19"/>
        <v>0</v>
      </c>
      <c r="E52" s="22">
        <f t="shared" si="25"/>
        <v>0</v>
      </c>
      <c r="F52" s="160"/>
      <c r="G52" s="187"/>
      <c r="H52" s="160"/>
      <c r="I52" s="160"/>
      <c r="J52" s="160"/>
      <c r="K52" s="160"/>
      <c r="L52" s="75" t="str">
        <f>IFERROR(VLOOKUP(K52,'PAINT LABOR COSTS'!$B$27:$C$58,2,FALSE),"Pick Color")</f>
        <v>Pick Color</v>
      </c>
      <c r="M52" s="160"/>
      <c r="N52" s="278">
        <f t="shared" si="26"/>
        <v>0</v>
      </c>
      <c r="O52" s="147" t="str">
        <f t="shared" si="27"/>
        <v/>
      </c>
      <c r="P52" s="75" t="str">
        <f t="shared" si="20"/>
        <v>YES</v>
      </c>
      <c r="Q52" s="160" t="s">
        <v>419</v>
      </c>
      <c r="R52" s="75" t="str">
        <f t="shared" si="28"/>
        <v>NO</v>
      </c>
      <c r="S52" s="75" t="str">
        <f t="shared" si="29"/>
        <v>NO</v>
      </c>
      <c r="T52" s="160">
        <v>0</v>
      </c>
      <c r="V52" s="31">
        <f t="shared" si="30"/>
        <v>0</v>
      </c>
      <c r="W52" s="277">
        <f t="shared" si="31"/>
        <v>0</v>
      </c>
      <c r="X52" s="277">
        <f t="shared" si="32"/>
        <v>0</v>
      </c>
      <c r="Y52" s="277">
        <f t="shared" si="33"/>
        <v>0</v>
      </c>
      <c r="Z52" s="181">
        <f t="shared" si="34"/>
        <v>0</v>
      </c>
      <c r="AA52" s="104">
        <f t="shared" si="35"/>
        <v>0</v>
      </c>
      <c r="AB52" s="104">
        <f t="shared" si="36"/>
        <v>0</v>
      </c>
      <c r="AC52" s="104">
        <f t="shared" si="37"/>
        <v>0</v>
      </c>
      <c r="AD52" s="104"/>
      <c r="AE52" s="279"/>
      <c r="AF52" s="279">
        <f t="shared" si="38"/>
        <v>0</v>
      </c>
      <c r="AG52" s="104">
        <f t="shared" si="39"/>
        <v>0</v>
      </c>
      <c r="AH52" s="104"/>
      <c r="AI52" s="104">
        <f t="shared" si="40"/>
        <v>0</v>
      </c>
      <c r="AJ52" s="104"/>
      <c r="AK52" s="104">
        <f t="shared" si="21"/>
        <v>0</v>
      </c>
      <c r="AL52" s="181">
        <f t="shared" si="22"/>
        <v>0</v>
      </c>
      <c r="AM52" s="104">
        <f t="shared" si="23"/>
        <v>0</v>
      </c>
      <c r="AN52" s="181">
        <f>IF(V52=0,0,VLOOKUP(K52,'PAINT LABOR COSTS'!$B$27:$N$67,12,0)*V52)*F52</f>
        <v>0</v>
      </c>
      <c r="AO52" s="181">
        <f t="shared" si="24"/>
        <v>0</v>
      </c>
      <c r="AP52" s="104">
        <f t="shared" si="41"/>
        <v>0</v>
      </c>
    </row>
    <row r="53" spans="1:42" ht="15.75">
      <c r="A53" s="2">
        <v>43</v>
      </c>
      <c r="B53" s="181">
        <f t="shared" si="17"/>
        <v>0</v>
      </c>
      <c r="C53" s="181">
        <f t="shared" si="18"/>
        <v>0</v>
      </c>
      <c r="D53" s="181">
        <f t="shared" si="19"/>
        <v>0</v>
      </c>
      <c r="E53" s="22">
        <f t="shared" si="25"/>
        <v>0</v>
      </c>
      <c r="F53" s="160"/>
      <c r="G53" s="187"/>
      <c r="H53" s="160"/>
      <c r="I53" s="160"/>
      <c r="J53" s="160"/>
      <c r="K53" s="160"/>
      <c r="L53" s="75" t="str">
        <f>IFERROR(VLOOKUP(K53,'PAINT LABOR COSTS'!$B$27:$C$58,2,FALSE),"Pick Color")</f>
        <v>Pick Color</v>
      </c>
      <c r="M53" s="160"/>
      <c r="N53" s="278">
        <f t="shared" si="26"/>
        <v>0</v>
      </c>
      <c r="O53" s="147" t="str">
        <f t="shared" si="27"/>
        <v/>
      </c>
      <c r="P53" s="75" t="str">
        <f t="shared" si="20"/>
        <v>YES</v>
      </c>
      <c r="Q53" s="160" t="s">
        <v>419</v>
      </c>
      <c r="R53" s="75" t="str">
        <f t="shared" si="28"/>
        <v>NO</v>
      </c>
      <c r="S53" s="75" t="str">
        <f t="shared" si="29"/>
        <v>NO</v>
      </c>
      <c r="T53" s="160">
        <v>0</v>
      </c>
      <c r="V53" s="31">
        <f t="shared" si="30"/>
        <v>0</v>
      </c>
      <c r="W53" s="277">
        <f t="shared" si="31"/>
        <v>0</v>
      </c>
      <c r="X53" s="277">
        <f t="shared" si="32"/>
        <v>0</v>
      </c>
      <c r="Y53" s="277">
        <f t="shared" si="33"/>
        <v>0</v>
      </c>
      <c r="Z53" s="181">
        <f t="shared" si="34"/>
        <v>0</v>
      </c>
      <c r="AA53" s="104">
        <f t="shared" si="35"/>
        <v>0</v>
      </c>
      <c r="AB53" s="104">
        <f t="shared" si="36"/>
        <v>0</v>
      </c>
      <c r="AC53" s="104">
        <f t="shared" si="37"/>
        <v>0</v>
      </c>
      <c r="AD53" s="104"/>
      <c r="AE53" s="279"/>
      <c r="AF53" s="279">
        <f t="shared" si="38"/>
        <v>0</v>
      </c>
      <c r="AG53" s="104">
        <f t="shared" si="39"/>
        <v>0</v>
      </c>
      <c r="AH53" s="104"/>
      <c r="AI53" s="104">
        <f t="shared" si="40"/>
        <v>0</v>
      </c>
      <c r="AJ53" s="104"/>
      <c r="AK53" s="104">
        <f t="shared" si="21"/>
        <v>0</v>
      </c>
      <c r="AL53" s="181">
        <f t="shared" si="22"/>
        <v>0</v>
      </c>
      <c r="AM53" s="104">
        <f t="shared" si="23"/>
        <v>0</v>
      </c>
      <c r="AN53" s="181">
        <f>IF(V53=0,0,VLOOKUP(K53,'PAINT LABOR COSTS'!$B$27:$N$67,12,0)*V53)*F53</f>
        <v>0</v>
      </c>
      <c r="AO53" s="181">
        <f t="shared" si="24"/>
        <v>0</v>
      </c>
      <c r="AP53" s="104">
        <f t="shared" si="41"/>
        <v>0</v>
      </c>
    </row>
    <row r="54" spans="1:42" ht="15.75">
      <c r="A54" s="2">
        <v>44</v>
      </c>
      <c r="B54" s="181">
        <f t="shared" si="17"/>
        <v>0</v>
      </c>
      <c r="C54" s="181">
        <f t="shared" si="18"/>
        <v>0</v>
      </c>
      <c r="D54" s="181">
        <f t="shared" si="19"/>
        <v>0</v>
      </c>
      <c r="E54" s="22">
        <f t="shared" si="25"/>
        <v>0</v>
      </c>
      <c r="F54" s="160"/>
      <c r="G54" s="187"/>
      <c r="H54" s="160"/>
      <c r="I54" s="160"/>
      <c r="J54" s="160"/>
      <c r="K54" s="160"/>
      <c r="L54" s="75" t="str">
        <f>IFERROR(VLOOKUP(K54,'PAINT LABOR COSTS'!$B$27:$C$58,2,FALSE),"Pick Color")</f>
        <v>Pick Color</v>
      </c>
      <c r="M54" s="160"/>
      <c r="N54" s="278">
        <f t="shared" si="26"/>
        <v>0</v>
      </c>
      <c r="O54" s="147" t="str">
        <f t="shared" si="27"/>
        <v/>
      </c>
      <c r="P54" s="75" t="str">
        <f t="shared" si="20"/>
        <v>YES</v>
      </c>
      <c r="Q54" s="160" t="s">
        <v>419</v>
      </c>
      <c r="R54" s="75" t="str">
        <f t="shared" si="28"/>
        <v>NO</v>
      </c>
      <c r="S54" s="75" t="str">
        <f t="shared" si="29"/>
        <v>NO</v>
      </c>
      <c r="T54" s="160">
        <v>0</v>
      </c>
      <c r="V54" s="31">
        <f t="shared" si="30"/>
        <v>0</v>
      </c>
      <c r="W54" s="277">
        <f t="shared" si="31"/>
        <v>0</v>
      </c>
      <c r="X54" s="277">
        <f t="shared" si="32"/>
        <v>0</v>
      </c>
      <c r="Y54" s="277">
        <f t="shared" si="33"/>
        <v>0</v>
      </c>
      <c r="Z54" s="181">
        <f t="shared" si="34"/>
        <v>0</v>
      </c>
      <c r="AA54" s="104">
        <f t="shared" si="35"/>
        <v>0</v>
      </c>
      <c r="AB54" s="104">
        <f t="shared" si="36"/>
        <v>0</v>
      </c>
      <c r="AC54" s="104">
        <f t="shared" si="37"/>
        <v>0</v>
      </c>
      <c r="AD54" s="104"/>
      <c r="AE54" s="279"/>
      <c r="AF54" s="279">
        <f t="shared" si="38"/>
        <v>0</v>
      </c>
      <c r="AG54" s="104">
        <f t="shared" si="39"/>
        <v>0</v>
      </c>
      <c r="AH54" s="104"/>
      <c r="AI54" s="104">
        <f t="shared" si="40"/>
        <v>0</v>
      </c>
      <c r="AJ54" s="104"/>
      <c r="AK54" s="104">
        <f t="shared" si="21"/>
        <v>0</v>
      </c>
      <c r="AL54" s="181">
        <f t="shared" si="22"/>
        <v>0</v>
      </c>
      <c r="AM54" s="104">
        <f t="shared" si="23"/>
        <v>0</v>
      </c>
      <c r="AN54" s="181">
        <f>IF(V54=0,0,VLOOKUP(K54,'PAINT LABOR COSTS'!$B$27:$N$67,12,0)*V54)*F54</f>
        <v>0</v>
      </c>
      <c r="AO54" s="181">
        <f t="shared" si="24"/>
        <v>0</v>
      </c>
      <c r="AP54" s="104">
        <f t="shared" si="41"/>
        <v>0</v>
      </c>
    </row>
    <row r="55" spans="1:42" ht="15.75">
      <c r="A55" s="2">
        <v>45</v>
      </c>
      <c r="B55" s="181">
        <f t="shared" si="17"/>
        <v>0</v>
      </c>
      <c r="C55" s="181">
        <f t="shared" si="18"/>
        <v>0</v>
      </c>
      <c r="D55" s="181">
        <f t="shared" si="19"/>
        <v>0</v>
      </c>
      <c r="E55" s="22">
        <f t="shared" si="25"/>
        <v>0</v>
      </c>
      <c r="F55" s="160"/>
      <c r="G55" s="187"/>
      <c r="H55" s="160"/>
      <c r="I55" s="160"/>
      <c r="J55" s="160"/>
      <c r="K55" s="160"/>
      <c r="L55" s="75" t="str">
        <f>IFERROR(VLOOKUP(K55,'PAINT LABOR COSTS'!$B$27:$C$58,2,FALSE),"Pick Color")</f>
        <v>Pick Color</v>
      </c>
      <c r="M55" s="160"/>
      <c r="N55" s="278">
        <f t="shared" si="26"/>
        <v>0</v>
      </c>
      <c r="O55" s="147" t="str">
        <f t="shared" si="27"/>
        <v/>
      </c>
      <c r="P55" s="75" t="str">
        <f t="shared" si="20"/>
        <v>YES</v>
      </c>
      <c r="Q55" s="160" t="s">
        <v>419</v>
      </c>
      <c r="R55" s="75" t="str">
        <f t="shared" si="28"/>
        <v>NO</v>
      </c>
      <c r="S55" s="75" t="str">
        <f t="shared" si="29"/>
        <v>NO</v>
      </c>
      <c r="T55" s="160">
        <v>0</v>
      </c>
      <c r="V55" s="31">
        <f t="shared" si="30"/>
        <v>0</v>
      </c>
      <c r="W55" s="277">
        <f t="shared" si="31"/>
        <v>0</v>
      </c>
      <c r="X55" s="277">
        <f t="shared" si="32"/>
        <v>0</v>
      </c>
      <c r="Y55" s="277">
        <f t="shared" si="33"/>
        <v>0</v>
      </c>
      <c r="Z55" s="181">
        <f t="shared" si="34"/>
        <v>0</v>
      </c>
      <c r="AA55" s="104">
        <f t="shared" si="35"/>
        <v>0</v>
      </c>
      <c r="AB55" s="104">
        <f t="shared" si="36"/>
        <v>0</v>
      </c>
      <c r="AC55" s="104">
        <f t="shared" si="37"/>
        <v>0</v>
      </c>
      <c r="AD55" s="104"/>
      <c r="AE55" s="279"/>
      <c r="AF55" s="279">
        <f t="shared" si="38"/>
        <v>0</v>
      </c>
      <c r="AG55" s="104">
        <f t="shared" si="39"/>
        <v>0</v>
      </c>
      <c r="AH55" s="104"/>
      <c r="AI55" s="104">
        <f t="shared" si="40"/>
        <v>0</v>
      </c>
      <c r="AJ55" s="104"/>
      <c r="AK55" s="104">
        <f t="shared" si="21"/>
        <v>0</v>
      </c>
      <c r="AL55" s="181">
        <f t="shared" si="22"/>
        <v>0</v>
      </c>
      <c r="AM55" s="104">
        <f t="shared" si="23"/>
        <v>0</v>
      </c>
      <c r="AN55" s="181">
        <f>IF(V55=0,0,VLOOKUP(K55,'PAINT LABOR COSTS'!$B$27:$N$67,12,0)*V55)*F55</f>
        <v>0</v>
      </c>
      <c r="AO55" s="181">
        <f t="shared" si="24"/>
        <v>0</v>
      </c>
      <c r="AP55" s="104">
        <f t="shared" si="41"/>
        <v>0</v>
      </c>
    </row>
    <row r="56" spans="1:42" ht="15.75">
      <c r="A56" s="2">
        <v>46</v>
      </c>
      <c r="B56" s="181">
        <f t="shared" si="17"/>
        <v>0</v>
      </c>
      <c r="C56" s="181">
        <f t="shared" si="18"/>
        <v>0</v>
      </c>
      <c r="D56" s="181">
        <f t="shared" si="19"/>
        <v>0</v>
      </c>
      <c r="E56" s="22">
        <f t="shared" si="25"/>
        <v>0</v>
      </c>
      <c r="F56" s="160"/>
      <c r="G56" s="187"/>
      <c r="H56" s="160"/>
      <c r="I56" s="160"/>
      <c r="J56" s="160"/>
      <c r="K56" s="160"/>
      <c r="L56" s="75" t="str">
        <f>IFERROR(VLOOKUP(K56,'PAINT LABOR COSTS'!$B$27:$C$58,2,FALSE),"Pick Color")</f>
        <v>Pick Color</v>
      </c>
      <c r="M56" s="160"/>
      <c r="N56" s="278">
        <f t="shared" si="26"/>
        <v>0</v>
      </c>
      <c r="O56" s="147" t="str">
        <f t="shared" si="27"/>
        <v/>
      </c>
      <c r="P56" s="75" t="str">
        <f t="shared" si="20"/>
        <v>YES</v>
      </c>
      <c r="Q56" s="160" t="s">
        <v>419</v>
      </c>
      <c r="R56" s="75" t="str">
        <f t="shared" si="28"/>
        <v>NO</v>
      </c>
      <c r="S56" s="75" t="str">
        <f t="shared" si="29"/>
        <v>NO</v>
      </c>
      <c r="T56" s="160">
        <v>0</v>
      </c>
      <c r="V56" s="31">
        <f t="shared" si="30"/>
        <v>0</v>
      </c>
      <c r="W56" s="277">
        <f t="shared" si="31"/>
        <v>0</v>
      </c>
      <c r="X56" s="277">
        <f t="shared" si="32"/>
        <v>0</v>
      </c>
      <c r="Y56" s="277">
        <f t="shared" si="33"/>
        <v>0</v>
      </c>
      <c r="Z56" s="181">
        <f t="shared" si="34"/>
        <v>0</v>
      </c>
      <c r="AA56" s="104">
        <f t="shared" si="35"/>
        <v>0</v>
      </c>
      <c r="AB56" s="104">
        <f t="shared" si="36"/>
        <v>0</v>
      </c>
      <c r="AC56" s="104">
        <f t="shared" si="37"/>
        <v>0</v>
      </c>
      <c r="AD56" s="104"/>
      <c r="AE56" s="279"/>
      <c r="AF56" s="279">
        <f t="shared" si="38"/>
        <v>0</v>
      </c>
      <c r="AG56" s="104">
        <f t="shared" si="39"/>
        <v>0</v>
      </c>
      <c r="AH56" s="104"/>
      <c r="AI56" s="104">
        <f t="shared" si="40"/>
        <v>0</v>
      </c>
      <c r="AJ56" s="104"/>
      <c r="AK56" s="104">
        <f t="shared" si="21"/>
        <v>0</v>
      </c>
      <c r="AL56" s="181">
        <f t="shared" si="22"/>
        <v>0</v>
      </c>
      <c r="AM56" s="104">
        <f t="shared" si="23"/>
        <v>0</v>
      </c>
      <c r="AN56" s="181">
        <f>IF(V56=0,0,VLOOKUP(K56,'PAINT LABOR COSTS'!$B$27:$N$67,12,0)*V56)*F56</f>
        <v>0</v>
      </c>
      <c r="AO56" s="181">
        <f t="shared" si="24"/>
        <v>0</v>
      </c>
      <c r="AP56" s="104">
        <f t="shared" si="41"/>
        <v>0</v>
      </c>
    </row>
    <row r="57" spans="1:42" ht="15.75">
      <c r="A57" s="2">
        <v>47</v>
      </c>
      <c r="B57" s="181">
        <f t="shared" si="17"/>
        <v>0</v>
      </c>
      <c r="C57" s="181">
        <f t="shared" si="18"/>
        <v>0</v>
      </c>
      <c r="D57" s="181">
        <f t="shared" si="19"/>
        <v>0</v>
      </c>
      <c r="E57" s="22">
        <f t="shared" si="25"/>
        <v>0</v>
      </c>
      <c r="F57" s="160"/>
      <c r="G57" s="187"/>
      <c r="H57" s="160"/>
      <c r="I57" s="160"/>
      <c r="J57" s="160"/>
      <c r="K57" s="160"/>
      <c r="L57" s="75" t="str">
        <f>IFERROR(VLOOKUP(K57,'PAINT LABOR COSTS'!$B$27:$C$58,2,FALSE),"Pick Color")</f>
        <v>Pick Color</v>
      </c>
      <c r="M57" s="160"/>
      <c r="N57" s="278">
        <f t="shared" si="26"/>
        <v>0</v>
      </c>
      <c r="O57" s="147" t="str">
        <f t="shared" si="27"/>
        <v/>
      </c>
      <c r="P57" s="75" t="str">
        <f t="shared" si="20"/>
        <v>YES</v>
      </c>
      <c r="Q57" s="160" t="s">
        <v>419</v>
      </c>
      <c r="R57" s="75" t="str">
        <f t="shared" si="28"/>
        <v>NO</v>
      </c>
      <c r="S57" s="75" t="str">
        <f t="shared" si="29"/>
        <v>NO</v>
      </c>
      <c r="T57" s="160">
        <v>0</v>
      </c>
      <c r="V57" s="31">
        <f t="shared" si="30"/>
        <v>0</v>
      </c>
      <c r="W57" s="277">
        <f t="shared" si="31"/>
        <v>0</v>
      </c>
      <c r="X57" s="277">
        <f t="shared" si="32"/>
        <v>0</v>
      </c>
      <c r="Y57" s="277">
        <f t="shared" si="33"/>
        <v>0</v>
      </c>
      <c r="Z57" s="181">
        <f t="shared" si="34"/>
        <v>0</v>
      </c>
      <c r="AA57" s="104">
        <f t="shared" si="35"/>
        <v>0</v>
      </c>
      <c r="AB57" s="104">
        <f t="shared" si="36"/>
        <v>0</v>
      </c>
      <c r="AC57" s="104">
        <f t="shared" si="37"/>
        <v>0</v>
      </c>
      <c r="AD57" s="104"/>
      <c r="AE57" s="279"/>
      <c r="AF57" s="279">
        <f t="shared" si="38"/>
        <v>0</v>
      </c>
      <c r="AG57" s="104">
        <f t="shared" si="39"/>
        <v>0</v>
      </c>
      <c r="AH57" s="104"/>
      <c r="AI57" s="104">
        <f t="shared" si="40"/>
        <v>0</v>
      </c>
      <c r="AJ57" s="104"/>
      <c r="AK57" s="104">
        <f t="shared" si="21"/>
        <v>0</v>
      </c>
      <c r="AL57" s="181">
        <f t="shared" si="22"/>
        <v>0</v>
      </c>
      <c r="AM57" s="104">
        <f t="shared" si="23"/>
        <v>0</v>
      </c>
      <c r="AN57" s="181">
        <f>IF(V57=0,0,VLOOKUP(K57,'PAINT LABOR COSTS'!$B$27:$N$67,12,0)*V57)*F57</f>
        <v>0</v>
      </c>
      <c r="AO57" s="181">
        <f t="shared" si="24"/>
        <v>0</v>
      </c>
      <c r="AP57" s="104">
        <f t="shared" si="41"/>
        <v>0</v>
      </c>
    </row>
    <row r="58" spans="1:42" ht="15.75">
      <c r="A58" s="2">
        <v>48</v>
      </c>
      <c r="B58" s="181">
        <f t="shared" si="17"/>
        <v>0</v>
      </c>
      <c r="C58" s="181">
        <f t="shared" si="18"/>
        <v>0</v>
      </c>
      <c r="D58" s="181">
        <f t="shared" si="19"/>
        <v>0</v>
      </c>
      <c r="E58" s="22">
        <f t="shared" si="25"/>
        <v>0</v>
      </c>
      <c r="F58" s="160"/>
      <c r="G58" s="187"/>
      <c r="H58" s="160"/>
      <c r="I58" s="160"/>
      <c r="J58" s="160"/>
      <c r="K58" s="160"/>
      <c r="L58" s="75" t="str">
        <f>IFERROR(VLOOKUP(K58,'PAINT LABOR COSTS'!$B$27:$C$58,2,FALSE),"Pick Color")</f>
        <v>Pick Color</v>
      </c>
      <c r="M58" s="160"/>
      <c r="N58" s="278">
        <f t="shared" si="26"/>
        <v>0</v>
      </c>
      <c r="O58" s="147" t="str">
        <f t="shared" si="27"/>
        <v/>
      </c>
      <c r="P58" s="75" t="str">
        <f t="shared" si="20"/>
        <v>YES</v>
      </c>
      <c r="Q58" s="160" t="s">
        <v>419</v>
      </c>
      <c r="R58" s="75" t="str">
        <f t="shared" si="28"/>
        <v>NO</v>
      </c>
      <c r="S58" s="75" t="str">
        <f t="shared" si="29"/>
        <v>NO</v>
      </c>
      <c r="T58" s="160">
        <v>0</v>
      </c>
      <c r="V58" s="31">
        <f t="shared" si="30"/>
        <v>0</v>
      </c>
      <c r="W58" s="277">
        <f t="shared" si="31"/>
        <v>0</v>
      </c>
      <c r="X58" s="277">
        <f t="shared" si="32"/>
        <v>0</v>
      </c>
      <c r="Y58" s="277">
        <f t="shared" si="33"/>
        <v>0</v>
      </c>
      <c r="Z58" s="181">
        <f t="shared" si="34"/>
        <v>0</v>
      </c>
      <c r="AA58" s="104">
        <f t="shared" si="35"/>
        <v>0</v>
      </c>
      <c r="AB58" s="104">
        <f t="shared" si="36"/>
        <v>0</v>
      </c>
      <c r="AC58" s="104">
        <f t="shared" si="37"/>
        <v>0</v>
      </c>
      <c r="AD58" s="104"/>
      <c r="AE58" s="279"/>
      <c r="AF58" s="279">
        <f t="shared" si="38"/>
        <v>0</v>
      </c>
      <c r="AG58" s="104">
        <f t="shared" si="39"/>
        <v>0</v>
      </c>
      <c r="AH58" s="104"/>
      <c r="AI58" s="104">
        <f t="shared" si="40"/>
        <v>0</v>
      </c>
      <c r="AJ58" s="104"/>
      <c r="AK58" s="104">
        <f t="shared" si="21"/>
        <v>0</v>
      </c>
      <c r="AL58" s="181">
        <f t="shared" si="22"/>
        <v>0</v>
      </c>
      <c r="AM58" s="104">
        <f t="shared" si="23"/>
        <v>0</v>
      </c>
      <c r="AN58" s="181">
        <f>IF(V58=0,0,VLOOKUP(K58,'PAINT LABOR COSTS'!$B$27:$N$67,12,0)*V58)*F58</f>
        <v>0</v>
      </c>
      <c r="AO58" s="181">
        <f t="shared" si="24"/>
        <v>0</v>
      </c>
      <c r="AP58" s="104">
        <f t="shared" si="41"/>
        <v>0</v>
      </c>
    </row>
    <row r="59" spans="1:42" ht="15.75">
      <c r="A59" s="2">
        <v>49</v>
      </c>
      <c r="B59" s="181">
        <f t="shared" si="17"/>
        <v>0</v>
      </c>
      <c r="C59" s="181">
        <f t="shared" si="18"/>
        <v>0</v>
      </c>
      <c r="D59" s="181">
        <f t="shared" si="19"/>
        <v>0</v>
      </c>
      <c r="E59" s="22">
        <f t="shared" si="25"/>
        <v>0</v>
      </c>
      <c r="F59" s="160"/>
      <c r="G59" s="187"/>
      <c r="H59" s="160"/>
      <c r="I59" s="160"/>
      <c r="J59" s="160"/>
      <c r="K59" s="160"/>
      <c r="L59" s="75" t="str">
        <f>IFERROR(VLOOKUP(K59,'PAINT LABOR COSTS'!$B$27:$C$58,2,FALSE),"Pick Color")</f>
        <v>Pick Color</v>
      </c>
      <c r="M59" s="160"/>
      <c r="N59" s="278">
        <f t="shared" si="26"/>
        <v>0</v>
      </c>
      <c r="O59" s="147" t="str">
        <f t="shared" si="27"/>
        <v/>
      </c>
      <c r="P59" s="75" t="str">
        <f t="shared" si="20"/>
        <v>YES</v>
      </c>
      <c r="Q59" s="160" t="s">
        <v>419</v>
      </c>
      <c r="R59" s="75" t="str">
        <f t="shared" si="28"/>
        <v>NO</v>
      </c>
      <c r="S59" s="75" t="str">
        <f t="shared" si="29"/>
        <v>NO</v>
      </c>
      <c r="T59" s="160">
        <v>0</v>
      </c>
      <c r="V59" s="31">
        <f t="shared" si="30"/>
        <v>0</v>
      </c>
      <c r="W59" s="277">
        <f t="shared" si="31"/>
        <v>0</v>
      </c>
      <c r="X59" s="277">
        <f t="shared" si="32"/>
        <v>0</v>
      </c>
      <c r="Y59" s="277">
        <f t="shared" si="33"/>
        <v>0</v>
      </c>
      <c r="Z59" s="181">
        <f t="shared" si="34"/>
        <v>0</v>
      </c>
      <c r="AA59" s="104">
        <f t="shared" si="35"/>
        <v>0</v>
      </c>
      <c r="AB59" s="104">
        <f t="shared" si="36"/>
        <v>0</v>
      </c>
      <c r="AC59" s="104">
        <f t="shared" si="37"/>
        <v>0</v>
      </c>
      <c r="AD59" s="104"/>
      <c r="AE59" s="279"/>
      <c r="AF59" s="279">
        <f t="shared" si="38"/>
        <v>0</v>
      </c>
      <c r="AG59" s="104">
        <f t="shared" si="39"/>
        <v>0</v>
      </c>
      <c r="AH59" s="104"/>
      <c r="AI59" s="104">
        <f t="shared" si="40"/>
        <v>0</v>
      </c>
      <c r="AJ59" s="104"/>
      <c r="AK59" s="104">
        <f t="shared" si="21"/>
        <v>0</v>
      </c>
      <c r="AL59" s="181">
        <f t="shared" si="22"/>
        <v>0</v>
      </c>
      <c r="AM59" s="104">
        <f t="shared" si="23"/>
        <v>0</v>
      </c>
      <c r="AN59" s="181">
        <f>IF(V59=0,0,VLOOKUP(K59,'PAINT LABOR COSTS'!$B$27:$N$67,12,0)*V59)*F59</f>
        <v>0</v>
      </c>
      <c r="AO59" s="181">
        <f t="shared" si="24"/>
        <v>0</v>
      </c>
      <c r="AP59" s="104">
        <f t="shared" si="41"/>
        <v>0</v>
      </c>
    </row>
    <row r="60" spans="1:42" ht="15.75">
      <c r="A60" s="2">
        <v>50</v>
      </c>
      <c r="B60" s="181">
        <f t="shared" si="17"/>
        <v>0</v>
      </c>
      <c r="C60" s="181">
        <f t="shared" si="18"/>
        <v>0</v>
      </c>
      <c r="D60" s="181">
        <f t="shared" si="19"/>
        <v>0</v>
      </c>
      <c r="E60" s="22">
        <f t="shared" si="25"/>
        <v>0</v>
      </c>
      <c r="F60" s="160"/>
      <c r="G60" s="187"/>
      <c r="H60" s="160"/>
      <c r="I60" s="160"/>
      <c r="J60" s="160"/>
      <c r="K60" s="160"/>
      <c r="L60" s="75" t="str">
        <f>IFERROR(VLOOKUP(K60,'PAINT LABOR COSTS'!$B$27:$C$58,2,FALSE),"Pick Color")</f>
        <v>Pick Color</v>
      </c>
      <c r="M60" s="160"/>
      <c r="N60" s="278">
        <f t="shared" si="26"/>
        <v>0</v>
      </c>
      <c r="O60" s="147" t="str">
        <f t="shared" si="27"/>
        <v/>
      </c>
      <c r="P60" s="75" t="str">
        <f t="shared" si="20"/>
        <v>YES</v>
      </c>
      <c r="Q60" s="160" t="s">
        <v>419</v>
      </c>
      <c r="R60" s="75" t="str">
        <f t="shared" si="28"/>
        <v>NO</v>
      </c>
      <c r="S60" s="75" t="str">
        <f t="shared" si="29"/>
        <v>NO</v>
      </c>
      <c r="T60" s="160">
        <v>0</v>
      </c>
      <c r="V60" s="31">
        <f t="shared" si="30"/>
        <v>0</v>
      </c>
      <c r="W60" s="277">
        <f t="shared" si="31"/>
        <v>0</v>
      </c>
      <c r="X60" s="277">
        <f t="shared" si="32"/>
        <v>0</v>
      </c>
      <c r="Y60" s="277">
        <f t="shared" si="33"/>
        <v>0</v>
      </c>
      <c r="Z60" s="181">
        <f t="shared" si="34"/>
        <v>0</v>
      </c>
      <c r="AA60" s="104">
        <f t="shared" si="35"/>
        <v>0</v>
      </c>
      <c r="AB60" s="104">
        <f t="shared" si="36"/>
        <v>0</v>
      </c>
      <c r="AC60" s="104">
        <f t="shared" si="37"/>
        <v>0</v>
      </c>
      <c r="AD60" s="104"/>
      <c r="AE60" s="279"/>
      <c r="AF60" s="279">
        <f t="shared" si="38"/>
        <v>0</v>
      </c>
      <c r="AG60" s="104">
        <f t="shared" si="39"/>
        <v>0</v>
      </c>
      <c r="AH60" s="104"/>
      <c r="AI60" s="104">
        <f t="shared" si="40"/>
        <v>0</v>
      </c>
      <c r="AJ60" s="104"/>
      <c r="AK60" s="104">
        <f t="shared" si="21"/>
        <v>0</v>
      </c>
      <c r="AL60" s="181">
        <f t="shared" si="22"/>
        <v>0</v>
      </c>
      <c r="AM60" s="104">
        <f t="shared" si="23"/>
        <v>0</v>
      </c>
      <c r="AN60" s="181">
        <f>IF(V60=0,0,VLOOKUP(K60,'PAINT LABOR COSTS'!$B$27:$N$67,12,0)*V60)*F60</f>
        <v>0</v>
      </c>
      <c r="AO60" s="181">
        <f t="shared" si="24"/>
        <v>0</v>
      </c>
      <c r="AP60" s="104">
        <f t="shared" si="41"/>
        <v>0</v>
      </c>
    </row>
    <row r="61" spans="1:42" ht="15.75">
      <c r="A61" s="2">
        <v>51</v>
      </c>
      <c r="B61" s="181">
        <f t="shared" si="17"/>
        <v>0</v>
      </c>
      <c r="C61" s="181">
        <f t="shared" si="18"/>
        <v>0</v>
      </c>
      <c r="D61" s="181">
        <f t="shared" si="19"/>
        <v>0</v>
      </c>
      <c r="E61" s="22">
        <f t="shared" si="25"/>
        <v>0</v>
      </c>
      <c r="F61" s="160"/>
      <c r="G61" s="187"/>
      <c r="H61" s="160"/>
      <c r="I61" s="160"/>
      <c r="J61" s="160"/>
      <c r="K61" s="160"/>
      <c r="L61" s="75" t="str">
        <f>IFERROR(VLOOKUP(K61,'PAINT LABOR COSTS'!$B$27:$C$58,2,FALSE),"Pick Color")</f>
        <v>Pick Color</v>
      </c>
      <c r="M61" s="160"/>
      <c r="N61" s="278">
        <f t="shared" si="26"/>
        <v>0</v>
      </c>
      <c r="O61" s="147" t="str">
        <f t="shared" si="27"/>
        <v/>
      </c>
      <c r="P61" s="75" t="str">
        <f t="shared" si="20"/>
        <v>YES</v>
      </c>
      <c r="Q61" s="160" t="s">
        <v>419</v>
      </c>
      <c r="R61" s="75" t="str">
        <f t="shared" si="28"/>
        <v>NO</v>
      </c>
      <c r="S61" s="75" t="str">
        <f t="shared" si="29"/>
        <v>NO</v>
      </c>
      <c r="T61" s="160">
        <v>0</v>
      </c>
      <c r="V61" s="31">
        <f t="shared" si="30"/>
        <v>0</v>
      </c>
      <c r="W61" s="277">
        <f t="shared" si="31"/>
        <v>0</v>
      </c>
      <c r="X61" s="277">
        <f t="shared" si="32"/>
        <v>0</v>
      </c>
      <c r="Y61" s="277">
        <f t="shared" si="33"/>
        <v>0</v>
      </c>
      <c r="Z61" s="181">
        <f t="shared" si="34"/>
        <v>0</v>
      </c>
      <c r="AA61" s="104">
        <f t="shared" si="35"/>
        <v>0</v>
      </c>
      <c r="AB61" s="104">
        <f t="shared" si="36"/>
        <v>0</v>
      </c>
      <c r="AC61" s="104">
        <f t="shared" si="37"/>
        <v>0</v>
      </c>
      <c r="AD61" s="104"/>
      <c r="AE61" s="279"/>
      <c r="AF61" s="279">
        <f t="shared" si="38"/>
        <v>0</v>
      </c>
      <c r="AG61" s="104">
        <f t="shared" si="39"/>
        <v>0</v>
      </c>
      <c r="AH61" s="104"/>
      <c r="AI61" s="104">
        <f t="shared" si="40"/>
        <v>0</v>
      </c>
      <c r="AJ61" s="104"/>
      <c r="AK61" s="104">
        <f t="shared" si="21"/>
        <v>0</v>
      </c>
      <c r="AL61" s="181">
        <f t="shared" si="22"/>
        <v>0</v>
      </c>
      <c r="AM61" s="104">
        <f t="shared" si="23"/>
        <v>0</v>
      </c>
      <c r="AN61" s="181">
        <f>IF(V61=0,0,VLOOKUP(K61,'PAINT LABOR COSTS'!$B$27:$N$67,12,0)*V61)*F61</f>
        <v>0</v>
      </c>
      <c r="AO61" s="181">
        <f t="shared" si="24"/>
        <v>0</v>
      </c>
      <c r="AP61" s="104">
        <f t="shared" si="41"/>
        <v>0</v>
      </c>
    </row>
    <row r="62" spans="1:42" ht="15.75">
      <c r="A62" s="2">
        <v>52</v>
      </c>
      <c r="B62" s="181">
        <f t="shared" si="17"/>
        <v>0</v>
      </c>
      <c r="C62" s="181">
        <f t="shared" si="18"/>
        <v>0</v>
      </c>
      <c r="D62" s="181">
        <f t="shared" si="19"/>
        <v>0</v>
      </c>
      <c r="E62" s="22">
        <f t="shared" si="25"/>
        <v>0</v>
      </c>
      <c r="F62" s="160"/>
      <c r="G62" s="187"/>
      <c r="H62" s="160"/>
      <c r="I62" s="160"/>
      <c r="J62" s="160"/>
      <c r="K62" s="160"/>
      <c r="L62" s="75" t="str">
        <f>IFERROR(VLOOKUP(K62,'PAINT LABOR COSTS'!$B$27:$C$58,2,FALSE),"Pick Color")</f>
        <v>Pick Color</v>
      </c>
      <c r="M62" s="160"/>
      <c r="N62" s="278">
        <f t="shared" si="26"/>
        <v>0</v>
      </c>
      <c r="O62" s="147" t="str">
        <f t="shared" si="27"/>
        <v/>
      </c>
      <c r="P62" s="75" t="str">
        <f t="shared" si="20"/>
        <v>YES</v>
      </c>
      <c r="Q62" s="160" t="s">
        <v>419</v>
      </c>
      <c r="R62" s="75" t="str">
        <f t="shared" si="28"/>
        <v>NO</v>
      </c>
      <c r="S62" s="75" t="str">
        <f t="shared" si="29"/>
        <v>NO</v>
      </c>
      <c r="T62" s="160">
        <v>0</v>
      </c>
      <c r="V62" s="31">
        <f t="shared" si="30"/>
        <v>0</v>
      </c>
      <c r="W62" s="277">
        <f t="shared" si="31"/>
        <v>0</v>
      </c>
      <c r="X62" s="277">
        <f t="shared" si="32"/>
        <v>0</v>
      </c>
      <c r="Y62" s="277">
        <f t="shared" si="33"/>
        <v>0</v>
      </c>
      <c r="Z62" s="181">
        <f t="shared" si="34"/>
        <v>0</v>
      </c>
      <c r="AA62" s="104">
        <f t="shared" si="35"/>
        <v>0</v>
      </c>
      <c r="AB62" s="104">
        <f t="shared" si="36"/>
        <v>0</v>
      </c>
      <c r="AC62" s="104">
        <f t="shared" si="37"/>
        <v>0</v>
      </c>
      <c r="AD62" s="104"/>
      <c r="AE62" s="279"/>
      <c r="AF62" s="279">
        <f t="shared" si="38"/>
        <v>0</v>
      </c>
      <c r="AG62" s="104">
        <f t="shared" si="39"/>
        <v>0</v>
      </c>
      <c r="AH62" s="104"/>
      <c r="AI62" s="104">
        <f t="shared" si="40"/>
        <v>0</v>
      </c>
      <c r="AJ62" s="104"/>
      <c r="AK62" s="104">
        <f t="shared" si="21"/>
        <v>0</v>
      </c>
      <c r="AL62" s="181">
        <f t="shared" si="22"/>
        <v>0</v>
      </c>
      <c r="AM62" s="104">
        <f t="shared" si="23"/>
        <v>0</v>
      </c>
      <c r="AN62" s="181">
        <f>IF(V62=0,0,VLOOKUP(K62,'PAINT LABOR COSTS'!$B$27:$N$67,12,0)*V62)*F62</f>
        <v>0</v>
      </c>
      <c r="AO62" s="181">
        <f t="shared" si="24"/>
        <v>0</v>
      </c>
      <c r="AP62" s="104">
        <f t="shared" si="41"/>
        <v>0</v>
      </c>
    </row>
    <row r="63" spans="1:42" ht="15.75">
      <c r="A63" s="2">
        <v>53</v>
      </c>
      <c r="B63" s="181">
        <f t="shared" si="17"/>
        <v>0</v>
      </c>
      <c r="C63" s="181">
        <f t="shared" si="18"/>
        <v>0</v>
      </c>
      <c r="D63" s="181">
        <f t="shared" si="19"/>
        <v>0</v>
      </c>
      <c r="E63" s="22">
        <f t="shared" si="25"/>
        <v>0</v>
      </c>
      <c r="F63" s="160"/>
      <c r="G63" s="187"/>
      <c r="H63" s="160"/>
      <c r="I63" s="160"/>
      <c r="J63" s="160"/>
      <c r="K63" s="160"/>
      <c r="L63" s="75" t="str">
        <f>IFERROR(VLOOKUP(K63,'PAINT LABOR COSTS'!$B$27:$C$58,2,FALSE),"Pick Color")</f>
        <v>Pick Color</v>
      </c>
      <c r="M63" s="160"/>
      <c r="N63" s="278">
        <f t="shared" si="26"/>
        <v>0</v>
      </c>
      <c r="O63" s="147" t="str">
        <f t="shared" si="27"/>
        <v/>
      </c>
      <c r="P63" s="75" t="str">
        <f t="shared" si="20"/>
        <v>YES</v>
      </c>
      <c r="Q63" s="160" t="s">
        <v>419</v>
      </c>
      <c r="R63" s="75" t="str">
        <f t="shared" si="28"/>
        <v>NO</v>
      </c>
      <c r="S63" s="75" t="str">
        <f t="shared" si="29"/>
        <v>NO</v>
      </c>
      <c r="T63" s="160">
        <v>0</v>
      </c>
      <c r="V63" s="31">
        <f t="shared" si="30"/>
        <v>0</v>
      </c>
      <c r="W63" s="277">
        <f t="shared" si="31"/>
        <v>0</v>
      </c>
      <c r="X63" s="277">
        <f t="shared" si="32"/>
        <v>0</v>
      </c>
      <c r="Y63" s="277">
        <f t="shared" si="33"/>
        <v>0</v>
      </c>
      <c r="Z63" s="181">
        <f t="shared" si="34"/>
        <v>0</v>
      </c>
      <c r="AA63" s="104">
        <f t="shared" si="35"/>
        <v>0</v>
      </c>
      <c r="AB63" s="104">
        <f t="shared" si="36"/>
        <v>0</v>
      </c>
      <c r="AC63" s="104">
        <f t="shared" si="37"/>
        <v>0</v>
      </c>
      <c r="AD63" s="104"/>
      <c r="AE63" s="279"/>
      <c r="AF63" s="279">
        <f t="shared" si="38"/>
        <v>0</v>
      </c>
      <c r="AG63" s="104">
        <f t="shared" si="39"/>
        <v>0</v>
      </c>
      <c r="AH63" s="104"/>
      <c r="AI63" s="104">
        <f t="shared" si="40"/>
        <v>0</v>
      </c>
      <c r="AJ63" s="104"/>
      <c r="AK63" s="104">
        <f t="shared" si="21"/>
        <v>0</v>
      </c>
      <c r="AL63" s="181">
        <f t="shared" si="22"/>
        <v>0</v>
      </c>
      <c r="AM63" s="104">
        <f t="shared" si="23"/>
        <v>0</v>
      </c>
      <c r="AN63" s="181">
        <f>IF(V63=0,0,VLOOKUP(K63,'PAINT LABOR COSTS'!$B$27:$N$67,12,0)*V63)*F63</f>
        <v>0</v>
      </c>
      <c r="AO63" s="181">
        <f t="shared" si="24"/>
        <v>0</v>
      </c>
      <c r="AP63" s="104">
        <f t="shared" si="41"/>
        <v>0</v>
      </c>
    </row>
    <row r="64" spans="1:42" ht="15.75">
      <c r="A64" s="2">
        <v>54</v>
      </c>
      <c r="B64" s="181">
        <f t="shared" si="17"/>
        <v>0</v>
      </c>
      <c r="C64" s="181">
        <f t="shared" si="18"/>
        <v>0</v>
      </c>
      <c r="D64" s="181">
        <f t="shared" si="19"/>
        <v>0</v>
      </c>
      <c r="E64" s="22">
        <f t="shared" si="25"/>
        <v>0</v>
      </c>
      <c r="F64" s="160"/>
      <c r="G64" s="187"/>
      <c r="H64" s="160"/>
      <c r="I64" s="160"/>
      <c r="J64" s="160"/>
      <c r="K64" s="160"/>
      <c r="L64" s="75" t="str">
        <f>IFERROR(VLOOKUP(K64,'PAINT LABOR COSTS'!$B$27:$C$58,2,FALSE),"Pick Color")</f>
        <v>Pick Color</v>
      </c>
      <c r="M64" s="160"/>
      <c r="N64" s="278">
        <f t="shared" si="26"/>
        <v>0</v>
      </c>
      <c r="O64" s="147" t="str">
        <f t="shared" si="27"/>
        <v/>
      </c>
      <c r="P64" s="75" t="str">
        <f t="shared" si="20"/>
        <v>YES</v>
      </c>
      <c r="Q64" s="160" t="s">
        <v>419</v>
      </c>
      <c r="R64" s="75" t="str">
        <f t="shared" si="28"/>
        <v>NO</v>
      </c>
      <c r="S64" s="75" t="str">
        <f t="shared" si="29"/>
        <v>NO</v>
      </c>
      <c r="T64" s="160">
        <v>0</v>
      </c>
      <c r="V64" s="31">
        <f t="shared" si="30"/>
        <v>0</v>
      </c>
      <c r="W64" s="277">
        <f t="shared" si="31"/>
        <v>0</v>
      </c>
      <c r="X64" s="277">
        <f t="shared" si="32"/>
        <v>0</v>
      </c>
      <c r="Y64" s="277">
        <f t="shared" si="33"/>
        <v>0</v>
      </c>
      <c r="Z64" s="181">
        <f t="shared" si="34"/>
        <v>0</v>
      </c>
      <c r="AA64" s="104">
        <f t="shared" si="35"/>
        <v>0</v>
      </c>
      <c r="AB64" s="104">
        <f t="shared" si="36"/>
        <v>0</v>
      </c>
      <c r="AC64" s="104">
        <f t="shared" si="37"/>
        <v>0</v>
      </c>
      <c r="AD64" s="104"/>
      <c r="AE64" s="279"/>
      <c r="AF64" s="279">
        <f t="shared" si="38"/>
        <v>0</v>
      </c>
      <c r="AG64" s="104">
        <f t="shared" si="39"/>
        <v>0</v>
      </c>
      <c r="AH64" s="104"/>
      <c r="AI64" s="104">
        <f t="shared" si="40"/>
        <v>0</v>
      </c>
      <c r="AJ64" s="104"/>
      <c r="AK64" s="104">
        <f t="shared" si="21"/>
        <v>0</v>
      </c>
      <c r="AL64" s="181">
        <f t="shared" si="22"/>
        <v>0</v>
      </c>
      <c r="AM64" s="104">
        <f t="shared" si="23"/>
        <v>0</v>
      </c>
      <c r="AN64" s="181">
        <f>IF(V64=0,0,VLOOKUP(K64,'PAINT LABOR COSTS'!$B$27:$N$67,12,0)*V64)*F64</f>
        <v>0</v>
      </c>
      <c r="AO64" s="181">
        <f t="shared" si="24"/>
        <v>0</v>
      </c>
      <c r="AP64" s="104">
        <f t="shared" si="41"/>
        <v>0</v>
      </c>
    </row>
    <row r="65" spans="1:42" ht="15.75">
      <c r="A65" s="2">
        <v>55</v>
      </c>
      <c r="B65" s="181">
        <f t="shared" si="17"/>
        <v>0</v>
      </c>
      <c r="C65" s="181">
        <f t="shared" si="18"/>
        <v>0</v>
      </c>
      <c r="D65" s="181">
        <f t="shared" si="19"/>
        <v>0</v>
      </c>
      <c r="E65" s="22">
        <f t="shared" si="25"/>
        <v>0</v>
      </c>
      <c r="F65" s="160"/>
      <c r="G65" s="187"/>
      <c r="H65" s="160"/>
      <c r="I65" s="160"/>
      <c r="J65" s="160"/>
      <c r="K65" s="160"/>
      <c r="L65" s="75" t="str">
        <f>IFERROR(VLOOKUP(K65,'PAINT LABOR COSTS'!$B$27:$C$58,2,FALSE),"Pick Color")</f>
        <v>Pick Color</v>
      </c>
      <c r="M65" s="160"/>
      <c r="N65" s="278">
        <f t="shared" si="26"/>
        <v>0</v>
      </c>
      <c r="O65" s="147" t="str">
        <f t="shared" si="27"/>
        <v/>
      </c>
      <c r="P65" s="75" t="str">
        <f t="shared" si="20"/>
        <v>YES</v>
      </c>
      <c r="Q65" s="160" t="s">
        <v>419</v>
      </c>
      <c r="R65" s="75" t="str">
        <f t="shared" si="28"/>
        <v>NO</v>
      </c>
      <c r="S65" s="75" t="str">
        <f t="shared" si="29"/>
        <v>NO</v>
      </c>
      <c r="T65" s="160">
        <v>0</v>
      </c>
      <c r="V65" s="31">
        <f t="shared" si="30"/>
        <v>0</v>
      </c>
      <c r="W65" s="277">
        <f t="shared" si="31"/>
        <v>0</v>
      </c>
      <c r="X65" s="277">
        <f t="shared" si="32"/>
        <v>0</v>
      </c>
      <c r="Y65" s="277">
        <f t="shared" si="33"/>
        <v>0</v>
      </c>
      <c r="Z65" s="181">
        <f t="shared" si="34"/>
        <v>0</v>
      </c>
      <c r="AA65" s="104">
        <f t="shared" si="35"/>
        <v>0</v>
      </c>
      <c r="AB65" s="104">
        <f t="shared" si="36"/>
        <v>0</v>
      </c>
      <c r="AC65" s="104">
        <f t="shared" si="37"/>
        <v>0</v>
      </c>
      <c r="AD65" s="104"/>
      <c r="AE65" s="279"/>
      <c r="AF65" s="279">
        <f t="shared" si="38"/>
        <v>0</v>
      </c>
      <c r="AG65" s="104">
        <f t="shared" si="39"/>
        <v>0</v>
      </c>
      <c r="AH65" s="104"/>
      <c r="AI65" s="104">
        <f t="shared" si="40"/>
        <v>0</v>
      </c>
      <c r="AJ65" s="104"/>
      <c r="AK65" s="104">
        <f t="shared" si="21"/>
        <v>0</v>
      </c>
      <c r="AL65" s="181">
        <f t="shared" si="22"/>
        <v>0</v>
      </c>
      <c r="AM65" s="104">
        <f t="shared" si="23"/>
        <v>0</v>
      </c>
      <c r="AN65" s="181">
        <f>IF(V65=0,0,VLOOKUP(K65,'PAINT LABOR COSTS'!$B$27:$N$67,12,0)*V65)*F65</f>
        <v>0</v>
      </c>
      <c r="AO65" s="181">
        <f t="shared" si="24"/>
        <v>0</v>
      </c>
      <c r="AP65" s="104">
        <f t="shared" si="41"/>
        <v>0</v>
      </c>
    </row>
    <row r="66" spans="1:42" ht="15.75">
      <c r="A66" s="2">
        <v>56</v>
      </c>
      <c r="B66" s="181">
        <f t="shared" si="17"/>
        <v>0</v>
      </c>
      <c r="C66" s="181">
        <f t="shared" si="18"/>
        <v>0</v>
      </c>
      <c r="D66" s="181">
        <f t="shared" si="19"/>
        <v>0</v>
      </c>
      <c r="E66" s="22">
        <f t="shared" si="25"/>
        <v>0</v>
      </c>
      <c r="F66" s="160"/>
      <c r="G66" s="187"/>
      <c r="H66" s="160"/>
      <c r="I66" s="160"/>
      <c r="J66" s="160"/>
      <c r="K66" s="160"/>
      <c r="L66" s="75" t="str">
        <f>IFERROR(VLOOKUP(K66,'PAINT LABOR COSTS'!$B$27:$C$58,2,FALSE),"Pick Color")</f>
        <v>Pick Color</v>
      </c>
      <c r="M66" s="160"/>
      <c r="N66" s="278">
        <f t="shared" si="26"/>
        <v>0</v>
      </c>
      <c r="O66" s="147" t="str">
        <f t="shared" si="27"/>
        <v/>
      </c>
      <c r="P66" s="75" t="str">
        <f t="shared" si="20"/>
        <v>YES</v>
      </c>
      <c r="Q66" s="160" t="s">
        <v>419</v>
      </c>
      <c r="R66" s="75" t="str">
        <f t="shared" si="28"/>
        <v>NO</v>
      </c>
      <c r="S66" s="75" t="str">
        <f t="shared" si="29"/>
        <v>NO</v>
      </c>
      <c r="T66" s="160">
        <v>0</v>
      </c>
      <c r="V66" s="31">
        <f t="shared" si="30"/>
        <v>0</v>
      </c>
      <c r="W66" s="277">
        <f t="shared" si="31"/>
        <v>0</v>
      </c>
      <c r="X66" s="277">
        <f t="shared" si="32"/>
        <v>0</v>
      </c>
      <c r="Y66" s="277">
        <f t="shared" si="33"/>
        <v>0</v>
      </c>
      <c r="Z66" s="181">
        <f t="shared" si="34"/>
        <v>0</v>
      </c>
      <c r="AA66" s="104">
        <f t="shared" si="35"/>
        <v>0</v>
      </c>
      <c r="AB66" s="104">
        <f t="shared" si="36"/>
        <v>0</v>
      </c>
      <c r="AC66" s="104">
        <f t="shared" si="37"/>
        <v>0</v>
      </c>
      <c r="AD66" s="104"/>
      <c r="AE66" s="279"/>
      <c r="AF66" s="279">
        <f t="shared" si="38"/>
        <v>0</v>
      </c>
      <c r="AG66" s="104">
        <f t="shared" si="39"/>
        <v>0</v>
      </c>
      <c r="AH66" s="104"/>
      <c r="AI66" s="104">
        <f t="shared" si="40"/>
        <v>0</v>
      </c>
      <c r="AJ66" s="104"/>
      <c r="AK66" s="104">
        <f t="shared" si="21"/>
        <v>0</v>
      </c>
      <c r="AL66" s="181">
        <f t="shared" si="22"/>
        <v>0</v>
      </c>
      <c r="AM66" s="104">
        <f t="shared" si="23"/>
        <v>0</v>
      </c>
      <c r="AN66" s="181">
        <f>IF(V66=0,0,VLOOKUP(K66,'PAINT LABOR COSTS'!$B$27:$N$67,12,0)*V66)*F66</f>
        <v>0</v>
      </c>
      <c r="AO66" s="181">
        <f t="shared" si="24"/>
        <v>0</v>
      </c>
      <c r="AP66" s="104">
        <f t="shared" si="41"/>
        <v>0</v>
      </c>
    </row>
    <row r="67" spans="1:42" ht="15.75">
      <c r="A67" s="2">
        <v>57</v>
      </c>
      <c r="B67" s="181">
        <f t="shared" si="17"/>
        <v>0</v>
      </c>
      <c r="C67" s="181">
        <f t="shared" si="18"/>
        <v>0</v>
      </c>
      <c r="D67" s="181">
        <f t="shared" si="19"/>
        <v>0</v>
      </c>
      <c r="E67" s="22">
        <f t="shared" si="25"/>
        <v>0</v>
      </c>
      <c r="F67" s="160"/>
      <c r="G67" s="187"/>
      <c r="H67" s="160"/>
      <c r="I67" s="160"/>
      <c r="J67" s="160"/>
      <c r="K67" s="160"/>
      <c r="L67" s="75" t="str">
        <f>IFERROR(VLOOKUP(K67,'PAINT LABOR COSTS'!$B$27:$C$58,2,FALSE),"Pick Color")</f>
        <v>Pick Color</v>
      </c>
      <c r="M67" s="160"/>
      <c r="N67" s="278">
        <f t="shared" si="26"/>
        <v>0</v>
      </c>
      <c r="O67" s="147" t="str">
        <f t="shared" si="27"/>
        <v/>
      </c>
      <c r="P67" s="75" t="str">
        <f t="shared" si="20"/>
        <v>YES</v>
      </c>
      <c r="Q67" s="160" t="s">
        <v>419</v>
      </c>
      <c r="R67" s="75" t="str">
        <f t="shared" si="28"/>
        <v>NO</v>
      </c>
      <c r="S67" s="75" t="str">
        <f t="shared" si="29"/>
        <v>NO</v>
      </c>
      <c r="T67" s="160">
        <v>0</v>
      </c>
      <c r="V67" s="31">
        <f t="shared" si="30"/>
        <v>0</v>
      </c>
      <c r="W67" s="277">
        <f t="shared" si="31"/>
        <v>0</v>
      </c>
      <c r="X67" s="277">
        <f t="shared" si="32"/>
        <v>0</v>
      </c>
      <c r="Y67" s="277">
        <f t="shared" si="33"/>
        <v>0</v>
      </c>
      <c r="Z67" s="181">
        <f t="shared" si="34"/>
        <v>0</v>
      </c>
      <c r="AA67" s="104">
        <f t="shared" si="35"/>
        <v>0</v>
      </c>
      <c r="AB67" s="104">
        <f t="shared" si="36"/>
        <v>0</v>
      </c>
      <c r="AC67" s="104">
        <f t="shared" si="37"/>
        <v>0</v>
      </c>
      <c r="AD67" s="104"/>
      <c r="AE67" s="279"/>
      <c r="AF67" s="279">
        <f t="shared" si="38"/>
        <v>0</v>
      </c>
      <c r="AG67" s="104">
        <f t="shared" si="39"/>
        <v>0</v>
      </c>
      <c r="AH67" s="104"/>
      <c r="AI67" s="104">
        <f t="shared" si="40"/>
        <v>0</v>
      </c>
      <c r="AJ67" s="104"/>
      <c r="AK67" s="104">
        <f t="shared" si="21"/>
        <v>0</v>
      </c>
      <c r="AL67" s="181">
        <f t="shared" si="22"/>
        <v>0</v>
      </c>
      <c r="AM67" s="104">
        <f t="shared" si="23"/>
        <v>0</v>
      </c>
      <c r="AN67" s="181">
        <f>IF(V67=0,0,VLOOKUP(K67,'PAINT LABOR COSTS'!$B$27:$N$67,12,0)*V67)*F67</f>
        <v>0</v>
      </c>
      <c r="AO67" s="181">
        <f t="shared" si="24"/>
        <v>0</v>
      </c>
      <c r="AP67" s="104">
        <f t="shared" si="41"/>
        <v>0</v>
      </c>
    </row>
    <row r="68" spans="1:42" ht="15.75">
      <c r="A68" s="2">
        <v>58</v>
      </c>
      <c r="B68" s="181">
        <f t="shared" si="17"/>
        <v>0</v>
      </c>
      <c r="C68" s="181">
        <f t="shared" si="18"/>
        <v>0</v>
      </c>
      <c r="D68" s="181">
        <f t="shared" si="19"/>
        <v>0</v>
      </c>
      <c r="E68" s="22">
        <f t="shared" si="25"/>
        <v>0</v>
      </c>
      <c r="F68" s="160"/>
      <c r="G68" s="187"/>
      <c r="H68" s="160"/>
      <c r="I68" s="160"/>
      <c r="J68" s="160"/>
      <c r="K68" s="160"/>
      <c r="L68" s="75" t="str">
        <f>IFERROR(VLOOKUP(K68,'PAINT LABOR COSTS'!$B$27:$C$58,2,FALSE),"Pick Color")</f>
        <v>Pick Color</v>
      </c>
      <c r="M68" s="160"/>
      <c r="N68" s="278">
        <f t="shared" si="26"/>
        <v>0</v>
      </c>
      <c r="O68" s="147" t="str">
        <f t="shared" si="27"/>
        <v/>
      </c>
      <c r="P68" s="75" t="str">
        <f t="shared" si="20"/>
        <v>YES</v>
      </c>
      <c r="Q68" s="160" t="s">
        <v>419</v>
      </c>
      <c r="R68" s="75" t="str">
        <f t="shared" si="28"/>
        <v>NO</v>
      </c>
      <c r="S68" s="75" t="str">
        <f t="shared" si="29"/>
        <v>NO</v>
      </c>
      <c r="T68" s="160">
        <v>0</v>
      </c>
      <c r="V68" s="31">
        <f t="shared" si="30"/>
        <v>0</v>
      </c>
      <c r="W68" s="277">
        <f t="shared" si="31"/>
        <v>0</v>
      </c>
      <c r="X68" s="277">
        <f t="shared" si="32"/>
        <v>0</v>
      </c>
      <c r="Y68" s="277">
        <f t="shared" si="33"/>
        <v>0</v>
      </c>
      <c r="Z68" s="181">
        <f t="shared" si="34"/>
        <v>0</v>
      </c>
      <c r="AA68" s="104">
        <f t="shared" si="35"/>
        <v>0</v>
      </c>
      <c r="AB68" s="104">
        <f t="shared" si="36"/>
        <v>0</v>
      </c>
      <c r="AC68" s="104">
        <f t="shared" si="37"/>
        <v>0</v>
      </c>
      <c r="AD68" s="104"/>
      <c r="AE68" s="279"/>
      <c r="AF68" s="279">
        <f t="shared" si="38"/>
        <v>0</v>
      </c>
      <c r="AG68" s="104">
        <f t="shared" si="39"/>
        <v>0</v>
      </c>
      <c r="AH68" s="104"/>
      <c r="AI68" s="104">
        <f t="shared" si="40"/>
        <v>0</v>
      </c>
      <c r="AJ68" s="104"/>
      <c r="AK68" s="104">
        <f t="shared" si="21"/>
        <v>0</v>
      </c>
      <c r="AL68" s="181">
        <f t="shared" si="22"/>
        <v>0</v>
      </c>
      <c r="AM68" s="104">
        <f t="shared" si="23"/>
        <v>0</v>
      </c>
      <c r="AN68" s="181">
        <f>IF(V68=0,0,VLOOKUP(K68,'PAINT LABOR COSTS'!$B$27:$N$67,12,0)*V68)*F68</f>
        <v>0</v>
      </c>
      <c r="AO68" s="181">
        <f t="shared" si="24"/>
        <v>0</v>
      </c>
      <c r="AP68" s="104">
        <f t="shared" si="41"/>
        <v>0</v>
      </c>
    </row>
    <row r="69" spans="1:42" ht="15.75">
      <c r="A69" s="2">
        <v>59</v>
      </c>
      <c r="B69" s="181">
        <f t="shared" si="17"/>
        <v>0</v>
      </c>
      <c r="C69" s="181">
        <f t="shared" si="18"/>
        <v>0</v>
      </c>
      <c r="D69" s="181">
        <f t="shared" si="19"/>
        <v>0</v>
      </c>
      <c r="E69" s="22">
        <f t="shared" si="25"/>
        <v>0</v>
      </c>
      <c r="F69" s="160"/>
      <c r="G69" s="187"/>
      <c r="H69" s="160"/>
      <c r="I69" s="160"/>
      <c r="J69" s="160"/>
      <c r="K69" s="160"/>
      <c r="L69" s="75" t="str">
        <f>IFERROR(VLOOKUP(K69,'PAINT LABOR COSTS'!$B$27:$C$58,2,FALSE),"Pick Color")</f>
        <v>Pick Color</v>
      </c>
      <c r="M69" s="160"/>
      <c r="N69" s="278">
        <f t="shared" si="26"/>
        <v>0</v>
      </c>
      <c r="O69" s="147" t="str">
        <f t="shared" si="27"/>
        <v/>
      </c>
      <c r="P69" s="75" t="str">
        <f t="shared" si="20"/>
        <v>YES</v>
      </c>
      <c r="Q69" s="160" t="s">
        <v>419</v>
      </c>
      <c r="R69" s="75" t="str">
        <f t="shared" si="28"/>
        <v>NO</v>
      </c>
      <c r="S69" s="75" t="str">
        <f t="shared" si="29"/>
        <v>NO</v>
      </c>
      <c r="T69" s="160">
        <v>0</v>
      </c>
      <c r="V69" s="31">
        <f t="shared" si="30"/>
        <v>0</v>
      </c>
      <c r="W69" s="277">
        <f t="shared" si="31"/>
        <v>0</v>
      </c>
      <c r="X69" s="277">
        <f t="shared" si="32"/>
        <v>0</v>
      </c>
      <c r="Y69" s="277">
        <f t="shared" si="33"/>
        <v>0</v>
      </c>
      <c r="Z69" s="181">
        <f t="shared" si="34"/>
        <v>0</v>
      </c>
      <c r="AA69" s="104">
        <f t="shared" si="35"/>
        <v>0</v>
      </c>
      <c r="AB69" s="104">
        <f t="shared" si="36"/>
        <v>0</v>
      </c>
      <c r="AC69" s="104">
        <f t="shared" si="37"/>
        <v>0</v>
      </c>
      <c r="AD69" s="104"/>
      <c r="AE69" s="279"/>
      <c r="AF69" s="279">
        <f t="shared" si="38"/>
        <v>0</v>
      </c>
      <c r="AG69" s="104">
        <f t="shared" si="39"/>
        <v>0</v>
      </c>
      <c r="AH69" s="104"/>
      <c r="AI69" s="104">
        <f t="shared" si="40"/>
        <v>0</v>
      </c>
      <c r="AJ69" s="104"/>
      <c r="AK69" s="104">
        <f t="shared" si="21"/>
        <v>0</v>
      </c>
      <c r="AL69" s="181">
        <f t="shared" si="22"/>
        <v>0</v>
      </c>
      <c r="AM69" s="104">
        <f t="shared" si="23"/>
        <v>0</v>
      </c>
      <c r="AN69" s="181">
        <f>IF(V69=0,0,VLOOKUP(K69,'PAINT LABOR COSTS'!$B$27:$N$67,12,0)*V69)*F69</f>
        <v>0</v>
      </c>
      <c r="AO69" s="181">
        <f t="shared" si="24"/>
        <v>0</v>
      </c>
      <c r="AP69" s="104">
        <f t="shared" si="41"/>
        <v>0</v>
      </c>
    </row>
    <row r="70" spans="1:42" ht="15.75">
      <c r="A70" s="2">
        <v>60</v>
      </c>
      <c r="B70" s="181">
        <f t="shared" si="17"/>
        <v>0</v>
      </c>
      <c r="C70" s="181">
        <f t="shared" si="18"/>
        <v>0</v>
      </c>
      <c r="D70" s="181">
        <f t="shared" si="19"/>
        <v>0</v>
      </c>
      <c r="E70" s="22">
        <f t="shared" si="25"/>
        <v>0</v>
      </c>
      <c r="F70" s="160"/>
      <c r="G70" s="187"/>
      <c r="H70" s="160"/>
      <c r="I70" s="160"/>
      <c r="J70" s="160"/>
      <c r="K70" s="160"/>
      <c r="L70" s="75" t="str">
        <f>IFERROR(VLOOKUP(K70,'PAINT LABOR COSTS'!$B$27:$C$58,2,FALSE),"Pick Color")</f>
        <v>Pick Color</v>
      </c>
      <c r="M70" s="160"/>
      <c r="N70" s="278">
        <f t="shared" si="26"/>
        <v>0</v>
      </c>
      <c r="O70" s="147" t="str">
        <f t="shared" si="27"/>
        <v/>
      </c>
      <c r="P70" s="75" t="str">
        <f t="shared" si="20"/>
        <v>YES</v>
      </c>
      <c r="Q70" s="160" t="s">
        <v>419</v>
      </c>
      <c r="R70" s="75" t="str">
        <f t="shared" si="28"/>
        <v>NO</v>
      </c>
      <c r="S70" s="75" t="str">
        <f t="shared" si="29"/>
        <v>NO</v>
      </c>
      <c r="T70" s="160">
        <v>0</v>
      </c>
      <c r="V70" s="31">
        <f t="shared" si="30"/>
        <v>0</v>
      </c>
      <c r="W70" s="277">
        <f t="shared" si="31"/>
        <v>0</v>
      </c>
      <c r="X70" s="277">
        <f t="shared" si="32"/>
        <v>0</v>
      </c>
      <c r="Y70" s="277">
        <f t="shared" si="33"/>
        <v>0</v>
      </c>
      <c r="Z70" s="181">
        <f t="shared" si="34"/>
        <v>0</v>
      </c>
      <c r="AA70" s="104">
        <f t="shared" si="35"/>
        <v>0</v>
      </c>
      <c r="AB70" s="104">
        <f t="shared" si="36"/>
        <v>0</v>
      </c>
      <c r="AC70" s="104">
        <f t="shared" si="37"/>
        <v>0</v>
      </c>
      <c r="AD70" s="104"/>
      <c r="AE70" s="279"/>
      <c r="AF70" s="279">
        <f t="shared" si="38"/>
        <v>0</v>
      </c>
      <c r="AG70" s="104">
        <f t="shared" si="39"/>
        <v>0</v>
      </c>
      <c r="AH70" s="104"/>
      <c r="AI70" s="104">
        <f t="shared" si="40"/>
        <v>0</v>
      </c>
      <c r="AJ70" s="104"/>
      <c r="AK70" s="104">
        <f t="shared" si="21"/>
        <v>0</v>
      </c>
      <c r="AL70" s="181">
        <f t="shared" si="22"/>
        <v>0</v>
      </c>
      <c r="AM70" s="104">
        <f t="shared" si="23"/>
        <v>0</v>
      </c>
      <c r="AN70" s="181">
        <f>IF(V70=0,0,VLOOKUP(K70,'PAINT LABOR COSTS'!$B$27:$N$67,12,0)*V70)*F70</f>
        <v>0</v>
      </c>
      <c r="AO70" s="181">
        <f t="shared" si="24"/>
        <v>0</v>
      </c>
      <c r="AP70" s="104">
        <f t="shared" si="41"/>
        <v>0</v>
      </c>
    </row>
    <row r="71" spans="1:42" ht="15.75">
      <c r="A71" s="2">
        <v>61</v>
      </c>
      <c r="B71" s="181">
        <f t="shared" si="17"/>
        <v>0</v>
      </c>
      <c r="C71" s="181">
        <f t="shared" si="18"/>
        <v>0</v>
      </c>
      <c r="D71" s="181">
        <f t="shared" si="19"/>
        <v>0</v>
      </c>
      <c r="E71" s="22">
        <f t="shared" si="25"/>
        <v>0</v>
      </c>
      <c r="F71" s="160"/>
      <c r="G71" s="187"/>
      <c r="H71" s="160"/>
      <c r="I71" s="160"/>
      <c r="J71" s="160"/>
      <c r="K71" s="160"/>
      <c r="L71" s="75" t="str">
        <f>IFERROR(VLOOKUP(K71,'PAINT LABOR COSTS'!$B$27:$C$58,2,FALSE),"Pick Color")</f>
        <v>Pick Color</v>
      </c>
      <c r="M71" s="160"/>
      <c r="N71" s="278">
        <f t="shared" si="26"/>
        <v>0</v>
      </c>
      <c r="O71" s="147" t="str">
        <f t="shared" si="27"/>
        <v/>
      </c>
      <c r="P71" s="75" t="str">
        <f t="shared" si="20"/>
        <v>YES</v>
      </c>
      <c r="Q71" s="160" t="s">
        <v>419</v>
      </c>
      <c r="R71" s="75" t="str">
        <f t="shared" si="28"/>
        <v>NO</v>
      </c>
      <c r="S71" s="75" t="str">
        <f t="shared" si="29"/>
        <v>NO</v>
      </c>
      <c r="T71" s="160">
        <v>0</v>
      </c>
      <c r="V71" s="31">
        <f t="shared" si="30"/>
        <v>0</v>
      </c>
      <c r="W71" s="277">
        <f t="shared" si="31"/>
        <v>0</v>
      </c>
      <c r="X71" s="277">
        <f t="shared" si="32"/>
        <v>0</v>
      </c>
      <c r="Y71" s="277">
        <f t="shared" si="33"/>
        <v>0</v>
      </c>
      <c r="Z71" s="181">
        <f t="shared" si="34"/>
        <v>0</v>
      </c>
      <c r="AA71" s="104">
        <f t="shared" si="35"/>
        <v>0</v>
      </c>
      <c r="AB71" s="104">
        <f t="shared" si="36"/>
        <v>0</v>
      </c>
      <c r="AC71" s="104">
        <f t="shared" si="37"/>
        <v>0</v>
      </c>
      <c r="AD71" s="104"/>
      <c r="AE71" s="279"/>
      <c r="AF71" s="279">
        <f t="shared" si="38"/>
        <v>0</v>
      </c>
      <c r="AG71" s="104">
        <f t="shared" si="39"/>
        <v>0</v>
      </c>
      <c r="AH71" s="104"/>
      <c r="AI71" s="104">
        <f t="shared" si="40"/>
        <v>0</v>
      </c>
      <c r="AJ71" s="104"/>
      <c r="AK71" s="104">
        <f t="shared" si="21"/>
        <v>0</v>
      </c>
      <c r="AL71" s="181">
        <f t="shared" si="22"/>
        <v>0</v>
      </c>
      <c r="AM71" s="104">
        <f t="shared" si="23"/>
        <v>0</v>
      </c>
      <c r="AN71" s="181">
        <f>IF(V71=0,0,VLOOKUP(K71,'PAINT LABOR COSTS'!$B$27:$N$67,12,0)*V71)*F71</f>
        <v>0</v>
      </c>
      <c r="AO71" s="181">
        <f t="shared" si="24"/>
        <v>0</v>
      </c>
      <c r="AP71" s="104">
        <f t="shared" si="41"/>
        <v>0</v>
      </c>
    </row>
    <row r="72" spans="1:42" ht="15.75">
      <c r="A72" s="2">
        <v>62</v>
      </c>
      <c r="B72" s="181">
        <f t="shared" si="17"/>
        <v>0</v>
      </c>
      <c r="C72" s="181">
        <f t="shared" si="18"/>
        <v>0</v>
      </c>
      <c r="D72" s="181">
        <f t="shared" si="19"/>
        <v>0</v>
      </c>
      <c r="E72" s="22">
        <f t="shared" si="25"/>
        <v>0</v>
      </c>
      <c r="F72" s="160"/>
      <c r="G72" s="187"/>
      <c r="H72" s="160"/>
      <c r="I72" s="160"/>
      <c r="J72" s="160"/>
      <c r="K72" s="160"/>
      <c r="L72" s="75" t="str">
        <f>IFERROR(VLOOKUP(K72,'PAINT LABOR COSTS'!$B$27:$C$58,2,FALSE),"Pick Color")</f>
        <v>Pick Color</v>
      </c>
      <c r="M72" s="160"/>
      <c r="N72" s="278">
        <f t="shared" si="26"/>
        <v>0</v>
      </c>
      <c r="O72" s="147" t="str">
        <f t="shared" si="27"/>
        <v/>
      </c>
      <c r="P72" s="75" t="str">
        <f t="shared" si="20"/>
        <v>YES</v>
      </c>
      <c r="Q72" s="160" t="s">
        <v>419</v>
      </c>
      <c r="R72" s="75" t="str">
        <f t="shared" si="28"/>
        <v>NO</v>
      </c>
      <c r="S72" s="75" t="str">
        <f t="shared" si="29"/>
        <v>NO</v>
      </c>
      <c r="T72" s="160">
        <v>0</v>
      </c>
      <c r="V72" s="31">
        <f t="shared" si="30"/>
        <v>0</v>
      </c>
      <c r="W72" s="277">
        <f t="shared" si="31"/>
        <v>0</v>
      </c>
      <c r="X72" s="277">
        <f t="shared" si="32"/>
        <v>0</v>
      </c>
      <c r="Y72" s="277">
        <f t="shared" si="33"/>
        <v>0</v>
      </c>
      <c r="Z72" s="181">
        <f t="shared" si="34"/>
        <v>0</v>
      </c>
      <c r="AA72" s="104">
        <f t="shared" si="35"/>
        <v>0</v>
      </c>
      <c r="AB72" s="104">
        <f t="shared" si="36"/>
        <v>0</v>
      </c>
      <c r="AC72" s="104">
        <f t="shared" si="37"/>
        <v>0</v>
      </c>
      <c r="AD72" s="104"/>
      <c r="AE72" s="279"/>
      <c r="AF72" s="279">
        <f t="shared" si="38"/>
        <v>0</v>
      </c>
      <c r="AG72" s="104">
        <f t="shared" si="39"/>
        <v>0</v>
      </c>
      <c r="AH72" s="104"/>
      <c r="AI72" s="104">
        <f t="shared" si="40"/>
        <v>0</v>
      </c>
      <c r="AJ72" s="104"/>
      <c r="AK72" s="104">
        <f t="shared" si="21"/>
        <v>0</v>
      </c>
      <c r="AL72" s="181">
        <f t="shared" si="22"/>
        <v>0</v>
      </c>
      <c r="AM72" s="104">
        <f t="shared" si="23"/>
        <v>0</v>
      </c>
      <c r="AN72" s="181">
        <f>IF(V72=0,0,VLOOKUP(K72,'PAINT LABOR COSTS'!$B$27:$N$67,12,0)*V72)*F72</f>
        <v>0</v>
      </c>
      <c r="AO72" s="181">
        <f t="shared" si="24"/>
        <v>0</v>
      </c>
      <c r="AP72" s="104">
        <f t="shared" si="41"/>
        <v>0</v>
      </c>
    </row>
    <row r="73" spans="1:42" ht="15.75">
      <c r="A73" s="2">
        <v>63</v>
      </c>
      <c r="B73" s="181">
        <f t="shared" si="17"/>
        <v>0</v>
      </c>
      <c r="C73" s="181">
        <f t="shared" si="18"/>
        <v>0</v>
      </c>
      <c r="D73" s="181">
        <f t="shared" si="19"/>
        <v>0</v>
      </c>
      <c r="E73" s="22">
        <f t="shared" si="25"/>
        <v>0</v>
      </c>
      <c r="F73" s="160"/>
      <c r="G73" s="187"/>
      <c r="H73" s="160"/>
      <c r="I73" s="160"/>
      <c r="J73" s="160"/>
      <c r="K73" s="160"/>
      <c r="L73" s="75" t="str">
        <f>IFERROR(VLOOKUP(K73,'PAINT LABOR COSTS'!$B$27:$C$58,2,FALSE),"Pick Color")</f>
        <v>Pick Color</v>
      </c>
      <c r="M73" s="160"/>
      <c r="N73" s="278">
        <f t="shared" si="26"/>
        <v>0</v>
      </c>
      <c r="O73" s="147" t="str">
        <f t="shared" si="27"/>
        <v/>
      </c>
      <c r="P73" s="75" t="str">
        <f t="shared" si="20"/>
        <v>YES</v>
      </c>
      <c r="Q73" s="160" t="s">
        <v>419</v>
      </c>
      <c r="R73" s="75" t="str">
        <f t="shared" si="28"/>
        <v>NO</v>
      </c>
      <c r="S73" s="75" t="str">
        <f t="shared" si="29"/>
        <v>NO</v>
      </c>
      <c r="T73" s="160">
        <v>0</v>
      </c>
      <c r="V73" s="31">
        <f t="shared" si="30"/>
        <v>0</v>
      </c>
      <c r="W73" s="277">
        <f t="shared" si="31"/>
        <v>0</v>
      </c>
      <c r="X73" s="277">
        <f t="shared" si="32"/>
        <v>0</v>
      </c>
      <c r="Y73" s="277">
        <f t="shared" si="33"/>
        <v>0</v>
      </c>
      <c r="Z73" s="181">
        <f t="shared" si="34"/>
        <v>0</v>
      </c>
      <c r="AA73" s="104">
        <f t="shared" si="35"/>
        <v>0</v>
      </c>
      <c r="AB73" s="104">
        <f t="shared" si="36"/>
        <v>0</v>
      </c>
      <c r="AC73" s="104">
        <f t="shared" si="37"/>
        <v>0</v>
      </c>
      <c r="AD73" s="104"/>
      <c r="AE73" s="279"/>
      <c r="AF73" s="279">
        <f t="shared" si="38"/>
        <v>0</v>
      </c>
      <c r="AG73" s="104">
        <f t="shared" si="39"/>
        <v>0</v>
      </c>
      <c r="AH73" s="104"/>
      <c r="AI73" s="104">
        <f t="shared" si="40"/>
        <v>0</v>
      </c>
      <c r="AJ73" s="104"/>
      <c r="AK73" s="104">
        <f t="shared" si="21"/>
        <v>0</v>
      </c>
      <c r="AL73" s="181">
        <f t="shared" si="22"/>
        <v>0</v>
      </c>
      <c r="AM73" s="104">
        <f t="shared" si="23"/>
        <v>0</v>
      </c>
      <c r="AN73" s="181">
        <f>IF(V73=0,0,VLOOKUP(K73,'PAINT LABOR COSTS'!$B$27:$N$67,12,0)*V73)*F73</f>
        <v>0</v>
      </c>
      <c r="AO73" s="181">
        <f t="shared" si="24"/>
        <v>0</v>
      </c>
      <c r="AP73" s="104">
        <f t="shared" si="41"/>
        <v>0</v>
      </c>
    </row>
    <row r="74" spans="1:42" ht="15.75">
      <c r="A74" s="2">
        <v>64</v>
      </c>
      <c r="B74" s="181">
        <f t="shared" si="17"/>
        <v>0</v>
      </c>
      <c r="C74" s="181">
        <f t="shared" si="18"/>
        <v>0</v>
      </c>
      <c r="D74" s="181">
        <f t="shared" si="19"/>
        <v>0</v>
      </c>
      <c r="E74" s="22">
        <f t="shared" si="25"/>
        <v>0</v>
      </c>
      <c r="F74" s="160"/>
      <c r="G74" s="187"/>
      <c r="H74" s="160"/>
      <c r="I74" s="160"/>
      <c r="J74" s="160"/>
      <c r="K74" s="160"/>
      <c r="L74" s="75" t="str">
        <f>IFERROR(VLOOKUP(K74,'PAINT LABOR COSTS'!$B$27:$C$58,2,FALSE),"Pick Color")</f>
        <v>Pick Color</v>
      </c>
      <c r="M74" s="160"/>
      <c r="N74" s="278">
        <f t="shared" si="26"/>
        <v>0</v>
      </c>
      <c r="O74" s="147" t="str">
        <f t="shared" si="27"/>
        <v/>
      </c>
      <c r="P74" s="75" t="str">
        <f t="shared" si="20"/>
        <v>YES</v>
      </c>
      <c r="Q74" s="160" t="s">
        <v>419</v>
      </c>
      <c r="R74" s="75" t="str">
        <f t="shared" si="28"/>
        <v>NO</v>
      </c>
      <c r="S74" s="75" t="str">
        <f t="shared" si="29"/>
        <v>NO</v>
      </c>
      <c r="T74" s="160">
        <v>0</v>
      </c>
      <c r="V74" s="31">
        <f t="shared" si="30"/>
        <v>0</v>
      </c>
      <c r="W74" s="277">
        <f t="shared" si="31"/>
        <v>0</v>
      </c>
      <c r="X74" s="277">
        <f t="shared" si="32"/>
        <v>0</v>
      </c>
      <c r="Y74" s="277">
        <f t="shared" si="33"/>
        <v>0</v>
      </c>
      <c r="Z74" s="181">
        <f t="shared" si="34"/>
        <v>0</v>
      </c>
      <c r="AA74" s="104">
        <f t="shared" si="35"/>
        <v>0</v>
      </c>
      <c r="AB74" s="104">
        <f t="shared" si="36"/>
        <v>0</v>
      </c>
      <c r="AC74" s="104">
        <f t="shared" si="37"/>
        <v>0</v>
      </c>
      <c r="AD74" s="104"/>
      <c r="AE74" s="279"/>
      <c r="AF74" s="279">
        <f t="shared" si="38"/>
        <v>0</v>
      </c>
      <c r="AG74" s="104">
        <f t="shared" si="39"/>
        <v>0</v>
      </c>
      <c r="AH74" s="104"/>
      <c r="AI74" s="104">
        <f t="shared" si="40"/>
        <v>0</v>
      </c>
      <c r="AJ74" s="104"/>
      <c r="AK74" s="104">
        <f t="shared" si="21"/>
        <v>0</v>
      </c>
      <c r="AL74" s="181">
        <f t="shared" si="22"/>
        <v>0</v>
      </c>
      <c r="AM74" s="104">
        <f t="shared" si="23"/>
        <v>0</v>
      </c>
      <c r="AN74" s="181">
        <f>IF(V74=0,0,VLOOKUP(K74,'PAINT LABOR COSTS'!$B$27:$N$67,12,0)*V74)*F74</f>
        <v>0</v>
      </c>
      <c r="AO74" s="181">
        <f t="shared" si="24"/>
        <v>0</v>
      </c>
      <c r="AP74" s="104">
        <f t="shared" si="41"/>
        <v>0</v>
      </c>
    </row>
    <row r="75" spans="1:42" ht="15.75">
      <c r="A75" s="2">
        <v>65</v>
      </c>
      <c r="B75" s="181">
        <f t="shared" si="17"/>
        <v>0</v>
      </c>
      <c r="C75" s="181">
        <f t="shared" si="18"/>
        <v>0</v>
      </c>
      <c r="D75" s="181">
        <f t="shared" si="19"/>
        <v>0</v>
      </c>
      <c r="E75" s="22">
        <f t="shared" si="25"/>
        <v>0</v>
      </c>
      <c r="F75" s="160"/>
      <c r="G75" s="187"/>
      <c r="H75" s="160"/>
      <c r="I75" s="160"/>
      <c r="J75" s="160"/>
      <c r="K75" s="160"/>
      <c r="L75" s="75" t="str">
        <f>IFERROR(VLOOKUP(K75,'PAINT LABOR COSTS'!$B$27:$C$58,2,FALSE),"Pick Color")</f>
        <v>Pick Color</v>
      </c>
      <c r="M75" s="160"/>
      <c r="N75" s="278">
        <f t="shared" ref="N75:N110" si="42">ROUNDUP(IF(AND(G75="S",I75&gt;5,I75&lt;26),I75,IF(AND(G75="PR",I75&gt;11,I75&lt;51),I75/2,IF(AND(G75="QD",I75&gt;50,I75&lt;102),I75/4,0))),0)</f>
        <v>0</v>
      </c>
      <c r="O75" s="147" t="str">
        <f t="shared" ref="O75:O106" si="43">IF(I75="","",LOOKUP(N75,N236:O255))</f>
        <v/>
      </c>
      <c r="P75" s="75" t="str">
        <f t="shared" si="20"/>
        <v>YES</v>
      </c>
      <c r="Q75" s="160" t="s">
        <v>419</v>
      </c>
      <c r="R75" s="75" t="str">
        <f t="shared" ref="R75:R110" si="44">IF(J75&gt;48,"YES","NO")</f>
        <v>NO</v>
      </c>
      <c r="S75" s="75" t="str">
        <f t="shared" ref="S75:S110" si="45">IF(I75&gt;50,"YES","NO")</f>
        <v>NO</v>
      </c>
      <c r="T75" s="160">
        <v>0</v>
      </c>
      <c r="V75" s="31">
        <f t="shared" ref="V75:V110" si="46">(((I75*J75/144)*2)+(((I75/12)*2)*(1.5/12))+(((J75/12)*2)*(1.5/12)))</f>
        <v>0</v>
      </c>
      <c r="W75" s="277">
        <f t="shared" ref="W75:W110" si="47">IF(G75="S",(INDEX($W$181:$FK$200,MATCH(O75,$V$181:$V$200,0),MATCH(J75,$W$180:$FK$180,0))*1),0)*F75</f>
        <v>0</v>
      </c>
      <c r="X75" s="277">
        <f t="shared" ref="X75:X110" si="48">IF(G75="PR",(INDEX($W$181:$FK$200,MATCH(O75,$V$181:$V$200,0),MATCH(J75,$W$180:$FK$180,0))*2),0)*F75</f>
        <v>0</v>
      </c>
      <c r="Y75" s="277">
        <f t="shared" ref="Y75:Y110" si="49">IF(G75="QD",(INDEX($W$181:$FK$200,MATCH(O75,$V$181:$V$200,0),MATCH(J75,$W$180:$FK$180,0))*4),0)*F75</f>
        <v>0</v>
      </c>
      <c r="Z75" s="181">
        <f t="shared" ref="Z75:Z110" si="50">IF(G75="S",LOOKUP(N75,$V$203:$V$222,$W$203:$W$222)*F75,IF(G75="PR",LOOKUP(N75,$V$203:$V$222,$X$203:$X$222)*F75*2,IF(G75="QD",LOOKUP(N75,$V$203:$V$222,$Y$203:$Y$222)*F75*4,0)))</f>
        <v>0</v>
      </c>
      <c r="AA75" s="104">
        <f t="shared" ref="AA75:AA106" si="51">IF(T75="+1",Z75/2,IF(T75="+2",Z75,IF(T75="+3",Z75*1.5,0)))*F75</f>
        <v>0</v>
      </c>
      <c r="AB75" s="104">
        <f t="shared" ref="AB75:AB110" si="52">F75*$AB$9</f>
        <v>0</v>
      </c>
      <c r="AC75" s="104">
        <f t="shared" ref="AC75:AC110" si="53">IF(AND(G75="S",H75="WOOD",J75&lt;49),F75*($AC$8*2),IF(AND(G75="S",H75="WOOD",J75&gt;48),F75*($AC$8*3),0))</f>
        <v>0</v>
      </c>
      <c r="AD75" s="104"/>
      <c r="AE75" s="279"/>
      <c r="AF75" s="279">
        <f t="shared" ref="AF75:AF110" si="54">(((I75+8)*F75)/12*$AF$9)</f>
        <v>0</v>
      </c>
      <c r="AG75" s="104">
        <f t="shared" ref="AG75:AG110" si="55">IF(G75="QD",6*$AG$9*F75,0)</f>
        <v>0</v>
      </c>
      <c r="AH75" s="104"/>
      <c r="AI75" s="104">
        <f t="shared" ref="AI75:AI110" si="56">(I75*J75)/144*($AI$8*$AI$7)</f>
        <v>0</v>
      </c>
      <c r="AJ75" s="104"/>
      <c r="AK75" s="104">
        <f t="shared" si="21"/>
        <v>0</v>
      </c>
      <c r="AL75" s="181">
        <f t="shared" si="22"/>
        <v>0</v>
      </c>
      <c r="AM75" s="104">
        <f t="shared" si="23"/>
        <v>0</v>
      </c>
      <c r="AN75" s="181">
        <f>IF(V75=0,0,VLOOKUP(K75,'PAINT LABOR COSTS'!$B$27:$N$67,12,0)*V75)*F75</f>
        <v>0</v>
      </c>
      <c r="AO75" s="181">
        <f t="shared" si="24"/>
        <v>0</v>
      </c>
      <c r="AP75" s="104">
        <f t="shared" ref="AP75:AP110" si="57">IF(M75="DELIVERY",$L$167*$F$11,IF(M75="PICKUP",$L$163*$F$11,IF(M75="SHIP/CR",$L$165*$F$11,IF(M75="LCR",$L$171*$F$11,IF(M75="INSTALL",$L$169*$F$11,0)))))</f>
        <v>0</v>
      </c>
    </row>
    <row r="76" spans="1:42" ht="15.75">
      <c r="A76" s="2">
        <v>66</v>
      </c>
      <c r="B76" s="181">
        <f t="shared" ref="B76:B110" si="58">E76*$B$7</f>
        <v>0</v>
      </c>
      <c r="C76" s="181">
        <f t="shared" ref="C76:C110" si="59">E76*$C$7</f>
        <v>0</v>
      </c>
      <c r="D76" s="181">
        <f t="shared" ref="D76:D110" si="60">E76*$D$7</f>
        <v>0</v>
      </c>
      <c r="E76" s="22">
        <f t="shared" si="25"/>
        <v>0</v>
      </c>
      <c r="F76" s="160"/>
      <c r="G76" s="187"/>
      <c r="H76" s="160"/>
      <c r="I76" s="160"/>
      <c r="J76" s="160"/>
      <c r="K76" s="160"/>
      <c r="L76" s="75" t="str">
        <f>IFERROR(VLOOKUP(K76,'PAINT LABOR COSTS'!$B$27:$C$58,2,FALSE),"Pick Color")</f>
        <v>Pick Color</v>
      </c>
      <c r="M76" s="160"/>
      <c r="N76" s="278">
        <f t="shared" si="42"/>
        <v>0</v>
      </c>
      <c r="O76" s="147" t="str">
        <f t="shared" si="43"/>
        <v/>
      </c>
      <c r="P76" s="75" t="str">
        <f t="shared" ref="P76:P110" si="61">IF(Q76="NO","YES","")</f>
        <v>YES</v>
      </c>
      <c r="Q76" s="160" t="s">
        <v>419</v>
      </c>
      <c r="R76" s="75" t="str">
        <f t="shared" si="44"/>
        <v>NO</v>
      </c>
      <c r="S76" s="75" t="str">
        <f t="shared" si="45"/>
        <v>NO</v>
      </c>
      <c r="T76" s="160">
        <v>0</v>
      </c>
      <c r="V76" s="31">
        <f t="shared" si="46"/>
        <v>0</v>
      </c>
      <c r="W76" s="277">
        <f t="shared" si="47"/>
        <v>0</v>
      </c>
      <c r="X76" s="277">
        <f t="shared" si="48"/>
        <v>0</v>
      </c>
      <c r="Y76" s="277">
        <f t="shared" si="49"/>
        <v>0</v>
      </c>
      <c r="Z76" s="181">
        <f t="shared" si="50"/>
        <v>0</v>
      </c>
      <c r="AA76" s="104">
        <f t="shared" si="51"/>
        <v>0</v>
      </c>
      <c r="AB76" s="104">
        <f t="shared" si="52"/>
        <v>0</v>
      </c>
      <c r="AC76" s="104">
        <f t="shared" si="53"/>
        <v>0</v>
      </c>
      <c r="AD76" s="104"/>
      <c r="AE76" s="279"/>
      <c r="AF76" s="279">
        <f t="shared" si="54"/>
        <v>0</v>
      </c>
      <c r="AG76" s="104">
        <f t="shared" si="55"/>
        <v>0</v>
      </c>
      <c r="AH76" s="104"/>
      <c r="AI76" s="104">
        <f t="shared" si="56"/>
        <v>0</v>
      </c>
      <c r="AJ76" s="104"/>
      <c r="AK76" s="104">
        <f t="shared" ref="AK76:AK110" si="62">V76*$AK$8</f>
        <v>0</v>
      </c>
      <c r="AL76" s="181">
        <f t="shared" ref="AL76:AL110" si="63">V76*$AL$8</f>
        <v>0</v>
      </c>
      <c r="AM76" s="104">
        <f t="shared" ref="AM76:AM110" si="64">V76*$AM$8</f>
        <v>0</v>
      </c>
      <c r="AN76" s="181">
        <f>IF(V76=0,0,VLOOKUP(K76,'PAINT LABOR COSTS'!$B$27:$N$67,12,0)*V76)*F76</f>
        <v>0</v>
      </c>
      <c r="AO76" s="181">
        <f t="shared" ref="AO76:AO110" si="65">V76*$AO$8</f>
        <v>0</v>
      </c>
      <c r="AP76" s="104">
        <f t="shared" si="57"/>
        <v>0</v>
      </c>
    </row>
    <row r="77" spans="1:42" ht="15.75">
      <c r="A77" s="2">
        <v>67</v>
      </c>
      <c r="B77" s="181">
        <f t="shared" si="58"/>
        <v>0</v>
      </c>
      <c r="C77" s="181">
        <f t="shared" si="59"/>
        <v>0</v>
      </c>
      <c r="D77" s="181">
        <f t="shared" si="60"/>
        <v>0</v>
      </c>
      <c r="E77" s="22">
        <f t="shared" ref="E77:E110" si="66">SUM(W77:AP77)</f>
        <v>0</v>
      </c>
      <c r="F77" s="160"/>
      <c r="G77" s="187"/>
      <c r="H77" s="160"/>
      <c r="I77" s="160"/>
      <c r="J77" s="160"/>
      <c r="K77" s="160"/>
      <c r="L77" s="75" t="str">
        <f>IFERROR(VLOOKUP(K77,'PAINT LABOR COSTS'!$B$27:$C$58,2,FALSE),"Pick Color")</f>
        <v>Pick Color</v>
      </c>
      <c r="M77" s="160"/>
      <c r="N77" s="278">
        <f t="shared" si="42"/>
        <v>0</v>
      </c>
      <c r="O77" s="147" t="str">
        <f t="shared" si="43"/>
        <v/>
      </c>
      <c r="P77" s="75" t="str">
        <f t="shared" si="61"/>
        <v>YES</v>
      </c>
      <c r="Q77" s="160" t="s">
        <v>419</v>
      </c>
      <c r="R77" s="75" t="str">
        <f t="shared" si="44"/>
        <v>NO</v>
      </c>
      <c r="S77" s="75" t="str">
        <f t="shared" si="45"/>
        <v>NO</v>
      </c>
      <c r="T77" s="160">
        <v>0</v>
      </c>
      <c r="V77" s="31">
        <f t="shared" si="46"/>
        <v>0</v>
      </c>
      <c r="W77" s="277">
        <f t="shared" si="47"/>
        <v>0</v>
      </c>
      <c r="X77" s="277">
        <f t="shared" si="48"/>
        <v>0</v>
      </c>
      <c r="Y77" s="277">
        <f t="shared" si="49"/>
        <v>0</v>
      </c>
      <c r="Z77" s="181">
        <f t="shared" si="50"/>
        <v>0</v>
      </c>
      <c r="AA77" s="104">
        <f t="shared" si="51"/>
        <v>0</v>
      </c>
      <c r="AB77" s="104">
        <f t="shared" si="52"/>
        <v>0</v>
      </c>
      <c r="AC77" s="104">
        <f t="shared" si="53"/>
        <v>0</v>
      </c>
      <c r="AD77" s="104"/>
      <c r="AE77" s="279"/>
      <c r="AF77" s="279">
        <f t="shared" si="54"/>
        <v>0</v>
      </c>
      <c r="AG77" s="104">
        <f t="shared" si="55"/>
        <v>0</v>
      </c>
      <c r="AH77" s="104"/>
      <c r="AI77" s="104">
        <f t="shared" si="56"/>
        <v>0</v>
      </c>
      <c r="AJ77" s="104"/>
      <c r="AK77" s="104">
        <f t="shared" si="62"/>
        <v>0</v>
      </c>
      <c r="AL77" s="181">
        <f t="shared" si="63"/>
        <v>0</v>
      </c>
      <c r="AM77" s="104">
        <f t="shared" si="64"/>
        <v>0</v>
      </c>
      <c r="AN77" s="181">
        <f>IF(V77=0,0,VLOOKUP(K77,'PAINT LABOR COSTS'!$B$27:$N$67,12,0)*V77)*F77</f>
        <v>0</v>
      </c>
      <c r="AO77" s="181">
        <f t="shared" si="65"/>
        <v>0</v>
      </c>
      <c r="AP77" s="104">
        <f t="shared" si="57"/>
        <v>0</v>
      </c>
    </row>
    <row r="78" spans="1:42" ht="15.75">
      <c r="A78" s="2">
        <v>68</v>
      </c>
      <c r="B78" s="181">
        <f t="shared" si="58"/>
        <v>0</v>
      </c>
      <c r="C78" s="181">
        <f t="shared" si="59"/>
        <v>0</v>
      </c>
      <c r="D78" s="181">
        <f t="shared" si="60"/>
        <v>0</v>
      </c>
      <c r="E78" s="22">
        <f t="shared" si="66"/>
        <v>0</v>
      </c>
      <c r="F78" s="160"/>
      <c r="G78" s="187"/>
      <c r="H78" s="160"/>
      <c r="I78" s="160"/>
      <c r="J78" s="160"/>
      <c r="K78" s="160"/>
      <c r="L78" s="75" t="str">
        <f>IFERROR(VLOOKUP(K78,'PAINT LABOR COSTS'!$B$27:$C$58,2,FALSE),"Pick Color")</f>
        <v>Pick Color</v>
      </c>
      <c r="M78" s="160"/>
      <c r="N78" s="278">
        <f t="shared" si="42"/>
        <v>0</v>
      </c>
      <c r="O78" s="147" t="str">
        <f t="shared" si="43"/>
        <v/>
      </c>
      <c r="P78" s="75" t="str">
        <f t="shared" si="61"/>
        <v>YES</v>
      </c>
      <c r="Q78" s="160" t="s">
        <v>419</v>
      </c>
      <c r="R78" s="75" t="str">
        <f t="shared" si="44"/>
        <v>NO</v>
      </c>
      <c r="S78" s="75" t="str">
        <f t="shared" si="45"/>
        <v>NO</v>
      </c>
      <c r="T78" s="160">
        <v>0</v>
      </c>
      <c r="V78" s="31">
        <f t="shared" si="46"/>
        <v>0</v>
      </c>
      <c r="W78" s="277">
        <f t="shared" si="47"/>
        <v>0</v>
      </c>
      <c r="X78" s="277">
        <f t="shared" si="48"/>
        <v>0</v>
      </c>
      <c r="Y78" s="277">
        <f t="shared" si="49"/>
        <v>0</v>
      </c>
      <c r="Z78" s="181">
        <f t="shared" si="50"/>
        <v>0</v>
      </c>
      <c r="AA78" s="104">
        <f t="shared" si="51"/>
        <v>0</v>
      </c>
      <c r="AB78" s="104">
        <f t="shared" si="52"/>
        <v>0</v>
      </c>
      <c r="AC78" s="104">
        <f t="shared" si="53"/>
        <v>0</v>
      </c>
      <c r="AD78" s="104"/>
      <c r="AE78" s="279"/>
      <c r="AF78" s="279">
        <f t="shared" si="54"/>
        <v>0</v>
      </c>
      <c r="AG78" s="104">
        <f t="shared" si="55"/>
        <v>0</v>
      </c>
      <c r="AH78" s="104"/>
      <c r="AI78" s="104">
        <f t="shared" si="56"/>
        <v>0</v>
      </c>
      <c r="AJ78" s="104"/>
      <c r="AK78" s="104">
        <f t="shared" si="62"/>
        <v>0</v>
      </c>
      <c r="AL78" s="181">
        <f t="shared" si="63"/>
        <v>0</v>
      </c>
      <c r="AM78" s="104">
        <f t="shared" si="64"/>
        <v>0</v>
      </c>
      <c r="AN78" s="181">
        <f>IF(V78=0,0,VLOOKUP(K78,'PAINT LABOR COSTS'!$B$27:$N$67,12,0)*V78)*F78</f>
        <v>0</v>
      </c>
      <c r="AO78" s="181">
        <f t="shared" si="65"/>
        <v>0</v>
      </c>
      <c r="AP78" s="104">
        <f t="shared" si="57"/>
        <v>0</v>
      </c>
    </row>
    <row r="79" spans="1:42" ht="15.75">
      <c r="A79" s="2">
        <v>69</v>
      </c>
      <c r="B79" s="181">
        <f t="shared" si="58"/>
        <v>0</v>
      </c>
      <c r="C79" s="181">
        <f t="shared" si="59"/>
        <v>0</v>
      </c>
      <c r="D79" s="181">
        <f t="shared" si="60"/>
        <v>0</v>
      </c>
      <c r="E79" s="22">
        <f t="shared" si="66"/>
        <v>0</v>
      </c>
      <c r="F79" s="160"/>
      <c r="G79" s="187"/>
      <c r="H79" s="160"/>
      <c r="I79" s="160"/>
      <c r="J79" s="160"/>
      <c r="K79" s="160"/>
      <c r="L79" s="75" t="str">
        <f>IFERROR(VLOOKUP(K79,'PAINT LABOR COSTS'!$B$27:$C$58,2,FALSE),"Pick Color")</f>
        <v>Pick Color</v>
      </c>
      <c r="M79" s="160"/>
      <c r="N79" s="278">
        <f t="shared" si="42"/>
        <v>0</v>
      </c>
      <c r="O79" s="147" t="str">
        <f t="shared" si="43"/>
        <v/>
      </c>
      <c r="P79" s="75" t="str">
        <f t="shared" si="61"/>
        <v>YES</v>
      </c>
      <c r="Q79" s="160" t="s">
        <v>419</v>
      </c>
      <c r="R79" s="75" t="str">
        <f t="shared" si="44"/>
        <v>NO</v>
      </c>
      <c r="S79" s="75" t="str">
        <f t="shared" si="45"/>
        <v>NO</v>
      </c>
      <c r="T79" s="160">
        <v>0</v>
      </c>
      <c r="V79" s="31">
        <f t="shared" si="46"/>
        <v>0</v>
      </c>
      <c r="W79" s="277">
        <f t="shared" si="47"/>
        <v>0</v>
      </c>
      <c r="X79" s="277">
        <f t="shared" si="48"/>
        <v>0</v>
      </c>
      <c r="Y79" s="277">
        <f t="shared" si="49"/>
        <v>0</v>
      </c>
      <c r="Z79" s="181">
        <f t="shared" si="50"/>
        <v>0</v>
      </c>
      <c r="AA79" s="104">
        <f t="shared" si="51"/>
        <v>0</v>
      </c>
      <c r="AB79" s="104">
        <f t="shared" si="52"/>
        <v>0</v>
      </c>
      <c r="AC79" s="104">
        <f t="shared" si="53"/>
        <v>0</v>
      </c>
      <c r="AD79" s="104"/>
      <c r="AE79" s="279"/>
      <c r="AF79" s="279">
        <f t="shared" si="54"/>
        <v>0</v>
      </c>
      <c r="AG79" s="104">
        <f t="shared" si="55"/>
        <v>0</v>
      </c>
      <c r="AH79" s="104"/>
      <c r="AI79" s="104">
        <f t="shared" si="56"/>
        <v>0</v>
      </c>
      <c r="AJ79" s="104"/>
      <c r="AK79" s="104">
        <f t="shared" si="62"/>
        <v>0</v>
      </c>
      <c r="AL79" s="181">
        <f t="shared" si="63"/>
        <v>0</v>
      </c>
      <c r="AM79" s="104">
        <f t="shared" si="64"/>
        <v>0</v>
      </c>
      <c r="AN79" s="181">
        <f>IF(V79=0,0,VLOOKUP(K79,'PAINT LABOR COSTS'!$B$27:$N$67,12,0)*V79)*F79</f>
        <v>0</v>
      </c>
      <c r="AO79" s="181">
        <f t="shared" si="65"/>
        <v>0</v>
      </c>
      <c r="AP79" s="104">
        <f t="shared" si="57"/>
        <v>0</v>
      </c>
    </row>
    <row r="80" spans="1:42" ht="15.75">
      <c r="A80" s="2">
        <v>70</v>
      </c>
      <c r="B80" s="181">
        <f t="shared" si="58"/>
        <v>0</v>
      </c>
      <c r="C80" s="181">
        <f t="shared" si="59"/>
        <v>0</v>
      </c>
      <c r="D80" s="181">
        <f t="shared" si="60"/>
        <v>0</v>
      </c>
      <c r="E80" s="22">
        <f t="shared" si="66"/>
        <v>0</v>
      </c>
      <c r="F80" s="160"/>
      <c r="G80" s="187"/>
      <c r="H80" s="160"/>
      <c r="I80" s="160"/>
      <c r="J80" s="160"/>
      <c r="K80" s="160"/>
      <c r="L80" s="75" t="str">
        <f>IFERROR(VLOOKUP(K80,'PAINT LABOR COSTS'!$B$27:$C$58,2,FALSE),"Pick Color")</f>
        <v>Pick Color</v>
      </c>
      <c r="M80" s="160"/>
      <c r="N80" s="278">
        <f t="shared" si="42"/>
        <v>0</v>
      </c>
      <c r="O80" s="147" t="str">
        <f t="shared" si="43"/>
        <v/>
      </c>
      <c r="P80" s="75" t="str">
        <f t="shared" si="61"/>
        <v>YES</v>
      </c>
      <c r="Q80" s="160" t="s">
        <v>419</v>
      </c>
      <c r="R80" s="75" t="str">
        <f t="shared" si="44"/>
        <v>NO</v>
      </c>
      <c r="S80" s="75" t="str">
        <f t="shared" si="45"/>
        <v>NO</v>
      </c>
      <c r="T80" s="160">
        <v>0</v>
      </c>
      <c r="V80" s="31">
        <f t="shared" si="46"/>
        <v>0</v>
      </c>
      <c r="W80" s="277">
        <f t="shared" si="47"/>
        <v>0</v>
      </c>
      <c r="X80" s="277">
        <f t="shared" si="48"/>
        <v>0</v>
      </c>
      <c r="Y80" s="277">
        <f t="shared" si="49"/>
        <v>0</v>
      </c>
      <c r="Z80" s="181">
        <f t="shared" si="50"/>
        <v>0</v>
      </c>
      <c r="AA80" s="104">
        <f t="shared" si="51"/>
        <v>0</v>
      </c>
      <c r="AB80" s="104">
        <f t="shared" si="52"/>
        <v>0</v>
      </c>
      <c r="AC80" s="104">
        <f t="shared" si="53"/>
        <v>0</v>
      </c>
      <c r="AD80" s="104"/>
      <c r="AE80" s="279"/>
      <c r="AF80" s="279">
        <f t="shared" si="54"/>
        <v>0</v>
      </c>
      <c r="AG80" s="104">
        <f t="shared" si="55"/>
        <v>0</v>
      </c>
      <c r="AH80" s="104"/>
      <c r="AI80" s="104">
        <f t="shared" si="56"/>
        <v>0</v>
      </c>
      <c r="AJ80" s="104"/>
      <c r="AK80" s="104">
        <f t="shared" si="62"/>
        <v>0</v>
      </c>
      <c r="AL80" s="181">
        <f t="shared" si="63"/>
        <v>0</v>
      </c>
      <c r="AM80" s="104">
        <f t="shared" si="64"/>
        <v>0</v>
      </c>
      <c r="AN80" s="181">
        <f>IF(V80=0,0,VLOOKUP(K80,'PAINT LABOR COSTS'!$B$27:$N$67,12,0)*V80)*F80</f>
        <v>0</v>
      </c>
      <c r="AO80" s="181">
        <f t="shared" si="65"/>
        <v>0</v>
      </c>
      <c r="AP80" s="104">
        <f t="shared" si="57"/>
        <v>0</v>
      </c>
    </row>
    <row r="81" spans="1:42" ht="15.75">
      <c r="A81" s="2">
        <v>71</v>
      </c>
      <c r="B81" s="181">
        <f t="shared" si="58"/>
        <v>0</v>
      </c>
      <c r="C81" s="181">
        <f t="shared" si="59"/>
        <v>0</v>
      </c>
      <c r="D81" s="181">
        <f t="shared" si="60"/>
        <v>0</v>
      </c>
      <c r="E81" s="22">
        <f t="shared" si="66"/>
        <v>0</v>
      </c>
      <c r="F81" s="160"/>
      <c r="G81" s="187"/>
      <c r="H81" s="160"/>
      <c r="I81" s="160"/>
      <c r="J81" s="160"/>
      <c r="K81" s="160"/>
      <c r="L81" s="75" t="str">
        <f>IFERROR(VLOOKUP(K81,'PAINT LABOR COSTS'!$B$27:$C$58,2,FALSE),"Pick Color")</f>
        <v>Pick Color</v>
      </c>
      <c r="M81" s="160"/>
      <c r="N81" s="278">
        <f t="shared" si="42"/>
        <v>0</v>
      </c>
      <c r="O81" s="147" t="str">
        <f t="shared" si="43"/>
        <v/>
      </c>
      <c r="P81" s="75" t="str">
        <f t="shared" si="61"/>
        <v>YES</v>
      </c>
      <c r="Q81" s="160" t="s">
        <v>419</v>
      </c>
      <c r="R81" s="75" t="str">
        <f t="shared" si="44"/>
        <v>NO</v>
      </c>
      <c r="S81" s="75" t="str">
        <f t="shared" si="45"/>
        <v>NO</v>
      </c>
      <c r="T81" s="160">
        <v>0</v>
      </c>
      <c r="V81" s="31">
        <f t="shared" si="46"/>
        <v>0</v>
      </c>
      <c r="W81" s="277">
        <f t="shared" si="47"/>
        <v>0</v>
      </c>
      <c r="X81" s="277">
        <f t="shared" si="48"/>
        <v>0</v>
      </c>
      <c r="Y81" s="277">
        <f t="shared" si="49"/>
        <v>0</v>
      </c>
      <c r="Z81" s="181">
        <f t="shared" si="50"/>
        <v>0</v>
      </c>
      <c r="AA81" s="104">
        <f t="shared" si="51"/>
        <v>0</v>
      </c>
      <c r="AB81" s="104">
        <f t="shared" si="52"/>
        <v>0</v>
      </c>
      <c r="AC81" s="104">
        <f t="shared" si="53"/>
        <v>0</v>
      </c>
      <c r="AD81" s="104"/>
      <c r="AE81" s="279"/>
      <c r="AF81" s="279">
        <f t="shared" si="54"/>
        <v>0</v>
      </c>
      <c r="AG81" s="104">
        <f t="shared" si="55"/>
        <v>0</v>
      </c>
      <c r="AH81" s="104"/>
      <c r="AI81" s="104">
        <f t="shared" si="56"/>
        <v>0</v>
      </c>
      <c r="AJ81" s="104"/>
      <c r="AK81" s="104">
        <f t="shared" si="62"/>
        <v>0</v>
      </c>
      <c r="AL81" s="181">
        <f t="shared" si="63"/>
        <v>0</v>
      </c>
      <c r="AM81" s="104">
        <f t="shared" si="64"/>
        <v>0</v>
      </c>
      <c r="AN81" s="181">
        <f>IF(V81=0,0,VLOOKUP(K81,'PAINT LABOR COSTS'!$B$27:$N$67,12,0)*V81)*F81</f>
        <v>0</v>
      </c>
      <c r="AO81" s="181">
        <f t="shared" si="65"/>
        <v>0</v>
      </c>
      <c r="AP81" s="104">
        <f t="shared" si="57"/>
        <v>0</v>
      </c>
    </row>
    <row r="82" spans="1:42" ht="15.75">
      <c r="A82" s="2">
        <v>72</v>
      </c>
      <c r="B82" s="181">
        <f t="shared" si="58"/>
        <v>0</v>
      </c>
      <c r="C82" s="181">
        <f t="shared" si="59"/>
        <v>0</v>
      </c>
      <c r="D82" s="181">
        <f t="shared" si="60"/>
        <v>0</v>
      </c>
      <c r="E82" s="22">
        <f t="shared" si="66"/>
        <v>0</v>
      </c>
      <c r="F82" s="160"/>
      <c r="G82" s="187"/>
      <c r="H82" s="160"/>
      <c r="I82" s="160"/>
      <c r="J82" s="160"/>
      <c r="K82" s="160"/>
      <c r="L82" s="75" t="str">
        <f>IFERROR(VLOOKUP(K82,'PAINT LABOR COSTS'!$B$27:$C$58,2,FALSE),"Pick Color")</f>
        <v>Pick Color</v>
      </c>
      <c r="M82" s="160"/>
      <c r="N82" s="278">
        <f t="shared" si="42"/>
        <v>0</v>
      </c>
      <c r="O82" s="147" t="str">
        <f t="shared" si="43"/>
        <v/>
      </c>
      <c r="P82" s="75" t="str">
        <f t="shared" si="61"/>
        <v>YES</v>
      </c>
      <c r="Q82" s="160" t="s">
        <v>419</v>
      </c>
      <c r="R82" s="75" t="str">
        <f t="shared" si="44"/>
        <v>NO</v>
      </c>
      <c r="S82" s="75" t="str">
        <f t="shared" si="45"/>
        <v>NO</v>
      </c>
      <c r="T82" s="160">
        <v>0</v>
      </c>
      <c r="V82" s="31">
        <f t="shared" si="46"/>
        <v>0</v>
      </c>
      <c r="W82" s="277">
        <f t="shared" si="47"/>
        <v>0</v>
      </c>
      <c r="X82" s="277">
        <f t="shared" si="48"/>
        <v>0</v>
      </c>
      <c r="Y82" s="277">
        <f t="shared" si="49"/>
        <v>0</v>
      </c>
      <c r="Z82" s="181">
        <f t="shared" si="50"/>
        <v>0</v>
      </c>
      <c r="AA82" s="104">
        <f t="shared" si="51"/>
        <v>0</v>
      </c>
      <c r="AB82" s="104">
        <f t="shared" si="52"/>
        <v>0</v>
      </c>
      <c r="AC82" s="104">
        <f t="shared" si="53"/>
        <v>0</v>
      </c>
      <c r="AD82" s="104"/>
      <c r="AE82" s="279"/>
      <c r="AF82" s="279">
        <f t="shared" si="54"/>
        <v>0</v>
      </c>
      <c r="AG82" s="104">
        <f t="shared" si="55"/>
        <v>0</v>
      </c>
      <c r="AH82" s="104"/>
      <c r="AI82" s="104">
        <f t="shared" si="56"/>
        <v>0</v>
      </c>
      <c r="AJ82" s="104"/>
      <c r="AK82" s="104">
        <f t="shared" si="62"/>
        <v>0</v>
      </c>
      <c r="AL82" s="181">
        <f t="shared" si="63"/>
        <v>0</v>
      </c>
      <c r="AM82" s="104">
        <f t="shared" si="64"/>
        <v>0</v>
      </c>
      <c r="AN82" s="181">
        <f>IF(V82=0,0,VLOOKUP(K82,'PAINT LABOR COSTS'!$B$27:$N$67,12,0)*V82)*F82</f>
        <v>0</v>
      </c>
      <c r="AO82" s="181">
        <f t="shared" si="65"/>
        <v>0</v>
      </c>
      <c r="AP82" s="104">
        <f t="shared" si="57"/>
        <v>0</v>
      </c>
    </row>
    <row r="83" spans="1:42" ht="15.75">
      <c r="A83" s="2">
        <v>73</v>
      </c>
      <c r="B83" s="181">
        <f t="shared" si="58"/>
        <v>0</v>
      </c>
      <c r="C83" s="181">
        <f t="shared" si="59"/>
        <v>0</v>
      </c>
      <c r="D83" s="181">
        <f t="shared" si="60"/>
        <v>0</v>
      </c>
      <c r="E83" s="22">
        <f t="shared" si="66"/>
        <v>0</v>
      </c>
      <c r="F83" s="160"/>
      <c r="G83" s="187"/>
      <c r="H83" s="160"/>
      <c r="I83" s="160"/>
      <c r="J83" s="160"/>
      <c r="K83" s="160"/>
      <c r="L83" s="75" t="str">
        <f>IFERROR(VLOOKUP(K83,'PAINT LABOR COSTS'!$B$27:$C$58,2,FALSE),"Pick Color")</f>
        <v>Pick Color</v>
      </c>
      <c r="M83" s="160"/>
      <c r="N83" s="278">
        <f t="shared" si="42"/>
        <v>0</v>
      </c>
      <c r="O83" s="147" t="str">
        <f t="shared" si="43"/>
        <v/>
      </c>
      <c r="P83" s="75" t="str">
        <f t="shared" si="61"/>
        <v>YES</v>
      </c>
      <c r="Q83" s="160" t="s">
        <v>419</v>
      </c>
      <c r="R83" s="75" t="str">
        <f t="shared" si="44"/>
        <v>NO</v>
      </c>
      <c r="S83" s="75" t="str">
        <f t="shared" si="45"/>
        <v>NO</v>
      </c>
      <c r="T83" s="160">
        <v>0</v>
      </c>
      <c r="V83" s="31">
        <f t="shared" si="46"/>
        <v>0</v>
      </c>
      <c r="W83" s="277">
        <f t="shared" si="47"/>
        <v>0</v>
      </c>
      <c r="X83" s="277">
        <f t="shared" si="48"/>
        <v>0</v>
      </c>
      <c r="Y83" s="277">
        <f t="shared" si="49"/>
        <v>0</v>
      </c>
      <c r="Z83" s="181">
        <f t="shared" si="50"/>
        <v>0</v>
      </c>
      <c r="AA83" s="104">
        <f t="shared" si="51"/>
        <v>0</v>
      </c>
      <c r="AB83" s="104">
        <f t="shared" si="52"/>
        <v>0</v>
      </c>
      <c r="AC83" s="104">
        <f t="shared" si="53"/>
        <v>0</v>
      </c>
      <c r="AD83" s="104"/>
      <c r="AE83" s="279"/>
      <c r="AF83" s="279">
        <f t="shared" si="54"/>
        <v>0</v>
      </c>
      <c r="AG83" s="104">
        <f t="shared" si="55"/>
        <v>0</v>
      </c>
      <c r="AH83" s="104"/>
      <c r="AI83" s="104">
        <f t="shared" si="56"/>
        <v>0</v>
      </c>
      <c r="AJ83" s="104"/>
      <c r="AK83" s="104">
        <f t="shared" si="62"/>
        <v>0</v>
      </c>
      <c r="AL83" s="181">
        <f t="shared" si="63"/>
        <v>0</v>
      </c>
      <c r="AM83" s="104">
        <f t="shared" si="64"/>
        <v>0</v>
      </c>
      <c r="AN83" s="181">
        <f>IF(V83=0,0,VLOOKUP(K83,'PAINT LABOR COSTS'!$B$27:$N$67,12,0)*V83)*F83</f>
        <v>0</v>
      </c>
      <c r="AO83" s="181">
        <f t="shared" si="65"/>
        <v>0</v>
      </c>
      <c r="AP83" s="104">
        <f t="shared" si="57"/>
        <v>0</v>
      </c>
    </row>
    <row r="84" spans="1:42" ht="15.75">
      <c r="A84" s="2">
        <v>74</v>
      </c>
      <c r="B84" s="181">
        <f t="shared" si="58"/>
        <v>0</v>
      </c>
      <c r="C84" s="181">
        <f t="shared" si="59"/>
        <v>0</v>
      </c>
      <c r="D84" s="181">
        <f t="shared" si="60"/>
        <v>0</v>
      </c>
      <c r="E84" s="22">
        <f t="shared" si="66"/>
        <v>0</v>
      </c>
      <c r="F84" s="160"/>
      <c r="G84" s="187"/>
      <c r="H84" s="160"/>
      <c r="I84" s="160"/>
      <c r="J84" s="160"/>
      <c r="K84" s="160"/>
      <c r="L84" s="75" t="str">
        <f>IFERROR(VLOOKUP(K84,'PAINT LABOR COSTS'!$B$27:$C$58,2,FALSE),"Pick Color")</f>
        <v>Pick Color</v>
      </c>
      <c r="M84" s="160"/>
      <c r="N84" s="278">
        <f t="shared" si="42"/>
        <v>0</v>
      </c>
      <c r="O84" s="147" t="str">
        <f t="shared" si="43"/>
        <v/>
      </c>
      <c r="P84" s="75" t="str">
        <f t="shared" si="61"/>
        <v>YES</v>
      </c>
      <c r="Q84" s="160" t="s">
        <v>419</v>
      </c>
      <c r="R84" s="75" t="str">
        <f t="shared" si="44"/>
        <v>NO</v>
      </c>
      <c r="S84" s="75" t="str">
        <f t="shared" si="45"/>
        <v>NO</v>
      </c>
      <c r="T84" s="160">
        <v>0</v>
      </c>
      <c r="V84" s="31">
        <f t="shared" si="46"/>
        <v>0</v>
      </c>
      <c r="W84" s="277">
        <f t="shared" si="47"/>
        <v>0</v>
      </c>
      <c r="X84" s="277">
        <f t="shared" si="48"/>
        <v>0</v>
      </c>
      <c r="Y84" s="277">
        <f t="shared" si="49"/>
        <v>0</v>
      </c>
      <c r="Z84" s="181">
        <f t="shared" si="50"/>
        <v>0</v>
      </c>
      <c r="AA84" s="104">
        <f t="shared" si="51"/>
        <v>0</v>
      </c>
      <c r="AB84" s="104">
        <f t="shared" si="52"/>
        <v>0</v>
      </c>
      <c r="AC84" s="104">
        <f t="shared" si="53"/>
        <v>0</v>
      </c>
      <c r="AD84" s="104"/>
      <c r="AE84" s="279"/>
      <c r="AF84" s="279">
        <f t="shared" si="54"/>
        <v>0</v>
      </c>
      <c r="AG84" s="104">
        <f t="shared" si="55"/>
        <v>0</v>
      </c>
      <c r="AH84" s="104"/>
      <c r="AI84" s="104">
        <f t="shared" si="56"/>
        <v>0</v>
      </c>
      <c r="AJ84" s="104"/>
      <c r="AK84" s="104">
        <f t="shared" si="62"/>
        <v>0</v>
      </c>
      <c r="AL84" s="181">
        <f t="shared" si="63"/>
        <v>0</v>
      </c>
      <c r="AM84" s="104">
        <f t="shared" si="64"/>
        <v>0</v>
      </c>
      <c r="AN84" s="181">
        <f>IF(V84=0,0,VLOOKUP(K84,'PAINT LABOR COSTS'!$B$27:$N$67,12,0)*V84)*F84</f>
        <v>0</v>
      </c>
      <c r="AO84" s="181">
        <f t="shared" si="65"/>
        <v>0</v>
      </c>
      <c r="AP84" s="104">
        <f t="shared" si="57"/>
        <v>0</v>
      </c>
    </row>
    <row r="85" spans="1:42" ht="15.75">
      <c r="A85" s="2">
        <v>75</v>
      </c>
      <c r="B85" s="181">
        <f t="shared" si="58"/>
        <v>0</v>
      </c>
      <c r="C85" s="181">
        <f t="shared" si="59"/>
        <v>0</v>
      </c>
      <c r="D85" s="181">
        <f t="shared" si="60"/>
        <v>0</v>
      </c>
      <c r="E85" s="22">
        <f t="shared" si="66"/>
        <v>0</v>
      </c>
      <c r="F85" s="160"/>
      <c r="G85" s="187"/>
      <c r="H85" s="160"/>
      <c r="I85" s="160"/>
      <c r="J85" s="160"/>
      <c r="K85" s="160"/>
      <c r="L85" s="75" t="str">
        <f>IFERROR(VLOOKUP(K85,'PAINT LABOR COSTS'!$B$27:$C$58,2,FALSE),"Pick Color")</f>
        <v>Pick Color</v>
      </c>
      <c r="M85" s="160"/>
      <c r="N85" s="278">
        <f t="shared" si="42"/>
        <v>0</v>
      </c>
      <c r="O85" s="147" t="str">
        <f t="shared" si="43"/>
        <v/>
      </c>
      <c r="P85" s="75" t="str">
        <f t="shared" si="61"/>
        <v>YES</v>
      </c>
      <c r="Q85" s="160" t="s">
        <v>419</v>
      </c>
      <c r="R85" s="75" t="str">
        <f t="shared" si="44"/>
        <v>NO</v>
      </c>
      <c r="S85" s="75" t="str">
        <f t="shared" si="45"/>
        <v>NO</v>
      </c>
      <c r="T85" s="160">
        <v>0</v>
      </c>
      <c r="V85" s="31">
        <f t="shared" si="46"/>
        <v>0</v>
      </c>
      <c r="W85" s="277">
        <f t="shared" si="47"/>
        <v>0</v>
      </c>
      <c r="X85" s="277">
        <f t="shared" si="48"/>
        <v>0</v>
      </c>
      <c r="Y85" s="277">
        <f t="shared" si="49"/>
        <v>0</v>
      </c>
      <c r="Z85" s="181">
        <f t="shared" si="50"/>
        <v>0</v>
      </c>
      <c r="AA85" s="104">
        <f t="shared" si="51"/>
        <v>0</v>
      </c>
      <c r="AB85" s="104">
        <f t="shared" si="52"/>
        <v>0</v>
      </c>
      <c r="AC85" s="104">
        <f t="shared" si="53"/>
        <v>0</v>
      </c>
      <c r="AD85" s="104"/>
      <c r="AE85" s="279"/>
      <c r="AF85" s="279">
        <f t="shared" si="54"/>
        <v>0</v>
      </c>
      <c r="AG85" s="104">
        <f t="shared" si="55"/>
        <v>0</v>
      </c>
      <c r="AH85" s="104"/>
      <c r="AI85" s="104">
        <f t="shared" si="56"/>
        <v>0</v>
      </c>
      <c r="AJ85" s="104"/>
      <c r="AK85" s="104">
        <f t="shared" si="62"/>
        <v>0</v>
      </c>
      <c r="AL85" s="181">
        <f t="shared" si="63"/>
        <v>0</v>
      </c>
      <c r="AM85" s="104">
        <f t="shared" si="64"/>
        <v>0</v>
      </c>
      <c r="AN85" s="181">
        <f>IF(V85=0,0,VLOOKUP(K85,'PAINT LABOR COSTS'!$B$27:$N$67,12,0)*V85)*F85</f>
        <v>0</v>
      </c>
      <c r="AO85" s="181">
        <f t="shared" si="65"/>
        <v>0</v>
      </c>
      <c r="AP85" s="104">
        <f t="shared" si="57"/>
        <v>0</v>
      </c>
    </row>
    <row r="86" spans="1:42" ht="15.75">
      <c r="A86" s="2">
        <v>76</v>
      </c>
      <c r="B86" s="181">
        <f t="shared" si="58"/>
        <v>0</v>
      </c>
      <c r="C86" s="181">
        <f t="shared" si="59"/>
        <v>0</v>
      </c>
      <c r="D86" s="181">
        <f t="shared" si="60"/>
        <v>0</v>
      </c>
      <c r="E86" s="22">
        <f t="shared" si="66"/>
        <v>0</v>
      </c>
      <c r="F86" s="160"/>
      <c r="G86" s="187"/>
      <c r="H86" s="160"/>
      <c r="I86" s="160"/>
      <c r="J86" s="160"/>
      <c r="K86" s="160"/>
      <c r="L86" s="75" t="str">
        <f>IFERROR(VLOOKUP(K86,'PAINT LABOR COSTS'!$B$27:$C$58,2,FALSE),"Pick Color")</f>
        <v>Pick Color</v>
      </c>
      <c r="M86" s="160"/>
      <c r="N86" s="278">
        <f t="shared" si="42"/>
        <v>0</v>
      </c>
      <c r="O86" s="147" t="str">
        <f t="shared" si="43"/>
        <v/>
      </c>
      <c r="P86" s="75" t="str">
        <f t="shared" si="61"/>
        <v>YES</v>
      </c>
      <c r="Q86" s="160" t="s">
        <v>419</v>
      </c>
      <c r="R86" s="75" t="str">
        <f t="shared" si="44"/>
        <v>NO</v>
      </c>
      <c r="S86" s="75" t="str">
        <f t="shared" si="45"/>
        <v>NO</v>
      </c>
      <c r="T86" s="160">
        <v>0</v>
      </c>
      <c r="V86" s="31">
        <f t="shared" si="46"/>
        <v>0</v>
      </c>
      <c r="W86" s="277">
        <f t="shared" si="47"/>
        <v>0</v>
      </c>
      <c r="X86" s="277">
        <f t="shared" si="48"/>
        <v>0</v>
      </c>
      <c r="Y86" s="277">
        <f t="shared" si="49"/>
        <v>0</v>
      </c>
      <c r="Z86" s="181">
        <f t="shared" si="50"/>
        <v>0</v>
      </c>
      <c r="AA86" s="104">
        <f t="shared" si="51"/>
        <v>0</v>
      </c>
      <c r="AB86" s="104">
        <f t="shared" si="52"/>
        <v>0</v>
      </c>
      <c r="AC86" s="104">
        <f t="shared" si="53"/>
        <v>0</v>
      </c>
      <c r="AD86" s="104"/>
      <c r="AE86" s="279"/>
      <c r="AF86" s="279">
        <f t="shared" si="54"/>
        <v>0</v>
      </c>
      <c r="AG86" s="104">
        <f t="shared" si="55"/>
        <v>0</v>
      </c>
      <c r="AH86" s="104"/>
      <c r="AI86" s="104">
        <f t="shared" si="56"/>
        <v>0</v>
      </c>
      <c r="AJ86" s="104"/>
      <c r="AK86" s="104">
        <f t="shared" si="62"/>
        <v>0</v>
      </c>
      <c r="AL86" s="181">
        <f t="shared" si="63"/>
        <v>0</v>
      </c>
      <c r="AM86" s="104">
        <f t="shared" si="64"/>
        <v>0</v>
      </c>
      <c r="AN86" s="181">
        <f>IF(V86=0,0,VLOOKUP(K86,'PAINT LABOR COSTS'!$B$27:$N$67,12,0)*V86)*F86</f>
        <v>0</v>
      </c>
      <c r="AO86" s="181">
        <f t="shared" si="65"/>
        <v>0</v>
      </c>
      <c r="AP86" s="104">
        <f t="shared" si="57"/>
        <v>0</v>
      </c>
    </row>
    <row r="87" spans="1:42" ht="15.75">
      <c r="A87" s="2">
        <v>77</v>
      </c>
      <c r="B87" s="181">
        <f t="shared" si="58"/>
        <v>0</v>
      </c>
      <c r="C87" s="181">
        <f t="shared" si="59"/>
        <v>0</v>
      </c>
      <c r="D87" s="181">
        <f t="shared" si="60"/>
        <v>0</v>
      </c>
      <c r="E87" s="22">
        <f t="shared" si="66"/>
        <v>0</v>
      </c>
      <c r="F87" s="160"/>
      <c r="G87" s="187"/>
      <c r="H87" s="160"/>
      <c r="I87" s="160"/>
      <c r="J87" s="160"/>
      <c r="K87" s="160"/>
      <c r="L87" s="75" t="str">
        <f>IFERROR(VLOOKUP(K87,'PAINT LABOR COSTS'!$B$27:$C$58,2,FALSE),"Pick Color")</f>
        <v>Pick Color</v>
      </c>
      <c r="M87" s="160"/>
      <c r="N87" s="278">
        <f t="shared" si="42"/>
        <v>0</v>
      </c>
      <c r="O87" s="147" t="str">
        <f t="shared" si="43"/>
        <v/>
      </c>
      <c r="P87" s="75" t="str">
        <f t="shared" si="61"/>
        <v>YES</v>
      </c>
      <c r="Q87" s="160" t="s">
        <v>419</v>
      </c>
      <c r="R87" s="75" t="str">
        <f t="shared" si="44"/>
        <v>NO</v>
      </c>
      <c r="S87" s="75" t="str">
        <f t="shared" si="45"/>
        <v>NO</v>
      </c>
      <c r="T87" s="160">
        <v>0</v>
      </c>
      <c r="V87" s="31">
        <f t="shared" si="46"/>
        <v>0</v>
      </c>
      <c r="W87" s="277">
        <f t="shared" si="47"/>
        <v>0</v>
      </c>
      <c r="X87" s="277">
        <f t="shared" si="48"/>
        <v>0</v>
      </c>
      <c r="Y87" s="277">
        <f t="shared" si="49"/>
        <v>0</v>
      </c>
      <c r="Z87" s="181">
        <f t="shared" si="50"/>
        <v>0</v>
      </c>
      <c r="AA87" s="104">
        <f t="shared" si="51"/>
        <v>0</v>
      </c>
      <c r="AB87" s="104">
        <f t="shared" si="52"/>
        <v>0</v>
      </c>
      <c r="AC87" s="104">
        <f t="shared" si="53"/>
        <v>0</v>
      </c>
      <c r="AD87" s="104"/>
      <c r="AE87" s="279"/>
      <c r="AF87" s="279">
        <f t="shared" si="54"/>
        <v>0</v>
      </c>
      <c r="AG87" s="104">
        <f t="shared" si="55"/>
        <v>0</v>
      </c>
      <c r="AH87" s="104"/>
      <c r="AI87" s="104">
        <f t="shared" si="56"/>
        <v>0</v>
      </c>
      <c r="AJ87" s="104"/>
      <c r="AK87" s="104">
        <f t="shared" si="62"/>
        <v>0</v>
      </c>
      <c r="AL87" s="181">
        <f t="shared" si="63"/>
        <v>0</v>
      </c>
      <c r="AM87" s="104">
        <f t="shared" si="64"/>
        <v>0</v>
      </c>
      <c r="AN87" s="181">
        <f>IF(V87=0,0,VLOOKUP(K87,'PAINT LABOR COSTS'!$B$27:$N$67,12,0)*V87)*F87</f>
        <v>0</v>
      </c>
      <c r="AO87" s="181">
        <f t="shared" si="65"/>
        <v>0</v>
      </c>
      <c r="AP87" s="104">
        <f t="shared" si="57"/>
        <v>0</v>
      </c>
    </row>
    <row r="88" spans="1:42" ht="15.75">
      <c r="A88" s="2">
        <v>78</v>
      </c>
      <c r="B88" s="181">
        <f t="shared" si="58"/>
        <v>0</v>
      </c>
      <c r="C88" s="181">
        <f t="shared" si="59"/>
        <v>0</v>
      </c>
      <c r="D88" s="181">
        <f t="shared" si="60"/>
        <v>0</v>
      </c>
      <c r="E88" s="22">
        <f t="shared" si="66"/>
        <v>0</v>
      </c>
      <c r="F88" s="160"/>
      <c r="G88" s="187"/>
      <c r="H88" s="160"/>
      <c r="I88" s="160"/>
      <c r="J88" s="160"/>
      <c r="K88" s="160"/>
      <c r="L88" s="75" t="str">
        <f>IFERROR(VLOOKUP(K88,'PAINT LABOR COSTS'!$B$27:$C$58,2,FALSE),"Pick Color")</f>
        <v>Pick Color</v>
      </c>
      <c r="M88" s="160"/>
      <c r="N88" s="278">
        <f t="shared" si="42"/>
        <v>0</v>
      </c>
      <c r="O88" s="147" t="str">
        <f t="shared" si="43"/>
        <v/>
      </c>
      <c r="P88" s="75" t="str">
        <f t="shared" si="61"/>
        <v>YES</v>
      </c>
      <c r="Q88" s="160" t="s">
        <v>419</v>
      </c>
      <c r="R88" s="75" t="str">
        <f t="shared" si="44"/>
        <v>NO</v>
      </c>
      <c r="S88" s="75" t="str">
        <f t="shared" si="45"/>
        <v>NO</v>
      </c>
      <c r="T88" s="160">
        <v>0</v>
      </c>
      <c r="V88" s="31">
        <f t="shared" si="46"/>
        <v>0</v>
      </c>
      <c r="W88" s="277">
        <f t="shared" si="47"/>
        <v>0</v>
      </c>
      <c r="X88" s="277">
        <f t="shared" si="48"/>
        <v>0</v>
      </c>
      <c r="Y88" s="277">
        <f t="shared" si="49"/>
        <v>0</v>
      </c>
      <c r="Z88" s="181">
        <f t="shared" si="50"/>
        <v>0</v>
      </c>
      <c r="AA88" s="104">
        <f t="shared" si="51"/>
        <v>0</v>
      </c>
      <c r="AB88" s="104">
        <f t="shared" si="52"/>
        <v>0</v>
      </c>
      <c r="AC88" s="104">
        <f t="shared" si="53"/>
        <v>0</v>
      </c>
      <c r="AD88" s="104"/>
      <c r="AE88" s="279"/>
      <c r="AF88" s="279">
        <f t="shared" si="54"/>
        <v>0</v>
      </c>
      <c r="AG88" s="104">
        <f t="shared" si="55"/>
        <v>0</v>
      </c>
      <c r="AH88" s="104"/>
      <c r="AI88" s="104">
        <f t="shared" si="56"/>
        <v>0</v>
      </c>
      <c r="AJ88" s="104"/>
      <c r="AK88" s="104">
        <f t="shared" si="62"/>
        <v>0</v>
      </c>
      <c r="AL88" s="181">
        <f t="shared" si="63"/>
        <v>0</v>
      </c>
      <c r="AM88" s="104">
        <f t="shared" si="64"/>
        <v>0</v>
      </c>
      <c r="AN88" s="181">
        <f>IF(V88=0,0,VLOOKUP(K88,'PAINT LABOR COSTS'!$B$27:$N$67,12,0)*V88)*F88</f>
        <v>0</v>
      </c>
      <c r="AO88" s="181">
        <f t="shared" si="65"/>
        <v>0</v>
      </c>
      <c r="AP88" s="104">
        <f t="shared" si="57"/>
        <v>0</v>
      </c>
    </row>
    <row r="89" spans="1:42" ht="15.75">
      <c r="A89" s="2">
        <v>79</v>
      </c>
      <c r="B89" s="181">
        <f t="shared" si="58"/>
        <v>0</v>
      </c>
      <c r="C89" s="181">
        <f t="shared" si="59"/>
        <v>0</v>
      </c>
      <c r="D89" s="181">
        <f t="shared" si="60"/>
        <v>0</v>
      </c>
      <c r="E89" s="22">
        <f t="shared" si="66"/>
        <v>0</v>
      </c>
      <c r="F89" s="160"/>
      <c r="G89" s="187"/>
      <c r="H89" s="160"/>
      <c r="I89" s="160"/>
      <c r="J89" s="160"/>
      <c r="K89" s="160"/>
      <c r="L89" s="75" t="str">
        <f>IFERROR(VLOOKUP(K89,'PAINT LABOR COSTS'!$B$27:$C$58,2,FALSE),"Pick Color")</f>
        <v>Pick Color</v>
      </c>
      <c r="M89" s="160"/>
      <c r="N89" s="278">
        <f t="shared" si="42"/>
        <v>0</v>
      </c>
      <c r="O89" s="147" t="str">
        <f t="shared" si="43"/>
        <v/>
      </c>
      <c r="P89" s="75" t="str">
        <f t="shared" si="61"/>
        <v>YES</v>
      </c>
      <c r="Q89" s="160" t="s">
        <v>419</v>
      </c>
      <c r="R89" s="75" t="str">
        <f t="shared" si="44"/>
        <v>NO</v>
      </c>
      <c r="S89" s="75" t="str">
        <f t="shared" si="45"/>
        <v>NO</v>
      </c>
      <c r="T89" s="160">
        <v>0</v>
      </c>
      <c r="V89" s="31">
        <f t="shared" si="46"/>
        <v>0</v>
      </c>
      <c r="W89" s="277">
        <f t="shared" si="47"/>
        <v>0</v>
      </c>
      <c r="X89" s="277">
        <f t="shared" si="48"/>
        <v>0</v>
      </c>
      <c r="Y89" s="277">
        <f t="shared" si="49"/>
        <v>0</v>
      </c>
      <c r="Z89" s="181">
        <f t="shared" si="50"/>
        <v>0</v>
      </c>
      <c r="AA89" s="104">
        <f t="shared" si="51"/>
        <v>0</v>
      </c>
      <c r="AB89" s="104">
        <f t="shared" si="52"/>
        <v>0</v>
      </c>
      <c r="AC89" s="104">
        <f t="shared" si="53"/>
        <v>0</v>
      </c>
      <c r="AD89" s="104"/>
      <c r="AE89" s="279"/>
      <c r="AF89" s="279">
        <f t="shared" si="54"/>
        <v>0</v>
      </c>
      <c r="AG89" s="104">
        <f t="shared" si="55"/>
        <v>0</v>
      </c>
      <c r="AH89" s="104"/>
      <c r="AI89" s="104">
        <f t="shared" si="56"/>
        <v>0</v>
      </c>
      <c r="AJ89" s="104"/>
      <c r="AK89" s="104">
        <f t="shared" si="62"/>
        <v>0</v>
      </c>
      <c r="AL89" s="181">
        <f t="shared" si="63"/>
        <v>0</v>
      </c>
      <c r="AM89" s="104">
        <f t="shared" si="64"/>
        <v>0</v>
      </c>
      <c r="AN89" s="181">
        <f>IF(V89=0,0,VLOOKUP(K89,'PAINT LABOR COSTS'!$B$27:$N$67,12,0)*V89)*F89</f>
        <v>0</v>
      </c>
      <c r="AO89" s="181">
        <f t="shared" si="65"/>
        <v>0</v>
      </c>
      <c r="AP89" s="104">
        <f t="shared" si="57"/>
        <v>0</v>
      </c>
    </row>
    <row r="90" spans="1:42" ht="15.75">
      <c r="A90" s="2">
        <v>80</v>
      </c>
      <c r="B90" s="181">
        <f t="shared" si="58"/>
        <v>0</v>
      </c>
      <c r="C90" s="181">
        <f t="shared" si="59"/>
        <v>0</v>
      </c>
      <c r="D90" s="181">
        <f t="shared" si="60"/>
        <v>0</v>
      </c>
      <c r="E90" s="22">
        <f t="shared" si="66"/>
        <v>0</v>
      </c>
      <c r="F90" s="160"/>
      <c r="G90" s="187"/>
      <c r="H90" s="160"/>
      <c r="I90" s="160"/>
      <c r="J90" s="160"/>
      <c r="K90" s="160"/>
      <c r="L90" s="75" t="str">
        <f>IFERROR(VLOOKUP(K90,'PAINT LABOR COSTS'!$B$27:$C$58,2,FALSE),"Pick Color")</f>
        <v>Pick Color</v>
      </c>
      <c r="M90" s="160"/>
      <c r="N90" s="278">
        <f t="shared" si="42"/>
        <v>0</v>
      </c>
      <c r="O90" s="147" t="str">
        <f t="shared" si="43"/>
        <v/>
      </c>
      <c r="P90" s="75" t="str">
        <f t="shared" si="61"/>
        <v>YES</v>
      </c>
      <c r="Q90" s="160" t="s">
        <v>419</v>
      </c>
      <c r="R90" s="75" t="str">
        <f t="shared" si="44"/>
        <v>NO</v>
      </c>
      <c r="S90" s="75" t="str">
        <f t="shared" si="45"/>
        <v>NO</v>
      </c>
      <c r="T90" s="160">
        <v>0</v>
      </c>
      <c r="V90" s="31">
        <f t="shared" si="46"/>
        <v>0</v>
      </c>
      <c r="W90" s="277">
        <f t="shared" si="47"/>
        <v>0</v>
      </c>
      <c r="X90" s="277">
        <f t="shared" si="48"/>
        <v>0</v>
      </c>
      <c r="Y90" s="277">
        <f t="shared" si="49"/>
        <v>0</v>
      </c>
      <c r="Z90" s="181">
        <f t="shared" si="50"/>
        <v>0</v>
      </c>
      <c r="AA90" s="104">
        <f t="shared" si="51"/>
        <v>0</v>
      </c>
      <c r="AB90" s="104">
        <f t="shared" si="52"/>
        <v>0</v>
      </c>
      <c r="AC90" s="104">
        <f t="shared" si="53"/>
        <v>0</v>
      </c>
      <c r="AD90" s="104"/>
      <c r="AE90" s="279"/>
      <c r="AF90" s="279">
        <f t="shared" si="54"/>
        <v>0</v>
      </c>
      <c r="AG90" s="104">
        <f t="shared" si="55"/>
        <v>0</v>
      </c>
      <c r="AH90" s="104"/>
      <c r="AI90" s="104">
        <f t="shared" si="56"/>
        <v>0</v>
      </c>
      <c r="AJ90" s="104"/>
      <c r="AK90" s="104">
        <f t="shared" si="62"/>
        <v>0</v>
      </c>
      <c r="AL90" s="181">
        <f t="shared" si="63"/>
        <v>0</v>
      </c>
      <c r="AM90" s="104">
        <f t="shared" si="64"/>
        <v>0</v>
      </c>
      <c r="AN90" s="181">
        <f>IF(V90=0,0,VLOOKUP(K90,'PAINT LABOR COSTS'!$B$27:$N$67,12,0)*V90)*F90</f>
        <v>0</v>
      </c>
      <c r="AO90" s="181">
        <f t="shared" si="65"/>
        <v>0</v>
      </c>
      <c r="AP90" s="104">
        <f t="shared" si="57"/>
        <v>0</v>
      </c>
    </row>
    <row r="91" spans="1:42" ht="15.75">
      <c r="A91" s="2">
        <v>81</v>
      </c>
      <c r="B91" s="181">
        <f t="shared" si="58"/>
        <v>0</v>
      </c>
      <c r="C91" s="181">
        <f t="shared" si="59"/>
        <v>0</v>
      </c>
      <c r="D91" s="181">
        <f t="shared" si="60"/>
        <v>0</v>
      </c>
      <c r="E91" s="22">
        <f t="shared" si="66"/>
        <v>0</v>
      </c>
      <c r="F91" s="160"/>
      <c r="G91" s="187"/>
      <c r="H91" s="160"/>
      <c r="I91" s="160"/>
      <c r="J91" s="160"/>
      <c r="K91" s="160"/>
      <c r="L91" s="75" t="str">
        <f>IFERROR(VLOOKUP(K91,'PAINT LABOR COSTS'!$B$27:$C$58,2,FALSE),"Pick Color")</f>
        <v>Pick Color</v>
      </c>
      <c r="M91" s="160"/>
      <c r="N91" s="278">
        <f t="shared" si="42"/>
        <v>0</v>
      </c>
      <c r="O91" s="147" t="str">
        <f t="shared" si="43"/>
        <v/>
      </c>
      <c r="P91" s="75" t="str">
        <f t="shared" si="61"/>
        <v>YES</v>
      </c>
      <c r="Q91" s="160" t="s">
        <v>419</v>
      </c>
      <c r="R91" s="75" t="str">
        <f t="shared" si="44"/>
        <v>NO</v>
      </c>
      <c r="S91" s="75" t="str">
        <f t="shared" si="45"/>
        <v>NO</v>
      </c>
      <c r="T91" s="160">
        <v>0</v>
      </c>
      <c r="V91" s="31">
        <f t="shared" si="46"/>
        <v>0</v>
      </c>
      <c r="W91" s="277">
        <f t="shared" si="47"/>
        <v>0</v>
      </c>
      <c r="X91" s="277">
        <f t="shared" si="48"/>
        <v>0</v>
      </c>
      <c r="Y91" s="277">
        <f t="shared" si="49"/>
        <v>0</v>
      </c>
      <c r="Z91" s="181">
        <f t="shared" si="50"/>
        <v>0</v>
      </c>
      <c r="AA91" s="104">
        <f t="shared" si="51"/>
        <v>0</v>
      </c>
      <c r="AB91" s="104">
        <f t="shared" si="52"/>
        <v>0</v>
      </c>
      <c r="AC91" s="104">
        <f t="shared" si="53"/>
        <v>0</v>
      </c>
      <c r="AD91" s="104"/>
      <c r="AE91" s="279"/>
      <c r="AF91" s="279">
        <f t="shared" si="54"/>
        <v>0</v>
      </c>
      <c r="AG91" s="104">
        <f t="shared" si="55"/>
        <v>0</v>
      </c>
      <c r="AH91" s="104"/>
      <c r="AI91" s="104">
        <f t="shared" si="56"/>
        <v>0</v>
      </c>
      <c r="AJ91" s="104"/>
      <c r="AK91" s="104">
        <f t="shared" si="62"/>
        <v>0</v>
      </c>
      <c r="AL91" s="181">
        <f t="shared" si="63"/>
        <v>0</v>
      </c>
      <c r="AM91" s="104">
        <f t="shared" si="64"/>
        <v>0</v>
      </c>
      <c r="AN91" s="181">
        <f>IF(V91=0,0,VLOOKUP(K91,'PAINT LABOR COSTS'!$B$27:$N$67,12,0)*V91)*F91</f>
        <v>0</v>
      </c>
      <c r="AO91" s="181">
        <f t="shared" si="65"/>
        <v>0</v>
      </c>
      <c r="AP91" s="104">
        <f t="shared" si="57"/>
        <v>0</v>
      </c>
    </row>
    <row r="92" spans="1:42" ht="15.75">
      <c r="A92" s="2">
        <v>82</v>
      </c>
      <c r="B92" s="181">
        <f t="shared" si="58"/>
        <v>0</v>
      </c>
      <c r="C92" s="181">
        <f t="shared" si="59"/>
        <v>0</v>
      </c>
      <c r="D92" s="181">
        <f t="shared" si="60"/>
        <v>0</v>
      </c>
      <c r="E92" s="22">
        <f t="shared" si="66"/>
        <v>0</v>
      </c>
      <c r="F92" s="160"/>
      <c r="G92" s="187"/>
      <c r="H92" s="160"/>
      <c r="I92" s="160"/>
      <c r="J92" s="160"/>
      <c r="K92" s="160"/>
      <c r="L92" s="75" t="str">
        <f>IFERROR(VLOOKUP(K92,'PAINT LABOR COSTS'!$B$27:$C$58,2,FALSE),"Pick Color")</f>
        <v>Pick Color</v>
      </c>
      <c r="M92" s="160"/>
      <c r="N92" s="278">
        <f t="shared" si="42"/>
        <v>0</v>
      </c>
      <c r="O92" s="147" t="str">
        <f t="shared" si="43"/>
        <v/>
      </c>
      <c r="P92" s="75" t="str">
        <f t="shared" si="61"/>
        <v>YES</v>
      </c>
      <c r="Q92" s="160" t="s">
        <v>419</v>
      </c>
      <c r="R92" s="75" t="str">
        <f t="shared" si="44"/>
        <v>NO</v>
      </c>
      <c r="S92" s="75" t="str">
        <f t="shared" si="45"/>
        <v>NO</v>
      </c>
      <c r="T92" s="160">
        <v>0</v>
      </c>
      <c r="V92" s="31">
        <f t="shared" si="46"/>
        <v>0</v>
      </c>
      <c r="W92" s="277">
        <f t="shared" si="47"/>
        <v>0</v>
      </c>
      <c r="X92" s="277">
        <f t="shared" si="48"/>
        <v>0</v>
      </c>
      <c r="Y92" s="277">
        <f t="shared" si="49"/>
        <v>0</v>
      </c>
      <c r="Z92" s="181">
        <f t="shared" si="50"/>
        <v>0</v>
      </c>
      <c r="AA92" s="104">
        <f t="shared" si="51"/>
        <v>0</v>
      </c>
      <c r="AB92" s="104">
        <f t="shared" si="52"/>
        <v>0</v>
      </c>
      <c r="AC92" s="104">
        <f t="shared" si="53"/>
        <v>0</v>
      </c>
      <c r="AD92" s="104"/>
      <c r="AE92" s="279"/>
      <c r="AF92" s="279">
        <f t="shared" si="54"/>
        <v>0</v>
      </c>
      <c r="AG92" s="104">
        <f t="shared" si="55"/>
        <v>0</v>
      </c>
      <c r="AH92" s="104"/>
      <c r="AI92" s="104">
        <f t="shared" si="56"/>
        <v>0</v>
      </c>
      <c r="AJ92" s="104"/>
      <c r="AK92" s="104">
        <f t="shared" si="62"/>
        <v>0</v>
      </c>
      <c r="AL92" s="181">
        <f t="shared" si="63"/>
        <v>0</v>
      </c>
      <c r="AM92" s="104">
        <f t="shared" si="64"/>
        <v>0</v>
      </c>
      <c r="AN92" s="181">
        <f>IF(V92=0,0,VLOOKUP(K92,'PAINT LABOR COSTS'!$B$27:$N$67,12,0)*V92)*F92</f>
        <v>0</v>
      </c>
      <c r="AO92" s="181">
        <f t="shared" si="65"/>
        <v>0</v>
      </c>
      <c r="AP92" s="104">
        <f t="shared" si="57"/>
        <v>0</v>
      </c>
    </row>
    <row r="93" spans="1:42" ht="15.75">
      <c r="A93" s="2">
        <v>83</v>
      </c>
      <c r="B93" s="181">
        <f t="shared" si="58"/>
        <v>0</v>
      </c>
      <c r="C93" s="181">
        <f t="shared" si="59"/>
        <v>0</v>
      </c>
      <c r="D93" s="181">
        <f t="shared" si="60"/>
        <v>0</v>
      </c>
      <c r="E93" s="22">
        <f t="shared" si="66"/>
        <v>0</v>
      </c>
      <c r="F93" s="160"/>
      <c r="G93" s="187"/>
      <c r="H93" s="160"/>
      <c r="I93" s="160"/>
      <c r="J93" s="160"/>
      <c r="K93" s="160"/>
      <c r="L93" s="75" t="str">
        <f>IFERROR(VLOOKUP(K93,'PAINT LABOR COSTS'!$B$27:$C$58,2,FALSE),"Pick Color")</f>
        <v>Pick Color</v>
      </c>
      <c r="M93" s="160"/>
      <c r="N93" s="278">
        <f t="shared" si="42"/>
        <v>0</v>
      </c>
      <c r="O93" s="147" t="str">
        <f t="shared" si="43"/>
        <v/>
      </c>
      <c r="P93" s="75" t="str">
        <f t="shared" si="61"/>
        <v>YES</v>
      </c>
      <c r="Q93" s="160" t="s">
        <v>419</v>
      </c>
      <c r="R93" s="75" t="str">
        <f t="shared" si="44"/>
        <v>NO</v>
      </c>
      <c r="S93" s="75" t="str">
        <f t="shared" si="45"/>
        <v>NO</v>
      </c>
      <c r="T93" s="160">
        <v>0</v>
      </c>
      <c r="V93" s="31">
        <f t="shared" si="46"/>
        <v>0</v>
      </c>
      <c r="W93" s="277">
        <f t="shared" si="47"/>
        <v>0</v>
      </c>
      <c r="X93" s="277">
        <f t="shared" si="48"/>
        <v>0</v>
      </c>
      <c r="Y93" s="277">
        <f t="shared" si="49"/>
        <v>0</v>
      </c>
      <c r="Z93" s="181">
        <f t="shared" si="50"/>
        <v>0</v>
      </c>
      <c r="AA93" s="104">
        <f t="shared" si="51"/>
        <v>0</v>
      </c>
      <c r="AB93" s="104">
        <f t="shared" si="52"/>
        <v>0</v>
      </c>
      <c r="AC93" s="104">
        <f t="shared" si="53"/>
        <v>0</v>
      </c>
      <c r="AD93" s="104"/>
      <c r="AE93" s="279"/>
      <c r="AF93" s="279">
        <f t="shared" si="54"/>
        <v>0</v>
      </c>
      <c r="AG93" s="104">
        <f t="shared" si="55"/>
        <v>0</v>
      </c>
      <c r="AH93" s="104"/>
      <c r="AI93" s="104">
        <f t="shared" si="56"/>
        <v>0</v>
      </c>
      <c r="AJ93" s="104"/>
      <c r="AK93" s="104">
        <f t="shared" si="62"/>
        <v>0</v>
      </c>
      <c r="AL93" s="181">
        <f t="shared" si="63"/>
        <v>0</v>
      </c>
      <c r="AM93" s="104">
        <f t="shared" si="64"/>
        <v>0</v>
      </c>
      <c r="AN93" s="181">
        <f>IF(V93=0,0,VLOOKUP(K93,'PAINT LABOR COSTS'!$B$27:$N$67,12,0)*V93)*F93</f>
        <v>0</v>
      </c>
      <c r="AO93" s="181">
        <f t="shared" si="65"/>
        <v>0</v>
      </c>
      <c r="AP93" s="104">
        <f t="shared" si="57"/>
        <v>0</v>
      </c>
    </row>
    <row r="94" spans="1:42" ht="15.75">
      <c r="A94" s="2">
        <v>84</v>
      </c>
      <c r="B94" s="181">
        <f t="shared" si="58"/>
        <v>0</v>
      </c>
      <c r="C94" s="181">
        <f t="shared" si="59"/>
        <v>0</v>
      </c>
      <c r="D94" s="181">
        <f t="shared" si="60"/>
        <v>0</v>
      </c>
      <c r="E94" s="22">
        <f t="shared" si="66"/>
        <v>0</v>
      </c>
      <c r="F94" s="160"/>
      <c r="G94" s="187"/>
      <c r="H94" s="160"/>
      <c r="I94" s="160"/>
      <c r="J94" s="160"/>
      <c r="K94" s="160"/>
      <c r="L94" s="75" t="str">
        <f>IFERROR(VLOOKUP(K94,'PAINT LABOR COSTS'!$B$27:$C$58,2,FALSE),"Pick Color")</f>
        <v>Pick Color</v>
      </c>
      <c r="M94" s="160"/>
      <c r="N94" s="278">
        <f t="shared" si="42"/>
        <v>0</v>
      </c>
      <c r="O94" s="147" t="str">
        <f t="shared" si="43"/>
        <v/>
      </c>
      <c r="P94" s="75" t="str">
        <f t="shared" si="61"/>
        <v>YES</v>
      </c>
      <c r="Q94" s="160" t="s">
        <v>419</v>
      </c>
      <c r="R94" s="75" t="str">
        <f t="shared" si="44"/>
        <v>NO</v>
      </c>
      <c r="S94" s="75" t="str">
        <f t="shared" si="45"/>
        <v>NO</v>
      </c>
      <c r="T94" s="160">
        <v>0</v>
      </c>
      <c r="V94" s="31">
        <f t="shared" si="46"/>
        <v>0</v>
      </c>
      <c r="W94" s="277">
        <f t="shared" si="47"/>
        <v>0</v>
      </c>
      <c r="X94" s="277">
        <f t="shared" si="48"/>
        <v>0</v>
      </c>
      <c r="Y94" s="277">
        <f t="shared" si="49"/>
        <v>0</v>
      </c>
      <c r="Z94" s="181">
        <f t="shared" si="50"/>
        <v>0</v>
      </c>
      <c r="AA94" s="104">
        <f t="shared" si="51"/>
        <v>0</v>
      </c>
      <c r="AB94" s="104">
        <f t="shared" si="52"/>
        <v>0</v>
      </c>
      <c r="AC94" s="104">
        <f t="shared" si="53"/>
        <v>0</v>
      </c>
      <c r="AD94" s="104"/>
      <c r="AE94" s="279"/>
      <c r="AF94" s="279">
        <f t="shared" si="54"/>
        <v>0</v>
      </c>
      <c r="AG94" s="104">
        <f t="shared" si="55"/>
        <v>0</v>
      </c>
      <c r="AH94" s="104"/>
      <c r="AI94" s="104">
        <f t="shared" si="56"/>
        <v>0</v>
      </c>
      <c r="AJ94" s="104"/>
      <c r="AK94" s="104">
        <f t="shared" si="62"/>
        <v>0</v>
      </c>
      <c r="AL94" s="181">
        <f t="shared" si="63"/>
        <v>0</v>
      </c>
      <c r="AM94" s="104">
        <f t="shared" si="64"/>
        <v>0</v>
      </c>
      <c r="AN94" s="181">
        <f>IF(V94=0,0,VLOOKUP(K94,'PAINT LABOR COSTS'!$B$27:$N$67,12,0)*V94)*F94</f>
        <v>0</v>
      </c>
      <c r="AO94" s="181">
        <f t="shared" si="65"/>
        <v>0</v>
      </c>
      <c r="AP94" s="104">
        <f t="shared" si="57"/>
        <v>0</v>
      </c>
    </row>
    <row r="95" spans="1:42" ht="15.75">
      <c r="A95" s="2">
        <v>85</v>
      </c>
      <c r="B95" s="181">
        <f t="shared" si="58"/>
        <v>0</v>
      </c>
      <c r="C95" s="181">
        <f t="shared" si="59"/>
        <v>0</v>
      </c>
      <c r="D95" s="181">
        <f t="shared" si="60"/>
        <v>0</v>
      </c>
      <c r="E95" s="22">
        <f t="shared" si="66"/>
        <v>0</v>
      </c>
      <c r="F95" s="160"/>
      <c r="G95" s="187"/>
      <c r="H95" s="160"/>
      <c r="I95" s="160"/>
      <c r="J95" s="160"/>
      <c r="K95" s="160"/>
      <c r="L95" s="75" t="str">
        <f>IFERROR(VLOOKUP(K95,'PAINT LABOR COSTS'!$B$27:$C$58,2,FALSE),"Pick Color")</f>
        <v>Pick Color</v>
      </c>
      <c r="M95" s="160"/>
      <c r="N95" s="278">
        <f t="shared" si="42"/>
        <v>0</v>
      </c>
      <c r="O95" s="147" t="str">
        <f t="shared" si="43"/>
        <v/>
      </c>
      <c r="P95" s="75" t="str">
        <f t="shared" si="61"/>
        <v>YES</v>
      </c>
      <c r="Q95" s="160" t="s">
        <v>419</v>
      </c>
      <c r="R95" s="75" t="str">
        <f t="shared" si="44"/>
        <v>NO</v>
      </c>
      <c r="S95" s="75" t="str">
        <f t="shared" si="45"/>
        <v>NO</v>
      </c>
      <c r="T95" s="160">
        <v>0</v>
      </c>
      <c r="V95" s="31">
        <f t="shared" si="46"/>
        <v>0</v>
      </c>
      <c r="W95" s="277">
        <f t="shared" si="47"/>
        <v>0</v>
      </c>
      <c r="X95" s="277">
        <f t="shared" si="48"/>
        <v>0</v>
      </c>
      <c r="Y95" s="277">
        <f t="shared" si="49"/>
        <v>0</v>
      </c>
      <c r="Z95" s="181">
        <f t="shared" si="50"/>
        <v>0</v>
      </c>
      <c r="AA95" s="104">
        <f t="shared" si="51"/>
        <v>0</v>
      </c>
      <c r="AB95" s="104">
        <f t="shared" si="52"/>
        <v>0</v>
      </c>
      <c r="AC95" s="104">
        <f t="shared" si="53"/>
        <v>0</v>
      </c>
      <c r="AD95" s="104"/>
      <c r="AE95" s="279"/>
      <c r="AF95" s="279">
        <f t="shared" si="54"/>
        <v>0</v>
      </c>
      <c r="AG95" s="104">
        <f t="shared" si="55"/>
        <v>0</v>
      </c>
      <c r="AH95" s="104"/>
      <c r="AI95" s="104">
        <f t="shared" si="56"/>
        <v>0</v>
      </c>
      <c r="AJ95" s="104"/>
      <c r="AK95" s="104">
        <f t="shared" si="62"/>
        <v>0</v>
      </c>
      <c r="AL95" s="181">
        <f t="shared" si="63"/>
        <v>0</v>
      </c>
      <c r="AM95" s="104">
        <f t="shared" si="64"/>
        <v>0</v>
      </c>
      <c r="AN95" s="181">
        <f>IF(V95=0,0,VLOOKUP(K95,'PAINT LABOR COSTS'!$B$27:$N$67,12,0)*V95)*F95</f>
        <v>0</v>
      </c>
      <c r="AO95" s="181">
        <f t="shared" si="65"/>
        <v>0</v>
      </c>
      <c r="AP95" s="104">
        <f t="shared" si="57"/>
        <v>0</v>
      </c>
    </row>
    <row r="96" spans="1:42" ht="15.75">
      <c r="A96" s="2">
        <v>86</v>
      </c>
      <c r="B96" s="181">
        <f t="shared" si="58"/>
        <v>0</v>
      </c>
      <c r="C96" s="181">
        <f t="shared" si="59"/>
        <v>0</v>
      </c>
      <c r="D96" s="181">
        <f t="shared" si="60"/>
        <v>0</v>
      </c>
      <c r="E96" s="22">
        <f t="shared" si="66"/>
        <v>0</v>
      </c>
      <c r="F96" s="160"/>
      <c r="G96" s="187"/>
      <c r="H96" s="160"/>
      <c r="I96" s="160"/>
      <c r="J96" s="160"/>
      <c r="K96" s="160"/>
      <c r="L96" s="75" t="str">
        <f>IFERROR(VLOOKUP(K96,'PAINT LABOR COSTS'!$B$27:$C$58,2,FALSE),"Pick Color")</f>
        <v>Pick Color</v>
      </c>
      <c r="M96" s="160"/>
      <c r="N96" s="278">
        <f t="shared" si="42"/>
        <v>0</v>
      </c>
      <c r="O96" s="147" t="str">
        <f t="shared" si="43"/>
        <v/>
      </c>
      <c r="P96" s="75" t="str">
        <f t="shared" si="61"/>
        <v>YES</v>
      </c>
      <c r="Q96" s="160" t="s">
        <v>419</v>
      </c>
      <c r="R96" s="75" t="str">
        <f t="shared" si="44"/>
        <v>NO</v>
      </c>
      <c r="S96" s="75" t="str">
        <f t="shared" si="45"/>
        <v>NO</v>
      </c>
      <c r="T96" s="160">
        <v>0</v>
      </c>
      <c r="V96" s="31">
        <f t="shared" si="46"/>
        <v>0</v>
      </c>
      <c r="W96" s="277">
        <f t="shared" si="47"/>
        <v>0</v>
      </c>
      <c r="X96" s="277">
        <f t="shared" si="48"/>
        <v>0</v>
      </c>
      <c r="Y96" s="277">
        <f t="shared" si="49"/>
        <v>0</v>
      </c>
      <c r="Z96" s="181">
        <f t="shared" si="50"/>
        <v>0</v>
      </c>
      <c r="AA96" s="104">
        <f t="shared" si="51"/>
        <v>0</v>
      </c>
      <c r="AB96" s="104">
        <f t="shared" si="52"/>
        <v>0</v>
      </c>
      <c r="AC96" s="104">
        <f t="shared" si="53"/>
        <v>0</v>
      </c>
      <c r="AD96" s="104"/>
      <c r="AE96" s="279"/>
      <c r="AF96" s="279">
        <f t="shared" si="54"/>
        <v>0</v>
      </c>
      <c r="AG96" s="104">
        <f t="shared" si="55"/>
        <v>0</v>
      </c>
      <c r="AH96" s="104"/>
      <c r="AI96" s="104">
        <f t="shared" si="56"/>
        <v>0</v>
      </c>
      <c r="AJ96" s="104"/>
      <c r="AK96" s="104">
        <f t="shared" si="62"/>
        <v>0</v>
      </c>
      <c r="AL96" s="181">
        <f t="shared" si="63"/>
        <v>0</v>
      </c>
      <c r="AM96" s="104">
        <f t="shared" si="64"/>
        <v>0</v>
      </c>
      <c r="AN96" s="181">
        <f>IF(V96=0,0,VLOOKUP(K96,'PAINT LABOR COSTS'!$B$27:$N$67,12,0)*V96)*F96</f>
        <v>0</v>
      </c>
      <c r="AO96" s="181">
        <f t="shared" si="65"/>
        <v>0</v>
      </c>
      <c r="AP96" s="104">
        <f t="shared" si="57"/>
        <v>0</v>
      </c>
    </row>
    <row r="97" spans="1:42" ht="15.75">
      <c r="A97" s="2">
        <v>87</v>
      </c>
      <c r="B97" s="181">
        <f t="shared" si="58"/>
        <v>0</v>
      </c>
      <c r="C97" s="181">
        <f t="shared" si="59"/>
        <v>0</v>
      </c>
      <c r="D97" s="181">
        <f t="shared" si="60"/>
        <v>0</v>
      </c>
      <c r="E97" s="22">
        <f t="shared" si="66"/>
        <v>0</v>
      </c>
      <c r="F97" s="160"/>
      <c r="G97" s="187"/>
      <c r="H97" s="160"/>
      <c r="I97" s="160"/>
      <c r="J97" s="160"/>
      <c r="K97" s="160"/>
      <c r="L97" s="75" t="str">
        <f>IFERROR(VLOOKUP(K97,'PAINT LABOR COSTS'!$B$27:$C$58,2,FALSE),"Pick Color")</f>
        <v>Pick Color</v>
      </c>
      <c r="M97" s="160"/>
      <c r="N97" s="278">
        <f t="shared" si="42"/>
        <v>0</v>
      </c>
      <c r="O97" s="147" t="str">
        <f t="shared" si="43"/>
        <v/>
      </c>
      <c r="P97" s="75" t="str">
        <f t="shared" si="61"/>
        <v>YES</v>
      </c>
      <c r="Q97" s="160" t="s">
        <v>419</v>
      </c>
      <c r="R97" s="75" t="str">
        <f t="shared" si="44"/>
        <v>NO</v>
      </c>
      <c r="S97" s="75" t="str">
        <f t="shared" si="45"/>
        <v>NO</v>
      </c>
      <c r="T97" s="160">
        <v>0</v>
      </c>
      <c r="V97" s="31">
        <f t="shared" si="46"/>
        <v>0</v>
      </c>
      <c r="W97" s="277">
        <f t="shared" si="47"/>
        <v>0</v>
      </c>
      <c r="X97" s="277">
        <f t="shared" si="48"/>
        <v>0</v>
      </c>
      <c r="Y97" s="277">
        <f t="shared" si="49"/>
        <v>0</v>
      </c>
      <c r="Z97" s="181">
        <f t="shared" si="50"/>
        <v>0</v>
      </c>
      <c r="AA97" s="104">
        <f t="shared" si="51"/>
        <v>0</v>
      </c>
      <c r="AB97" s="104">
        <f t="shared" si="52"/>
        <v>0</v>
      </c>
      <c r="AC97" s="104">
        <f t="shared" si="53"/>
        <v>0</v>
      </c>
      <c r="AD97" s="104"/>
      <c r="AE97" s="279"/>
      <c r="AF97" s="279">
        <f t="shared" si="54"/>
        <v>0</v>
      </c>
      <c r="AG97" s="104">
        <f t="shared" si="55"/>
        <v>0</v>
      </c>
      <c r="AH97" s="104"/>
      <c r="AI97" s="104">
        <f t="shared" si="56"/>
        <v>0</v>
      </c>
      <c r="AJ97" s="104"/>
      <c r="AK97" s="104">
        <f t="shared" si="62"/>
        <v>0</v>
      </c>
      <c r="AL97" s="181">
        <f t="shared" si="63"/>
        <v>0</v>
      </c>
      <c r="AM97" s="104">
        <f t="shared" si="64"/>
        <v>0</v>
      </c>
      <c r="AN97" s="181">
        <f>IF(V97=0,0,VLOOKUP(K97,'PAINT LABOR COSTS'!$B$27:$N$67,12,0)*V97)*F97</f>
        <v>0</v>
      </c>
      <c r="AO97" s="181">
        <f t="shared" si="65"/>
        <v>0</v>
      </c>
      <c r="AP97" s="104">
        <f t="shared" si="57"/>
        <v>0</v>
      </c>
    </row>
    <row r="98" spans="1:42" ht="15.75">
      <c r="A98" s="2">
        <v>88</v>
      </c>
      <c r="B98" s="181">
        <f t="shared" si="58"/>
        <v>0</v>
      </c>
      <c r="C98" s="181">
        <f t="shared" si="59"/>
        <v>0</v>
      </c>
      <c r="D98" s="181">
        <f t="shared" si="60"/>
        <v>0</v>
      </c>
      <c r="E98" s="22">
        <f t="shared" si="66"/>
        <v>0</v>
      </c>
      <c r="F98" s="160"/>
      <c r="G98" s="187"/>
      <c r="H98" s="160"/>
      <c r="I98" s="160"/>
      <c r="J98" s="160"/>
      <c r="K98" s="160"/>
      <c r="L98" s="75" t="str">
        <f>IFERROR(VLOOKUP(K98,'PAINT LABOR COSTS'!$B$27:$C$58,2,FALSE),"Pick Color")</f>
        <v>Pick Color</v>
      </c>
      <c r="M98" s="160"/>
      <c r="N98" s="278">
        <f t="shared" si="42"/>
        <v>0</v>
      </c>
      <c r="O98" s="147" t="str">
        <f t="shared" si="43"/>
        <v/>
      </c>
      <c r="P98" s="75" t="str">
        <f t="shared" si="61"/>
        <v>YES</v>
      </c>
      <c r="Q98" s="160" t="s">
        <v>419</v>
      </c>
      <c r="R98" s="75" t="str">
        <f t="shared" si="44"/>
        <v>NO</v>
      </c>
      <c r="S98" s="75" t="str">
        <f t="shared" si="45"/>
        <v>NO</v>
      </c>
      <c r="T98" s="160">
        <v>0</v>
      </c>
      <c r="V98" s="31">
        <f t="shared" si="46"/>
        <v>0</v>
      </c>
      <c r="W98" s="277">
        <f t="shared" si="47"/>
        <v>0</v>
      </c>
      <c r="X98" s="277">
        <f t="shared" si="48"/>
        <v>0</v>
      </c>
      <c r="Y98" s="277">
        <f t="shared" si="49"/>
        <v>0</v>
      </c>
      <c r="Z98" s="181">
        <f t="shared" si="50"/>
        <v>0</v>
      </c>
      <c r="AA98" s="104">
        <f t="shared" si="51"/>
        <v>0</v>
      </c>
      <c r="AB98" s="104">
        <f t="shared" si="52"/>
        <v>0</v>
      </c>
      <c r="AC98" s="104">
        <f t="shared" si="53"/>
        <v>0</v>
      </c>
      <c r="AD98" s="104"/>
      <c r="AE98" s="279"/>
      <c r="AF98" s="279">
        <f t="shared" si="54"/>
        <v>0</v>
      </c>
      <c r="AG98" s="104">
        <f t="shared" si="55"/>
        <v>0</v>
      </c>
      <c r="AH98" s="104"/>
      <c r="AI98" s="104">
        <f t="shared" si="56"/>
        <v>0</v>
      </c>
      <c r="AJ98" s="104"/>
      <c r="AK98" s="104">
        <f t="shared" si="62"/>
        <v>0</v>
      </c>
      <c r="AL98" s="181">
        <f t="shared" si="63"/>
        <v>0</v>
      </c>
      <c r="AM98" s="104">
        <f t="shared" si="64"/>
        <v>0</v>
      </c>
      <c r="AN98" s="181">
        <f>IF(V98=0,0,VLOOKUP(K98,'PAINT LABOR COSTS'!$B$27:$N$67,12,0)*V98)*F98</f>
        <v>0</v>
      </c>
      <c r="AO98" s="181">
        <f t="shared" si="65"/>
        <v>0</v>
      </c>
      <c r="AP98" s="104">
        <f t="shared" si="57"/>
        <v>0</v>
      </c>
    </row>
    <row r="99" spans="1:42" ht="15.75">
      <c r="A99" s="2">
        <v>89</v>
      </c>
      <c r="B99" s="181">
        <f t="shared" si="58"/>
        <v>0</v>
      </c>
      <c r="C99" s="181">
        <f t="shared" si="59"/>
        <v>0</v>
      </c>
      <c r="D99" s="181">
        <f t="shared" si="60"/>
        <v>0</v>
      </c>
      <c r="E99" s="22">
        <f t="shared" si="66"/>
        <v>0</v>
      </c>
      <c r="F99" s="160"/>
      <c r="G99" s="187"/>
      <c r="H99" s="160"/>
      <c r="I99" s="160"/>
      <c r="J99" s="160"/>
      <c r="K99" s="160"/>
      <c r="L99" s="75" t="str">
        <f>IFERROR(VLOOKUP(K99,'PAINT LABOR COSTS'!$B$27:$C$58,2,FALSE),"Pick Color")</f>
        <v>Pick Color</v>
      </c>
      <c r="M99" s="160"/>
      <c r="N99" s="278">
        <f t="shared" si="42"/>
        <v>0</v>
      </c>
      <c r="O99" s="147" t="str">
        <f t="shared" si="43"/>
        <v/>
      </c>
      <c r="P99" s="75" t="str">
        <f t="shared" si="61"/>
        <v>YES</v>
      </c>
      <c r="Q99" s="160" t="s">
        <v>419</v>
      </c>
      <c r="R99" s="75" t="str">
        <f t="shared" si="44"/>
        <v>NO</v>
      </c>
      <c r="S99" s="75" t="str">
        <f t="shared" si="45"/>
        <v>NO</v>
      </c>
      <c r="T99" s="160">
        <v>0</v>
      </c>
      <c r="V99" s="31">
        <f t="shared" si="46"/>
        <v>0</v>
      </c>
      <c r="W99" s="277">
        <f t="shared" si="47"/>
        <v>0</v>
      </c>
      <c r="X99" s="277">
        <f t="shared" si="48"/>
        <v>0</v>
      </c>
      <c r="Y99" s="277">
        <f t="shared" si="49"/>
        <v>0</v>
      </c>
      <c r="Z99" s="181">
        <f t="shared" si="50"/>
        <v>0</v>
      </c>
      <c r="AA99" s="104">
        <f t="shared" si="51"/>
        <v>0</v>
      </c>
      <c r="AB99" s="104">
        <f t="shared" si="52"/>
        <v>0</v>
      </c>
      <c r="AC99" s="104">
        <f t="shared" si="53"/>
        <v>0</v>
      </c>
      <c r="AD99" s="104"/>
      <c r="AE99" s="279"/>
      <c r="AF99" s="279">
        <f t="shared" si="54"/>
        <v>0</v>
      </c>
      <c r="AG99" s="104">
        <f t="shared" si="55"/>
        <v>0</v>
      </c>
      <c r="AH99" s="104"/>
      <c r="AI99" s="104">
        <f t="shared" si="56"/>
        <v>0</v>
      </c>
      <c r="AJ99" s="104"/>
      <c r="AK99" s="104">
        <f t="shared" si="62"/>
        <v>0</v>
      </c>
      <c r="AL99" s="181">
        <f t="shared" si="63"/>
        <v>0</v>
      </c>
      <c r="AM99" s="104">
        <f t="shared" si="64"/>
        <v>0</v>
      </c>
      <c r="AN99" s="181">
        <f>IF(V99=0,0,VLOOKUP(K99,'PAINT LABOR COSTS'!$B$27:$N$67,12,0)*V99)*F99</f>
        <v>0</v>
      </c>
      <c r="AO99" s="181">
        <f t="shared" si="65"/>
        <v>0</v>
      </c>
      <c r="AP99" s="104">
        <f t="shared" si="57"/>
        <v>0</v>
      </c>
    </row>
    <row r="100" spans="1:42" ht="15.75">
      <c r="A100" s="2">
        <v>90</v>
      </c>
      <c r="B100" s="181">
        <f t="shared" si="58"/>
        <v>0</v>
      </c>
      <c r="C100" s="181">
        <f t="shared" si="59"/>
        <v>0</v>
      </c>
      <c r="D100" s="181">
        <f t="shared" si="60"/>
        <v>0</v>
      </c>
      <c r="E100" s="22">
        <f t="shared" si="66"/>
        <v>0</v>
      </c>
      <c r="F100" s="160"/>
      <c r="G100" s="187"/>
      <c r="H100" s="160"/>
      <c r="I100" s="160"/>
      <c r="J100" s="160"/>
      <c r="K100" s="160"/>
      <c r="L100" s="75" t="str">
        <f>IFERROR(VLOOKUP(K100,'PAINT LABOR COSTS'!$B$27:$C$58,2,FALSE),"Pick Color")</f>
        <v>Pick Color</v>
      </c>
      <c r="M100" s="160"/>
      <c r="N100" s="278">
        <f t="shared" si="42"/>
        <v>0</v>
      </c>
      <c r="O100" s="147" t="str">
        <f t="shared" si="43"/>
        <v/>
      </c>
      <c r="P100" s="75" t="str">
        <f t="shared" si="61"/>
        <v>YES</v>
      </c>
      <c r="Q100" s="160" t="s">
        <v>419</v>
      </c>
      <c r="R100" s="75" t="str">
        <f t="shared" si="44"/>
        <v>NO</v>
      </c>
      <c r="S100" s="75" t="str">
        <f t="shared" si="45"/>
        <v>NO</v>
      </c>
      <c r="T100" s="160">
        <v>0</v>
      </c>
      <c r="V100" s="31">
        <f t="shared" si="46"/>
        <v>0</v>
      </c>
      <c r="W100" s="277">
        <f t="shared" si="47"/>
        <v>0</v>
      </c>
      <c r="X100" s="277">
        <f t="shared" si="48"/>
        <v>0</v>
      </c>
      <c r="Y100" s="277">
        <f t="shared" si="49"/>
        <v>0</v>
      </c>
      <c r="Z100" s="181">
        <f t="shared" si="50"/>
        <v>0</v>
      </c>
      <c r="AA100" s="104">
        <f t="shared" si="51"/>
        <v>0</v>
      </c>
      <c r="AB100" s="104">
        <f t="shared" si="52"/>
        <v>0</v>
      </c>
      <c r="AC100" s="104">
        <f t="shared" si="53"/>
        <v>0</v>
      </c>
      <c r="AD100" s="104"/>
      <c r="AE100" s="279"/>
      <c r="AF100" s="279">
        <f t="shared" si="54"/>
        <v>0</v>
      </c>
      <c r="AG100" s="104">
        <f t="shared" si="55"/>
        <v>0</v>
      </c>
      <c r="AH100" s="104"/>
      <c r="AI100" s="104">
        <f t="shared" si="56"/>
        <v>0</v>
      </c>
      <c r="AJ100" s="104"/>
      <c r="AK100" s="104">
        <f t="shared" si="62"/>
        <v>0</v>
      </c>
      <c r="AL100" s="181">
        <f t="shared" si="63"/>
        <v>0</v>
      </c>
      <c r="AM100" s="104">
        <f t="shared" si="64"/>
        <v>0</v>
      </c>
      <c r="AN100" s="181">
        <f>IF(V100=0,0,VLOOKUP(K100,'PAINT LABOR COSTS'!$B$27:$N$67,12,0)*V100)*F100</f>
        <v>0</v>
      </c>
      <c r="AO100" s="181">
        <f t="shared" si="65"/>
        <v>0</v>
      </c>
      <c r="AP100" s="104">
        <f t="shared" si="57"/>
        <v>0</v>
      </c>
    </row>
    <row r="101" spans="1:42" ht="15.75">
      <c r="A101" s="2">
        <v>91</v>
      </c>
      <c r="B101" s="181">
        <f t="shared" si="58"/>
        <v>0</v>
      </c>
      <c r="C101" s="181">
        <f t="shared" si="59"/>
        <v>0</v>
      </c>
      <c r="D101" s="181">
        <f t="shared" si="60"/>
        <v>0</v>
      </c>
      <c r="E101" s="22">
        <f t="shared" si="66"/>
        <v>0</v>
      </c>
      <c r="F101" s="160"/>
      <c r="G101" s="187"/>
      <c r="H101" s="160"/>
      <c r="I101" s="160"/>
      <c r="J101" s="160"/>
      <c r="K101" s="160"/>
      <c r="L101" s="75" t="str">
        <f>IFERROR(VLOOKUP(K101,'PAINT LABOR COSTS'!$B$27:$C$58,2,FALSE),"Pick Color")</f>
        <v>Pick Color</v>
      </c>
      <c r="M101" s="160"/>
      <c r="N101" s="278">
        <f t="shared" si="42"/>
        <v>0</v>
      </c>
      <c r="O101" s="147" t="str">
        <f t="shared" si="43"/>
        <v/>
      </c>
      <c r="P101" s="75" t="str">
        <f t="shared" si="61"/>
        <v>YES</v>
      </c>
      <c r="Q101" s="160" t="s">
        <v>419</v>
      </c>
      <c r="R101" s="75" t="str">
        <f t="shared" si="44"/>
        <v>NO</v>
      </c>
      <c r="S101" s="75" t="str">
        <f t="shared" si="45"/>
        <v>NO</v>
      </c>
      <c r="T101" s="160">
        <v>0</v>
      </c>
      <c r="V101" s="31">
        <f t="shared" si="46"/>
        <v>0</v>
      </c>
      <c r="W101" s="277">
        <f t="shared" si="47"/>
        <v>0</v>
      </c>
      <c r="X101" s="277">
        <f t="shared" si="48"/>
        <v>0</v>
      </c>
      <c r="Y101" s="277">
        <f t="shared" si="49"/>
        <v>0</v>
      </c>
      <c r="Z101" s="181">
        <f t="shared" si="50"/>
        <v>0</v>
      </c>
      <c r="AA101" s="104">
        <f t="shared" si="51"/>
        <v>0</v>
      </c>
      <c r="AB101" s="104">
        <f t="shared" si="52"/>
        <v>0</v>
      </c>
      <c r="AC101" s="104">
        <f t="shared" si="53"/>
        <v>0</v>
      </c>
      <c r="AD101" s="104"/>
      <c r="AE101" s="279"/>
      <c r="AF101" s="279">
        <f t="shared" si="54"/>
        <v>0</v>
      </c>
      <c r="AG101" s="104">
        <f t="shared" si="55"/>
        <v>0</v>
      </c>
      <c r="AH101" s="104"/>
      <c r="AI101" s="104">
        <f t="shared" si="56"/>
        <v>0</v>
      </c>
      <c r="AJ101" s="104"/>
      <c r="AK101" s="104">
        <f t="shared" si="62"/>
        <v>0</v>
      </c>
      <c r="AL101" s="181">
        <f t="shared" si="63"/>
        <v>0</v>
      </c>
      <c r="AM101" s="104">
        <f t="shared" si="64"/>
        <v>0</v>
      </c>
      <c r="AN101" s="181">
        <f>IF(V101=0,0,VLOOKUP(K101,'PAINT LABOR COSTS'!$B$27:$N$67,12,0)*V101)*F101</f>
        <v>0</v>
      </c>
      <c r="AO101" s="181">
        <f t="shared" si="65"/>
        <v>0</v>
      </c>
      <c r="AP101" s="104">
        <f t="shared" si="57"/>
        <v>0</v>
      </c>
    </row>
    <row r="102" spans="1:42" ht="15.75">
      <c r="A102" s="2">
        <v>92</v>
      </c>
      <c r="B102" s="181">
        <f t="shared" si="58"/>
        <v>0</v>
      </c>
      <c r="C102" s="181">
        <f t="shared" si="59"/>
        <v>0</v>
      </c>
      <c r="D102" s="181">
        <f t="shared" si="60"/>
        <v>0</v>
      </c>
      <c r="E102" s="22">
        <f t="shared" si="66"/>
        <v>0</v>
      </c>
      <c r="F102" s="160"/>
      <c r="G102" s="187"/>
      <c r="H102" s="160"/>
      <c r="I102" s="160"/>
      <c r="J102" s="160"/>
      <c r="K102" s="160"/>
      <c r="L102" s="75" t="str">
        <f>IFERROR(VLOOKUP(K102,'PAINT LABOR COSTS'!$B$27:$C$58,2,FALSE),"Pick Color")</f>
        <v>Pick Color</v>
      </c>
      <c r="M102" s="160"/>
      <c r="N102" s="278">
        <f t="shared" si="42"/>
        <v>0</v>
      </c>
      <c r="O102" s="147" t="str">
        <f t="shared" si="43"/>
        <v/>
      </c>
      <c r="P102" s="75" t="str">
        <f t="shared" si="61"/>
        <v>YES</v>
      </c>
      <c r="Q102" s="160" t="s">
        <v>419</v>
      </c>
      <c r="R102" s="75" t="str">
        <f t="shared" si="44"/>
        <v>NO</v>
      </c>
      <c r="S102" s="75" t="str">
        <f t="shared" si="45"/>
        <v>NO</v>
      </c>
      <c r="T102" s="160">
        <v>0</v>
      </c>
      <c r="V102" s="31">
        <f t="shared" si="46"/>
        <v>0</v>
      </c>
      <c r="W102" s="277">
        <f t="shared" si="47"/>
        <v>0</v>
      </c>
      <c r="X102" s="277">
        <f t="shared" si="48"/>
        <v>0</v>
      </c>
      <c r="Y102" s="277">
        <f t="shared" si="49"/>
        <v>0</v>
      </c>
      <c r="Z102" s="181">
        <f t="shared" si="50"/>
        <v>0</v>
      </c>
      <c r="AA102" s="104">
        <f t="shared" si="51"/>
        <v>0</v>
      </c>
      <c r="AB102" s="104">
        <f t="shared" si="52"/>
        <v>0</v>
      </c>
      <c r="AC102" s="104">
        <f t="shared" si="53"/>
        <v>0</v>
      </c>
      <c r="AD102" s="104"/>
      <c r="AE102" s="279"/>
      <c r="AF102" s="279">
        <f t="shared" si="54"/>
        <v>0</v>
      </c>
      <c r="AG102" s="104">
        <f t="shared" si="55"/>
        <v>0</v>
      </c>
      <c r="AH102" s="104"/>
      <c r="AI102" s="104">
        <f t="shared" si="56"/>
        <v>0</v>
      </c>
      <c r="AJ102" s="104"/>
      <c r="AK102" s="104">
        <f t="shared" si="62"/>
        <v>0</v>
      </c>
      <c r="AL102" s="181">
        <f t="shared" si="63"/>
        <v>0</v>
      </c>
      <c r="AM102" s="104">
        <f t="shared" si="64"/>
        <v>0</v>
      </c>
      <c r="AN102" s="181">
        <f>IF(V102=0,0,VLOOKUP(K102,'PAINT LABOR COSTS'!$B$27:$N$67,12,0)*V102)*F102</f>
        <v>0</v>
      </c>
      <c r="AO102" s="181">
        <f t="shared" si="65"/>
        <v>0</v>
      </c>
      <c r="AP102" s="104">
        <f t="shared" si="57"/>
        <v>0</v>
      </c>
    </row>
    <row r="103" spans="1:42" ht="15.75">
      <c r="A103" s="2">
        <v>93</v>
      </c>
      <c r="B103" s="181">
        <f t="shared" si="58"/>
        <v>0</v>
      </c>
      <c r="C103" s="181">
        <f t="shared" si="59"/>
        <v>0</v>
      </c>
      <c r="D103" s="181">
        <f t="shared" si="60"/>
        <v>0</v>
      </c>
      <c r="E103" s="22">
        <f t="shared" si="66"/>
        <v>0</v>
      </c>
      <c r="F103" s="160"/>
      <c r="G103" s="187"/>
      <c r="H103" s="160"/>
      <c r="I103" s="160"/>
      <c r="J103" s="160"/>
      <c r="K103" s="160"/>
      <c r="L103" s="75" t="str">
        <f>IFERROR(VLOOKUP(K103,'PAINT LABOR COSTS'!$B$27:$C$58,2,FALSE),"Pick Color")</f>
        <v>Pick Color</v>
      </c>
      <c r="M103" s="160"/>
      <c r="N103" s="278">
        <f t="shared" si="42"/>
        <v>0</v>
      </c>
      <c r="O103" s="147" t="str">
        <f t="shared" si="43"/>
        <v/>
      </c>
      <c r="P103" s="75" t="str">
        <f t="shared" si="61"/>
        <v>YES</v>
      </c>
      <c r="Q103" s="160" t="s">
        <v>419</v>
      </c>
      <c r="R103" s="75" t="str">
        <f t="shared" si="44"/>
        <v>NO</v>
      </c>
      <c r="S103" s="75" t="str">
        <f t="shared" si="45"/>
        <v>NO</v>
      </c>
      <c r="T103" s="160">
        <v>0</v>
      </c>
      <c r="V103" s="31">
        <f t="shared" si="46"/>
        <v>0</v>
      </c>
      <c r="W103" s="277">
        <f t="shared" si="47"/>
        <v>0</v>
      </c>
      <c r="X103" s="277">
        <f t="shared" si="48"/>
        <v>0</v>
      </c>
      <c r="Y103" s="277">
        <f t="shared" si="49"/>
        <v>0</v>
      </c>
      <c r="Z103" s="181">
        <f t="shared" si="50"/>
        <v>0</v>
      </c>
      <c r="AA103" s="104">
        <f t="shared" si="51"/>
        <v>0</v>
      </c>
      <c r="AB103" s="104">
        <f t="shared" si="52"/>
        <v>0</v>
      </c>
      <c r="AC103" s="104">
        <f t="shared" si="53"/>
        <v>0</v>
      </c>
      <c r="AD103" s="104"/>
      <c r="AE103" s="279"/>
      <c r="AF103" s="279">
        <f t="shared" si="54"/>
        <v>0</v>
      </c>
      <c r="AG103" s="104">
        <f t="shared" si="55"/>
        <v>0</v>
      </c>
      <c r="AH103" s="104"/>
      <c r="AI103" s="104">
        <f t="shared" si="56"/>
        <v>0</v>
      </c>
      <c r="AJ103" s="104"/>
      <c r="AK103" s="104">
        <f t="shared" si="62"/>
        <v>0</v>
      </c>
      <c r="AL103" s="181">
        <f t="shared" si="63"/>
        <v>0</v>
      </c>
      <c r="AM103" s="104">
        <f t="shared" si="64"/>
        <v>0</v>
      </c>
      <c r="AN103" s="181">
        <f>IF(V103=0,0,VLOOKUP(K103,'PAINT LABOR COSTS'!$B$27:$N$67,12,0)*V103)*F103</f>
        <v>0</v>
      </c>
      <c r="AO103" s="181">
        <f t="shared" si="65"/>
        <v>0</v>
      </c>
      <c r="AP103" s="104">
        <f t="shared" si="57"/>
        <v>0</v>
      </c>
    </row>
    <row r="104" spans="1:42" ht="15.75">
      <c r="A104" s="2">
        <v>94</v>
      </c>
      <c r="B104" s="181">
        <f t="shared" si="58"/>
        <v>0</v>
      </c>
      <c r="C104" s="181">
        <f t="shared" si="59"/>
        <v>0</v>
      </c>
      <c r="D104" s="181">
        <f t="shared" si="60"/>
        <v>0</v>
      </c>
      <c r="E104" s="22">
        <f t="shared" si="66"/>
        <v>0</v>
      </c>
      <c r="F104" s="160"/>
      <c r="G104" s="187"/>
      <c r="H104" s="160"/>
      <c r="I104" s="160"/>
      <c r="J104" s="160"/>
      <c r="K104" s="160"/>
      <c r="L104" s="75" t="str">
        <f>IFERROR(VLOOKUP(K104,'PAINT LABOR COSTS'!$B$27:$C$58,2,FALSE),"Pick Color")</f>
        <v>Pick Color</v>
      </c>
      <c r="M104" s="160"/>
      <c r="N104" s="278">
        <f t="shared" si="42"/>
        <v>0</v>
      </c>
      <c r="O104" s="147" t="str">
        <f t="shared" si="43"/>
        <v/>
      </c>
      <c r="P104" s="75" t="str">
        <f t="shared" si="61"/>
        <v>YES</v>
      </c>
      <c r="Q104" s="160" t="s">
        <v>419</v>
      </c>
      <c r="R104" s="75" t="str">
        <f t="shared" si="44"/>
        <v>NO</v>
      </c>
      <c r="S104" s="75" t="str">
        <f t="shared" si="45"/>
        <v>NO</v>
      </c>
      <c r="T104" s="160">
        <v>0</v>
      </c>
      <c r="V104" s="31">
        <f t="shared" si="46"/>
        <v>0</v>
      </c>
      <c r="W104" s="277">
        <f t="shared" si="47"/>
        <v>0</v>
      </c>
      <c r="X104" s="277">
        <f t="shared" si="48"/>
        <v>0</v>
      </c>
      <c r="Y104" s="277">
        <f t="shared" si="49"/>
        <v>0</v>
      </c>
      <c r="Z104" s="181">
        <f t="shared" si="50"/>
        <v>0</v>
      </c>
      <c r="AA104" s="104">
        <f t="shared" si="51"/>
        <v>0</v>
      </c>
      <c r="AB104" s="104">
        <f t="shared" si="52"/>
        <v>0</v>
      </c>
      <c r="AC104" s="104">
        <f t="shared" si="53"/>
        <v>0</v>
      </c>
      <c r="AD104" s="104"/>
      <c r="AE104" s="279"/>
      <c r="AF104" s="279">
        <f t="shared" si="54"/>
        <v>0</v>
      </c>
      <c r="AG104" s="104">
        <f t="shared" si="55"/>
        <v>0</v>
      </c>
      <c r="AH104" s="104"/>
      <c r="AI104" s="104">
        <f t="shared" si="56"/>
        <v>0</v>
      </c>
      <c r="AJ104" s="104"/>
      <c r="AK104" s="104">
        <f t="shared" si="62"/>
        <v>0</v>
      </c>
      <c r="AL104" s="181">
        <f t="shared" si="63"/>
        <v>0</v>
      </c>
      <c r="AM104" s="104">
        <f t="shared" si="64"/>
        <v>0</v>
      </c>
      <c r="AN104" s="181">
        <f>IF(V104=0,0,VLOOKUP(K104,'PAINT LABOR COSTS'!$B$27:$N$67,12,0)*V104)*F104</f>
        <v>0</v>
      </c>
      <c r="AO104" s="181">
        <f t="shared" si="65"/>
        <v>0</v>
      </c>
      <c r="AP104" s="104">
        <f t="shared" si="57"/>
        <v>0</v>
      </c>
    </row>
    <row r="105" spans="1:42" ht="15.75">
      <c r="A105" s="2">
        <v>95</v>
      </c>
      <c r="B105" s="181">
        <f t="shared" si="58"/>
        <v>0</v>
      </c>
      <c r="C105" s="181">
        <f t="shared" si="59"/>
        <v>0</v>
      </c>
      <c r="D105" s="181">
        <f t="shared" si="60"/>
        <v>0</v>
      </c>
      <c r="E105" s="22">
        <f t="shared" si="66"/>
        <v>0</v>
      </c>
      <c r="F105" s="160"/>
      <c r="G105" s="187"/>
      <c r="H105" s="160"/>
      <c r="I105" s="160"/>
      <c r="J105" s="160"/>
      <c r="K105" s="160"/>
      <c r="L105" s="75" t="str">
        <f>IFERROR(VLOOKUP(K105,'PAINT LABOR COSTS'!$B$27:$C$58,2,FALSE),"Pick Color")</f>
        <v>Pick Color</v>
      </c>
      <c r="M105" s="160"/>
      <c r="N105" s="278">
        <f t="shared" si="42"/>
        <v>0</v>
      </c>
      <c r="O105" s="147" t="str">
        <f t="shared" si="43"/>
        <v/>
      </c>
      <c r="P105" s="75" t="str">
        <f t="shared" si="61"/>
        <v>YES</v>
      </c>
      <c r="Q105" s="160" t="s">
        <v>419</v>
      </c>
      <c r="R105" s="75" t="str">
        <f t="shared" si="44"/>
        <v>NO</v>
      </c>
      <c r="S105" s="75" t="str">
        <f t="shared" si="45"/>
        <v>NO</v>
      </c>
      <c r="T105" s="160">
        <v>0</v>
      </c>
      <c r="V105" s="31">
        <f t="shared" si="46"/>
        <v>0</v>
      </c>
      <c r="W105" s="277">
        <f t="shared" si="47"/>
        <v>0</v>
      </c>
      <c r="X105" s="277">
        <f t="shared" si="48"/>
        <v>0</v>
      </c>
      <c r="Y105" s="277">
        <f t="shared" si="49"/>
        <v>0</v>
      </c>
      <c r="Z105" s="181">
        <f t="shared" si="50"/>
        <v>0</v>
      </c>
      <c r="AA105" s="104">
        <f t="shared" si="51"/>
        <v>0</v>
      </c>
      <c r="AB105" s="104">
        <f t="shared" si="52"/>
        <v>0</v>
      </c>
      <c r="AC105" s="104">
        <f t="shared" si="53"/>
        <v>0</v>
      </c>
      <c r="AD105" s="104"/>
      <c r="AE105" s="279"/>
      <c r="AF105" s="279">
        <f t="shared" si="54"/>
        <v>0</v>
      </c>
      <c r="AG105" s="104">
        <f t="shared" si="55"/>
        <v>0</v>
      </c>
      <c r="AH105" s="104"/>
      <c r="AI105" s="104">
        <f t="shared" si="56"/>
        <v>0</v>
      </c>
      <c r="AJ105" s="104"/>
      <c r="AK105" s="104">
        <f t="shared" si="62"/>
        <v>0</v>
      </c>
      <c r="AL105" s="181">
        <f t="shared" si="63"/>
        <v>0</v>
      </c>
      <c r="AM105" s="104">
        <f t="shared" si="64"/>
        <v>0</v>
      </c>
      <c r="AN105" s="181">
        <f>IF(V105=0,0,VLOOKUP(K105,'PAINT LABOR COSTS'!$B$27:$N$67,12,0)*V105)*F105</f>
        <v>0</v>
      </c>
      <c r="AO105" s="181">
        <f t="shared" si="65"/>
        <v>0</v>
      </c>
      <c r="AP105" s="104">
        <f t="shared" si="57"/>
        <v>0</v>
      </c>
    </row>
    <row r="106" spans="1:42" ht="15.75">
      <c r="A106" s="2">
        <v>96</v>
      </c>
      <c r="B106" s="181">
        <f t="shared" si="58"/>
        <v>0</v>
      </c>
      <c r="C106" s="181">
        <f t="shared" si="59"/>
        <v>0</v>
      </c>
      <c r="D106" s="181">
        <f t="shared" si="60"/>
        <v>0</v>
      </c>
      <c r="E106" s="22">
        <f t="shared" si="66"/>
        <v>0</v>
      </c>
      <c r="F106" s="160"/>
      <c r="G106" s="187"/>
      <c r="H106" s="160"/>
      <c r="I106" s="160"/>
      <c r="J106" s="160"/>
      <c r="K106" s="160"/>
      <c r="L106" s="75" t="str">
        <f>IFERROR(VLOOKUP(K106,'PAINT LABOR COSTS'!$B$27:$C$58,2,FALSE),"Pick Color")</f>
        <v>Pick Color</v>
      </c>
      <c r="M106" s="160"/>
      <c r="N106" s="278">
        <f t="shared" si="42"/>
        <v>0</v>
      </c>
      <c r="O106" s="147" t="str">
        <f t="shared" si="43"/>
        <v/>
      </c>
      <c r="P106" s="75" t="str">
        <f t="shared" si="61"/>
        <v>YES</v>
      </c>
      <c r="Q106" s="160" t="s">
        <v>419</v>
      </c>
      <c r="R106" s="75" t="str">
        <f t="shared" si="44"/>
        <v>NO</v>
      </c>
      <c r="S106" s="75" t="str">
        <f t="shared" si="45"/>
        <v>NO</v>
      </c>
      <c r="T106" s="160">
        <v>0</v>
      </c>
      <c r="V106" s="31">
        <f t="shared" si="46"/>
        <v>0</v>
      </c>
      <c r="W106" s="277">
        <f t="shared" si="47"/>
        <v>0</v>
      </c>
      <c r="X106" s="277">
        <f t="shared" si="48"/>
        <v>0</v>
      </c>
      <c r="Y106" s="277">
        <f t="shared" si="49"/>
        <v>0</v>
      </c>
      <c r="Z106" s="181">
        <f t="shared" si="50"/>
        <v>0</v>
      </c>
      <c r="AA106" s="104">
        <f t="shared" si="51"/>
        <v>0</v>
      </c>
      <c r="AB106" s="104">
        <f t="shared" si="52"/>
        <v>0</v>
      </c>
      <c r="AC106" s="104">
        <f t="shared" si="53"/>
        <v>0</v>
      </c>
      <c r="AD106" s="104"/>
      <c r="AE106" s="279"/>
      <c r="AF106" s="279">
        <f t="shared" si="54"/>
        <v>0</v>
      </c>
      <c r="AG106" s="104">
        <f t="shared" si="55"/>
        <v>0</v>
      </c>
      <c r="AH106" s="104"/>
      <c r="AI106" s="104">
        <f t="shared" si="56"/>
        <v>0</v>
      </c>
      <c r="AJ106" s="104"/>
      <c r="AK106" s="104">
        <f t="shared" si="62"/>
        <v>0</v>
      </c>
      <c r="AL106" s="181">
        <f t="shared" si="63"/>
        <v>0</v>
      </c>
      <c r="AM106" s="104">
        <f t="shared" si="64"/>
        <v>0</v>
      </c>
      <c r="AN106" s="181">
        <f>IF(V106=0,0,VLOOKUP(K106,'PAINT LABOR COSTS'!$B$27:$N$67,12,0)*V106)*F106</f>
        <v>0</v>
      </c>
      <c r="AO106" s="181">
        <f t="shared" si="65"/>
        <v>0</v>
      </c>
      <c r="AP106" s="104">
        <f t="shared" si="57"/>
        <v>0</v>
      </c>
    </row>
    <row r="107" spans="1:42" ht="15.75">
      <c r="A107" s="2">
        <v>97</v>
      </c>
      <c r="B107" s="181">
        <f t="shared" si="58"/>
        <v>0</v>
      </c>
      <c r="C107" s="181">
        <f t="shared" si="59"/>
        <v>0</v>
      </c>
      <c r="D107" s="181">
        <f t="shared" si="60"/>
        <v>0</v>
      </c>
      <c r="E107" s="22">
        <f t="shared" si="66"/>
        <v>0</v>
      </c>
      <c r="F107" s="160"/>
      <c r="G107" s="187"/>
      <c r="H107" s="160"/>
      <c r="I107" s="160"/>
      <c r="J107" s="160"/>
      <c r="K107" s="160"/>
      <c r="L107" s="75" t="str">
        <f>IFERROR(VLOOKUP(K107,'PAINT LABOR COSTS'!$B$27:$C$58,2,FALSE),"Pick Color")</f>
        <v>Pick Color</v>
      </c>
      <c r="M107" s="160"/>
      <c r="N107" s="278">
        <f t="shared" si="42"/>
        <v>0</v>
      </c>
      <c r="O107" s="147" t="str">
        <f t="shared" ref="O107:O110" si="67">IF(I107="","",LOOKUP(N107,N268:O287))</f>
        <v/>
      </c>
      <c r="P107" s="75" t="str">
        <f t="shared" si="61"/>
        <v>YES</v>
      </c>
      <c r="Q107" s="160" t="s">
        <v>419</v>
      </c>
      <c r="R107" s="75" t="str">
        <f t="shared" si="44"/>
        <v>NO</v>
      </c>
      <c r="S107" s="75" t="str">
        <f t="shared" si="45"/>
        <v>NO</v>
      </c>
      <c r="T107" s="160">
        <v>0</v>
      </c>
      <c r="V107" s="31">
        <f t="shared" si="46"/>
        <v>0</v>
      </c>
      <c r="W107" s="277">
        <f t="shared" si="47"/>
        <v>0</v>
      </c>
      <c r="X107" s="277">
        <f t="shared" si="48"/>
        <v>0</v>
      </c>
      <c r="Y107" s="277">
        <f t="shared" si="49"/>
        <v>0</v>
      </c>
      <c r="Z107" s="181">
        <f t="shared" si="50"/>
        <v>0</v>
      </c>
      <c r="AA107" s="104">
        <f t="shared" ref="AA107:AA110" si="68">IF(T107="+1",Z107/2,IF(T107="+2",Z107,IF(T107="+3",Z107*1.5,0)))*F107</f>
        <v>0</v>
      </c>
      <c r="AB107" s="104">
        <f t="shared" si="52"/>
        <v>0</v>
      </c>
      <c r="AC107" s="104">
        <f t="shared" si="53"/>
        <v>0</v>
      </c>
      <c r="AD107" s="104"/>
      <c r="AE107" s="279"/>
      <c r="AF107" s="279">
        <f t="shared" si="54"/>
        <v>0</v>
      </c>
      <c r="AG107" s="104">
        <f t="shared" si="55"/>
        <v>0</v>
      </c>
      <c r="AH107" s="104"/>
      <c r="AI107" s="104">
        <f t="shared" si="56"/>
        <v>0</v>
      </c>
      <c r="AJ107" s="104"/>
      <c r="AK107" s="104">
        <f t="shared" si="62"/>
        <v>0</v>
      </c>
      <c r="AL107" s="181">
        <f t="shared" si="63"/>
        <v>0</v>
      </c>
      <c r="AM107" s="104">
        <f t="shared" si="64"/>
        <v>0</v>
      </c>
      <c r="AN107" s="181">
        <f>IF(V107=0,0,VLOOKUP(K107,'PAINT LABOR COSTS'!$B$27:$N$67,12,0)*V107)*F107</f>
        <v>0</v>
      </c>
      <c r="AO107" s="181">
        <f t="shared" si="65"/>
        <v>0</v>
      </c>
      <c r="AP107" s="104">
        <f t="shared" si="57"/>
        <v>0</v>
      </c>
    </row>
    <row r="108" spans="1:42" ht="15.75">
      <c r="A108" s="2">
        <v>98</v>
      </c>
      <c r="B108" s="181">
        <f t="shared" si="58"/>
        <v>0</v>
      </c>
      <c r="C108" s="181">
        <f t="shared" si="59"/>
        <v>0</v>
      </c>
      <c r="D108" s="181">
        <f t="shared" si="60"/>
        <v>0</v>
      </c>
      <c r="E108" s="22">
        <f t="shared" si="66"/>
        <v>0</v>
      </c>
      <c r="F108" s="160"/>
      <c r="G108" s="187"/>
      <c r="H108" s="160"/>
      <c r="I108" s="160"/>
      <c r="J108" s="160"/>
      <c r="K108" s="160"/>
      <c r="L108" s="75" t="str">
        <f>IFERROR(VLOOKUP(K108,'PAINT LABOR COSTS'!$B$27:$C$58,2,FALSE),"Pick Color")</f>
        <v>Pick Color</v>
      </c>
      <c r="M108" s="160"/>
      <c r="N108" s="278">
        <f t="shared" si="42"/>
        <v>0</v>
      </c>
      <c r="O108" s="147" t="str">
        <f t="shared" si="67"/>
        <v/>
      </c>
      <c r="P108" s="75" t="str">
        <f t="shared" si="61"/>
        <v>YES</v>
      </c>
      <c r="Q108" s="160" t="s">
        <v>419</v>
      </c>
      <c r="R108" s="75" t="str">
        <f t="shared" si="44"/>
        <v>NO</v>
      </c>
      <c r="S108" s="75" t="str">
        <f t="shared" si="45"/>
        <v>NO</v>
      </c>
      <c r="T108" s="160">
        <v>0</v>
      </c>
      <c r="V108" s="31">
        <f t="shared" si="46"/>
        <v>0</v>
      </c>
      <c r="W108" s="277">
        <f t="shared" si="47"/>
        <v>0</v>
      </c>
      <c r="X108" s="277">
        <f t="shared" si="48"/>
        <v>0</v>
      </c>
      <c r="Y108" s="277">
        <f t="shared" si="49"/>
        <v>0</v>
      </c>
      <c r="Z108" s="181">
        <f t="shared" si="50"/>
        <v>0</v>
      </c>
      <c r="AA108" s="104">
        <f t="shared" si="68"/>
        <v>0</v>
      </c>
      <c r="AB108" s="104">
        <f t="shared" si="52"/>
        <v>0</v>
      </c>
      <c r="AC108" s="104">
        <f t="shared" si="53"/>
        <v>0</v>
      </c>
      <c r="AD108" s="104"/>
      <c r="AE108" s="279"/>
      <c r="AF108" s="279">
        <f t="shared" si="54"/>
        <v>0</v>
      </c>
      <c r="AG108" s="104">
        <f t="shared" si="55"/>
        <v>0</v>
      </c>
      <c r="AH108" s="104"/>
      <c r="AI108" s="104">
        <f t="shared" si="56"/>
        <v>0</v>
      </c>
      <c r="AJ108" s="104"/>
      <c r="AK108" s="104">
        <f t="shared" si="62"/>
        <v>0</v>
      </c>
      <c r="AL108" s="181">
        <f t="shared" si="63"/>
        <v>0</v>
      </c>
      <c r="AM108" s="104">
        <f t="shared" si="64"/>
        <v>0</v>
      </c>
      <c r="AN108" s="181">
        <f>IF(V108=0,0,VLOOKUP(K108,'PAINT LABOR COSTS'!$B$27:$N$67,12,0)*V108)*F108</f>
        <v>0</v>
      </c>
      <c r="AO108" s="181">
        <f t="shared" si="65"/>
        <v>0</v>
      </c>
      <c r="AP108" s="104">
        <f t="shared" si="57"/>
        <v>0</v>
      </c>
    </row>
    <row r="109" spans="1:42" ht="15.75">
      <c r="A109" s="2">
        <v>99</v>
      </c>
      <c r="B109" s="181">
        <f t="shared" si="58"/>
        <v>0</v>
      </c>
      <c r="C109" s="181">
        <f t="shared" si="59"/>
        <v>0</v>
      </c>
      <c r="D109" s="181">
        <f t="shared" si="60"/>
        <v>0</v>
      </c>
      <c r="E109" s="22">
        <f t="shared" si="66"/>
        <v>0</v>
      </c>
      <c r="F109" s="160"/>
      <c r="G109" s="187"/>
      <c r="H109" s="160"/>
      <c r="I109" s="160"/>
      <c r="J109" s="160"/>
      <c r="K109" s="160"/>
      <c r="L109" s="75" t="str">
        <f>IFERROR(VLOOKUP(K109,'PAINT LABOR COSTS'!$B$27:$C$58,2,FALSE),"Pick Color")</f>
        <v>Pick Color</v>
      </c>
      <c r="M109" s="160"/>
      <c r="N109" s="278">
        <f t="shared" si="42"/>
        <v>0</v>
      </c>
      <c r="O109" s="147" t="str">
        <f t="shared" si="67"/>
        <v/>
      </c>
      <c r="P109" s="75" t="str">
        <f t="shared" si="61"/>
        <v>YES</v>
      </c>
      <c r="Q109" s="160" t="s">
        <v>419</v>
      </c>
      <c r="R109" s="75" t="str">
        <f t="shared" si="44"/>
        <v>NO</v>
      </c>
      <c r="S109" s="75" t="str">
        <f t="shared" si="45"/>
        <v>NO</v>
      </c>
      <c r="T109" s="160">
        <v>0</v>
      </c>
      <c r="V109" s="31">
        <f t="shared" si="46"/>
        <v>0</v>
      </c>
      <c r="W109" s="277">
        <f t="shared" si="47"/>
        <v>0</v>
      </c>
      <c r="X109" s="277">
        <f t="shared" si="48"/>
        <v>0</v>
      </c>
      <c r="Y109" s="277">
        <f t="shared" si="49"/>
        <v>0</v>
      </c>
      <c r="Z109" s="181">
        <f t="shared" si="50"/>
        <v>0</v>
      </c>
      <c r="AA109" s="104">
        <f t="shared" si="68"/>
        <v>0</v>
      </c>
      <c r="AB109" s="104">
        <f t="shared" si="52"/>
        <v>0</v>
      </c>
      <c r="AC109" s="104">
        <f t="shared" si="53"/>
        <v>0</v>
      </c>
      <c r="AD109" s="104"/>
      <c r="AE109" s="279"/>
      <c r="AF109" s="279">
        <f t="shared" si="54"/>
        <v>0</v>
      </c>
      <c r="AG109" s="104">
        <f t="shared" si="55"/>
        <v>0</v>
      </c>
      <c r="AH109" s="104"/>
      <c r="AI109" s="104">
        <f t="shared" si="56"/>
        <v>0</v>
      </c>
      <c r="AJ109" s="104"/>
      <c r="AK109" s="104">
        <f t="shared" si="62"/>
        <v>0</v>
      </c>
      <c r="AL109" s="181">
        <f t="shared" si="63"/>
        <v>0</v>
      </c>
      <c r="AM109" s="104">
        <f t="shared" si="64"/>
        <v>0</v>
      </c>
      <c r="AN109" s="181">
        <f>IF(V109=0,0,VLOOKUP(K109,'PAINT LABOR COSTS'!$B$27:$N$67,12,0)*V109)*F109</f>
        <v>0</v>
      </c>
      <c r="AO109" s="181">
        <f t="shared" si="65"/>
        <v>0</v>
      </c>
      <c r="AP109" s="104">
        <f t="shared" si="57"/>
        <v>0</v>
      </c>
    </row>
    <row r="110" spans="1:42" s="120" customFormat="1" ht="15.75">
      <c r="A110" s="280">
        <v>100</v>
      </c>
      <c r="B110" s="181">
        <f t="shared" si="58"/>
        <v>0</v>
      </c>
      <c r="C110" s="181">
        <f t="shared" si="59"/>
        <v>0</v>
      </c>
      <c r="D110" s="181">
        <f t="shared" si="60"/>
        <v>0</v>
      </c>
      <c r="E110" s="22">
        <f t="shared" si="66"/>
        <v>0</v>
      </c>
      <c r="F110" s="160"/>
      <c r="G110" s="187"/>
      <c r="H110" s="160"/>
      <c r="I110" s="160"/>
      <c r="J110" s="160"/>
      <c r="K110" s="160"/>
      <c r="L110" s="75" t="str">
        <f>IFERROR(VLOOKUP(K110,'PAINT LABOR COSTS'!$B$27:$C$58,2,FALSE),"Pick Color")</f>
        <v>Pick Color</v>
      </c>
      <c r="M110" s="160"/>
      <c r="N110" s="278">
        <f t="shared" si="42"/>
        <v>0</v>
      </c>
      <c r="O110" s="147" t="str">
        <f t="shared" si="67"/>
        <v/>
      </c>
      <c r="P110" s="75" t="str">
        <f t="shared" si="61"/>
        <v>YES</v>
      </c>
      <c r="Q110" s="160" t="s">
        <v>419</v>
      </c>
      <c r="R110" s="75" t="str">
        <f t="shared" si="44"/>
        <v>NO</v>
      </c>
      <c r="S110" s="75" t="str">
        <f t="shared" si="45"/>
        <v>NO</v>
      </c>
      <c r="T110" s="160">
        <v>0</v>
      </c>
      <c r="U110" s="121"/>
      <c r="V110" s="31">
        <f t="shared" si="46"/>
        <v>0</v>
      </c>
      <c r="W110" s="277">
        <f t="shared" si="47"/>
        <v>0</v>
      </c>
      <c r="X110" s="277">
        <f t="shared" si="48"/>
        <v>0</v>
      </c>
      <c r="Y110" s="277">
        <f t="shared" si="49"/>
        <v>0</v>
      </c>
      <c r="Z110" s="181">
        <f t="shared" si="50"/>
        <v>0</v>
      </c>
      <c r="AA110" s="104">
        <f t="shared" si="68"/>
        <v>0</v>
      </c>
      <c r="AB110" s="104">
        <f t="shared" si="52"/>
        <v>0</v>
      </c>
      <c r="AC110" s="104">
        <f t="shared" si="53"/>
        <v>0</v>
      </c>
      <c r="AD110" s="104"/>
      <c r="AE110" s="279"/>
      <c r="AF110" s="279">
        <f t="shared" si="54"/>
        <v>0</v>
      </c>
      <c r="AG110" s="104">
        <f t="shared" si="55"/>
        <v>0</v>
      </c>
      <c r="AH110" s="104"/>
      <c r="AI110" s="104">
        <f t="shared" si="56"/>
        <v>0</v>
      </c>
      <c r="AJ110" s="104"/>
      <c r="AK110" s="104">
        <f t="shared" si="62"/>
        <v>0</v>
      </c>
      <c r="AL110" s="181">
        <f t="shared" si="63"/>
        <v>0</v>
      </c>
      <c r="AM110" s="104">
        <f t="shared" si="64"/>
        <v>0</v>
      </c>
      <c r="AN110" s="181">
        <f>IF(V110=0,0,VLOOKUP(K110,'PAINT LABOR COSTS'!$B$27:$N$67,12,0)*V110)*F110</f>
        <v>0</v>
      </c>
      <c r="AO110" s="181">
        <f t="shared" si="65"/>
        <v>0</v>
      </c>
      <c r="AP110" s="104">
        <f t="shared" si="57"/>
        <v>0</v>
      </c>
    </row>
    <row r="111" spans="1:42" s="91" customFormat="1">
      <c r="A111" s="87"/>
      <c r="B111" s="87"/>
      <c r="C111" s="87"/>
      <c r="D111" s="87"/>
      <c r="E111" s="87"/>
      <c r="F111" s="87"/>
      <c r="G111" s="87"/>
      <c r="H111" s="2"/>
      <c r="I111" s="2"/>
      <c r="J111" s="2"/>
      <c r="K111" s="87"/>
      <c r="L111" s="87"/>
      <c r="M111" s="87"/>
      <c r="N111" s="122"/>
      <c r="O111" s="122"/>
      <c r="P111" s="87"/>
      <c r="Q111" s="87"/>
      <c r="R111" s="87"/>
      <c r="S111" s="87"/>
      <c r="T111" s="87"/>
      <c r="U111" s="123"/>
      <c r="AC111" s="126"/>
    </row>
    <row r="161" spans="5:40" ht="18.75">
      <c r="G161" s="140"/>
      <c r="H161" s="140"/>
      <c r="I161" s="140"/>
      <c r="J161" s="140"/>
      <c r="K161" s="140"/>
      <c r="L161" s="140"/>
      <c r="M161" s="140"/>
      <c r="N161" s="142"/>
      <c r="O161" s="142"/>
      <c r="P161" s="140"/>
      <c r="Q161" s="140"/>
      <c r="R161" s="140"/>
      <c r="S161" s="140"/>
      <c r="T161" s="140"/>
      <c r="Z161" s="2"/>
      <c r="AA161" s="2"/>
      <c r="AB161" s="2"/>
      <c r="AC161" s="39"/>
      <c r="AD161" s="2"/>
    </row>
    <row r="162" spans="5:40" ht="18.75">
      <c r="E162" s="2">
        <f>IF(G11="S",N11,IF(G11="PR",N11*2,IF(G11="QD",N11*4,0)))</f>
        <v>16</v>
      </c>
      <c r="G162" s="140" t="s">
        <v>460</v>
      </c>
      <c r="H162" s="140" t="s">
        <v>458</v>
      </c>
      <c r="I162" s="140">
        <v>6</v>
      </c>
      <c r="J162" s="140">
        <v>12</v>
      </c>
      <c r="K162" s="140" t="s">
        <v>246</v>
      </c>
      <c r="L162" t="s">
        <v>420</v>
      </c>
      <c r="M162" s="140" t="s">
        <v>420</v>
      </c>
      <c r="N162" s="142"/>
      <c r="O162" s="142"/>
      <c r="P162" s="140" t="s">
        <v>394</v>
      </c>
      <c r="Q162" s="140"/>
      <c r="R162" s="140"/>
      <c r="S162" s="140"/>
      <c r="T162" s="145">
        <v>0</v>
      </c>
      <c r="Z162" s="115"/>
      <c r="AA162" s="113"/>
      <c r="AB162" s="113" t="s">
        <v>461</v>
      </c>
      <c r="AC162" s="115"/>
      <c r="AD162" s="115"/>
      <c r="AE162" s="2"/>
      <c r="AF162" s="2"/>
      <c r="AG162" s="2"/>
      <c r="AI162">
        <f>35*60/144</f>
        <v>14.583333333333334</v>
      </c>
    </row>
    <row r="163" spans="5:40" ht="18.75">
      <c r="G163" s="140" t="s">
        <v>457</v>
      </c>
      <c r="H163" s="140" t="s">
        <v>462</v>
      </c>
      <c r="I163" s="140">
        <v>7</v>
      </c>
      <c r="J163" s="140">
        <v>12.5</v>
      </c>
      <c r="K163" s="140" t="s">
        <v>195</v>
      </c>
      <c r="L163" s="104">
        <v>15</v>
      </c>
      <c r="M163" s="140" t="s">
        <v>421</v>
      </c>
      <c r="N163" s="142"/>
      <c r="O163" s="142"/>
      <c r="P163" s="140" t="s">
        <v>419</v>
      </c>
      <c r="Q163" s="140"/>
      <c r="R163" s="140"/>
      <c r="S163" s="140"/>
      <c r="T163" s="145" t="s">
        <v>463</v>
      </c>
      <c r="Z163" s="2"/>
      <c r="AA163" s="2"/>
      <c r="AB163" s="2"/>
      <c r="AC163" s="39"/>
      <c r="AD163" s="2"/>
      <c r="AI163" s="5">
        <v>120</v>
      </c>
      <c r="AJ163" s="104"/>
      <c r="AK163" s="5"/>
    </row>
    <row r="164" spans="5:40" ht="18.75">
      <c r="G164" s="140" t="s">
        <v>464</v>
      </c>
      <c r="H164" s="140"/>
      <c r="I164" s="140">
        <v>8</v>
      </c>
      <c r="J164" s="140">
        <v>13</v>
      </c>
      <c r="K164" s="140" t="s">
        <v>361</v>
      </c>
      <c r="L164" t="s">
        <v>421</v>
      </c>
      <c r="M164" s="140" t="s">
        <v>422</v>
      </c>
      <c r="N164" s="142"/>
      <c r="O164" s="142"/>
      <c r="P164" s="140"/>
      <c r="Q164" s="140"/>
      <c r="R164" s="140"/>
      <c r="S164" s="140"/>
      <c r="T164" s="145" t="s">
        <v>465</v>
      </c>
      <c r="Z164" s="2"/>
      <c r="AA164" s="2"/>
      <c r="AB164" s="2" t="s">
        <v>466</v>
      </c>
      <c r="AC164" s="92"/>
      <c r="AD164" s="2"/>
      <c r="AE164" s="2"/>
      <c r="AN164" s="104"/>
    </row>
    <row r="165" spans="5:40" ht="18.75">
      <c r="G165" s="140"/>
      <c r="H165" s="140"/>
      <c r="I165" s="140">
        <v>9</v>
      </c>
      <c r="J165" s="140">
        <v>13.5</v>
      </c>
      <c r="K165" s="140" t="s">
        <v>423</v>
      </c>
      <c r="L165" s="104">
        <v>50</v>
      </c>
      <c r="M165" s="140" t="s">
        <v>396</v>
      </c>
      <c r="N165" s="142"/>
      <c r="O165" s="142"/>
      <c r="P165" s="140"/>
      <c r="Q165" s="140"/>
      <c r="R165" s="140"/>
      <c r="S165" s="140"/>
      <c r="T165" s="145" t="s">
        <v>467</v>
      </c>
      <c r="Z165" s="25"/>
      <c r="AA165" s="25"/>
      <c r="AB165" s="25"/>
      <c r="AC165" s="127"/>
      <c r="AD165" s="25"/>
    </row>
    <row r="166" spans="5:40" ht="18.75">
      <c r="G166" s="140"/>
      <c r="H166" s="140"/>
      <c r="I166" s="140">
        <v>10</v>
      </c>
      <c r="J166" s="140">
        <v>14</v>
      </c>
      <c r="K166" s="140"/>
      <c r="L166" t="s">
        <v>422</v>
      </c>
      <c r="M166" s="140" t="s">
        <v>423</v>
      </c>
      <c r="N166" s="142"/>
      <c r="O166" s="142"/>
      <c r="P166" s="140"/>
      <c r="Q166" s="140"/>
      <c r="R166" s="140"/>
      <c r="S166" s="140"/>
      <c r="T166" s="140"/>
      <c r="Z166" s="2"/>
      <c r="AA166" s="2"/>
      <c r="AB166" s="2" t="s">
        <v>468</v>
      </c>
      <c r="AC166" s="39"/>
      <c r="AD166" s="2"/>
      <c r="AE166" s="2"/>
      <c r="AF166" s="2"/>
      <c r="AG166" s="2"/>
      <c r="AN166" s="104"/>
    </row>
    <row r="167" spans="5:40" ht="18.75">
      <c r="G167" s="140"/>
      <c r="H167" s="140"/>
      <c r="I167" s="140">
        <v>11</v>
      </c>
      <c r="J167" s="140">
        <v>14.5</v>
      </c>
      <c r="K167" s="140"/>
      <c r="L167" s="104">
        <v>30</v>
      </c>
      <c r="M167" s="140"/>
      <c r="N167" s="142"/>
      <c r="O167" s="142"/>
      <c r="P167" s="140"/>
      <c r="Q167" s="140"/>
      <c r="R167" s="140"/>
      <c r="S167" s="140"/>
      <c r="T167" s="140"/>
      <c r="Z167" s="2"/>
      <c r="AA167" s="2"/>
      <c r="AB167" s="2"/>
      <c r="AC167" s="39"/>
      <c r="AD167" s="2"/>
    </row>
    <row r="168" spans="5:40" ht="18.75">
      <c r="G168" s="140"/>
      <c r="H168" s="140"/>
      <c r="I168" s="140">
        <v>12</v>
      </c>
      <c r="J168" s="140">
        <v>15</v>
      </c>
      <c r="K168" s="140"/>
      <c r="L168" t="s">
        <v>396</v>
      </c>
      <c r="M168" s="140"/>
      <c r="N168" s="142"/>
      <c r="O168" s="142"/>
      <c r="P168" s="140"/>
      <c r="Q168" s="140"/>
      <c r="R168" s="140"/>
      <c r="S168" s="140"/>
      <c r="T168" s="140"/>
      <c r="Z168" s="25"/>
      <c r="AA168" s="25"/>
      <c r="AB168" s="25" t="s">
        <v>469</v>
      </c>
      <c r="AC168" s="127"/>
      <c r="AD168" s="25"/>
      <c r="AN168" s="104"/>
    </row>
    <row r="169" spans="5:40" ht="18.75">
      <c r="G169" s="140"/>
      <c r="H169" s="140"/>
      <c r="I169" s="140">
        <v>13</v>
      </c>
      <c r="J169" s="140">
        <v>15.5</v>
      </c>
      <c r="K169" s="140"/>
      <c r="L169" s="104">
        <v>60</v>
      </c>
      <c r="M169" s="140"/>
      <c r="N169" s="142"/>
      <c r="O169" s="142"/>
      <c r="P169" s="140"/>
      <c r="Q169" s="140"/>
      <c r="R169" s="140"/>
      <c r="S169" s="140"/>
      <c r="T169" s="140"/>
      <c r="Z169" s="2"/>
      <c r="AA169" s="2"/>
      <c r="AB169" s="2"/>
      <c r="AC169" s="39"/>
      <c r="AD169" s="2"/>
    </row>
    <row r="170" spans="5:40" ht="18.75">
      <c r="G170" s="140"/>
      <c r="H170" s="140"/>
      <c r="I170" s="140">
        <v>14</v>
      </c>
      <c r="J170" s="140">
        <v>16</v>
      </c>
      <c r="K170" s="140"/>
      <c r="L170" t="s">
        <v>423</v>
      </c>
      <c r="M170" s="140"/>
      <c r="N170" s="142"/>
      <c r="O170" s="142"/>
      <c r="P170" s="140"/>
      <c r="Q170" s="140"/>
      <c r="R170" s="140"/>
      <c r="S170" s="140"/>
      <c r="T170" s="140"/>
      <c r="Z170" s="2"/>
      <c r="AA170" s="2"/>
      <c r="AB170" s="2" t="s">
        <v>470</v>
      </c>
      <c r="AC170" s="39"/>
      <c r="AD170" s="2"/>
      <c r="AN170" s="104"/>
    </row>
    <row r="171" spans="5:40" ht="18.75">
      <c r="G171" s="140"/>
      <c r="H171" s="140"/>
      <c r="I171" s="140">
        <v>15</v>
      </c>
      <c r="J171" s="140">
        <v>16.5</v>
      </c>
      <c r="K171" s="140"/>
      <c r="L171" s="104">
        <v>5</v>
      </c>
      <c r="M171" s="140"/>
      <c r="N171" s="142"/>
      <c r="O171" s="142"/>
      <c r="P171" s="140"/>
      <c r="Q171" s="140"/>
      <c r="R171" s="140"/>
      <c r="S171" s="140"/>
      <c r="T171" s="140"/>
      <c r="Z171" s="2"/>
      <c r="AA171" s="2"/>
      <c r="AB171" s="2"/>
      <c r="AC171" s="39"/>
      <c r="AD171" s="2"/>
    </row>
    <row r="172" spans="5:40" ht="18.75">
      <c r="G172" s="140"/>
      <c r="H172" s="140"/>
      <c r="I172" s="140">
        <v>16</v>
      </c>
      <c r="J172" s="140">
        <v>17</v>
      </c>
      <c r="K172" s="140"/>
      <c r="L172" s="140"/>
      <c r="M172" s="140"/>
      <c r="N172" s="142">
        <v>6</v>
      </c>
      <c r="O172" s="281" t="s">
        <v>471</v>
      </c>
      <c r="P172" s="140"/>
      <c r="Q172" s="140"/>
      <c r="R172" s="140"/>
      <c r="S172" s="140"/>
      <c r="T172" s="140"/>
      <c r="AA172" s="2"/>
      <c r="AB172" s="2"/>
      <c r="AN172" s="104"/>
    </row>
    <row r="173" spans="5:40" ht="18.75">
      <c r="G173" s="140"/>
      <c r="H173" s="140"/>
      <c r="I173" s="140">
        <v>17</v>
      </c>
      <c r="J173" s="140">
        <v>17.5</v>
      </c>
      <c r="K173" s="140"/>
      <c r="L173" s="140"/>
      <c r="M173" s="140"/>
      <c r="N173" s="142">
        <v>7</v>
      </c>
      <c r="O173" s="281" t="s">
        <v>472</v>
      </c>
      <c r="P173" s="140"/>
      <c r="Q173" s="140"/>
      <c r="R173" s="140"/>
      <c r="S173" s="140"/>
      <c r="T173" s="140"/>
      <c r="Z173" s="2"/>
      <c r="AA173" s="113"/>
      <c r="AB173" s="113"/>
      <c r="AC173" s="39"/>
      <c r="AD173" s="2"/>
    </row>
    <row r="174" spans="5:40" ht="18.75">
      <c r="G174" s="140"/>
      <c r="H174" s="140"/>
      <c r="I174" s="140">
        <v>18</v>
      </c>
      <c r="J174" s="140">
        <v>18</v>
      </c>
      <c r="K174" s="140"/>
      <c r="L174" s="140"/>
      <c r="M174" s="140"/>
      <c r="N174" s="142">
        <v>8</v>
      </c>
      <c r="O174" s="281" t="s">
        <v>473</v>
      </c>
      <c r="P174" s="140"/>
      <c r="Q174" s="140"/>
      <c r="R174" s="140"/>
      <c r="S174" s="140"/>
      <c r="T174" s="140"/>
    </row>
    <row r="175" spans="5:40" ht="18.75">
      <c r="G175" s="140"/>
      <c r="H175" s="140"/>
      <c r="I175" s="140">
        <v>19</v>
      </c>
      <c r="J175" s="140">
        <v>18.5</v>
      </c>
      <c r="K175" s="140"/>
      <c r="L175" s="140"/>
      <c r="M175" s="140"/>
      <c r="N175" s="142">
        <v>9</v>
      </c>
      <c r="O175" s="281" t="s">
        <v>474</v>
      </c>
      <c r="P175" s="140"/>
      <c r="Q175" s="140"/>
      <c r="R175" s="140"/>
      <c r="S175" s="140"/>
      <c r="T175" s="140"/>
      <c r="AA175" s="25"/>
      <c r="AB175" s="25"/>
    </row>
    <row r="176" spans="5:40" ht="18.75">
      <c r="G176" s="140"/>
      <c r="H176" s="140"/>
      <c r="I176" s="140">
        <v>20</v>
      </c>
      <c r="J176" s="140">
        <v>19</v>
      </c>
      <c r="K176" s="140"/>
      <c r="L176" s="140"/>
      <c r="M176" s="140"/>
      <c r="N176" s="142">
        <v>10</v>
      </c>
      <c r="O176" s="281" t="s">
        <v>475</v>
      </c>
      <c r="P176" s="140"/>
      <c r="Q176" s="140"/>
      <c r="R176" s="140"/>
      <c r="S176" s="140"/>
      <c r="T176" s="140"/>
    </row>
    <row r="177" spans="7:167" ht="18.75">
      <c r="G177" s="140"/>
      <c r="H177" s="140"/>
      <c r="I177" s="140">
        <v>21</v>
      </c>
      <c r="J177" s="140">
        <v>19.5</v>
      </c>
      <c r="K177" s="140"/>
      <c r="L177" s="140"/>
      <c r="M177" s="140"/>
      <c r="N177" s="142">
        <v>11</v>
      </c>
      <c r="O177" s="281" t="s">
        <v>476</v>
      </c>
      <c r="P177" s="140"/>
      <c r="Q177" s="140"/>
      <c r="R177" s="140"/>
      <c r="S177" s="140"/>
      <c r="T177" s="140"/>
    </row>
    <row r="178" spans="7:167" ht="18.75">
      <c r="G178" s="140"/>
      <c r="H178" s="140"/>
      <c r="I178" s="140">
        <v>22</v>
      </c>
      <c r="J178" s="140">
        <v>20</v>
      </c>
      <c r="K178" s="140"/>
      <c r="L178" s="140"/>
      <c r="M178" s="140"/>
      <c r="N178" s="142">
        <v>12</v>
      </c>
      <c r="O178" s="281" t="s">
        <v>477</v>
      </c>
      <c r="P178" s="140"/>
      <c r="Q178" s="140"/>
      <c r="R178" s="140"/>
      <c r="S178" s="140"/>
      <c r="T178" s="140"/>
    </row>
    <row r="179" spans="7:167" ht="18.75">
      <c r="G179" s="140"/>
      <c r="H179" s="140"/>
      <c r="I179" s="140">
        <v>23</v>
      </c>
      <c r="J179" s="140">
        <v>20.5</v>
      </c>
      <c r="K179" s="140"/>
      <c r="L179" s="140"/>
      <c r="M179" s="140"/>
      <c r="N179" s="142">
        <v>13</v>
      </c>
      <c r="O179" s="281" t="s">
        <v>478</v>
      </c>
      <c r="P179" s="140"/>
      <c r="Q179" s="140"/>
      <c r="R179" s="140"/>
      <c r="S179" s="140"/>
      <c r="T179" s="140"/>
      <c r="Z179" s="2"/>
    </row>
    <row r="180" spans="7:167" ht="18.75">
      <c r="G180" s="140"/>
      <c r="H180" s="140"/>
      <c r="I180" s="140">
        <v>24</v>
      </c>
      <c r="J180" s="140">
        <v>21</v>
      </c>
      <c r="K180" s="140"/>
      <c r="L180" s="140"/>
      <c r="M180" s="140"/>
      <c r="N180" s="142">
        <v>14</v>
      </c>
      <c r="O180" s="281" t="s">
        <v>479</v>
      </c>
      <c r="P180" s="140"/>
      <c r="Q180" s="140"/>
      <c r="R180" s="140"/>
      <c r="S180" s="140"/>
      <c r="T180" s="140"/>
      <c r="W180" s="2">
        <v>12</v>
      </c>
      <c r="X180" s="2">
        <v>12.5</v>
      </c>
      <c r="Y180" s="2">
        <v>13</v>
      </c>
      <c r="Z180" s="2">
        <v>13.5</v>
      </c>
      <c r="AA180" s="2">
        <v>14</v>
      </c>
      <c r="AB180" s="2">
        <v>14.5</v>
      </c>
      <c r="AC180" s="2">
        <v>15</v>
      </c>
      <c r="AD180" s="2">
        <v>15.5</v>
      </c>
      <c r="AE180" s="2">
        <v>16</v>
      </c>
      <c r="AF180" s="2">
        <v>16.5</v>
      </c>
      <c r="AG180" s="2">
        <v>17</v>
      </c>
      <c r="AH180" s="2">
        <v>17.5</v>
      </c>
      <c r="AI180" s="2">
        <v>18</v>
      </c>
      <c r="AJ180" s="2">
        <v>18.5</v>
      </c>
      <c r="AK180" s="2">
        <v>19</v>
      </c>
      <c r="AL180" s="2">
        <v>19.5</v>
      </c>
      <c r="AM180" s="2">
        <v>20</v>
      </c>
      <c r="AN180" s="2">
        <v>20.5</v>
      </c>
      <c r="AO180" s="2">
        <v>21</v>
      </c>
      <c r="AP180" s="2">
        <v>21.5</v>
      </c>
      <c r="AQ180" s="2">
        <v>22</v>
      </c>
      <c r="AR180" s="2">
        <v>22.5</v>
      </c>
      <c r="AS180" s="2">
        <v>23</v>
      </c>
      <c r="AT180" s="2">
        <v>23.5</v>
      </c>
      <c r="AU180" s="2">
        <v>24</v>
      </c>
      <c r="AV180" s="2">
        <v>24.5</v>
      </c>
      <c r="AW180" s="2">
        <v>25</v>
      </c>
      <c r="AX180" s="2">
        <v>25.5</v>
      </c>
      <c r="AY180" s="2">
        <v>26</v>
      </c>
      <c r="AZ180" s="2">
        <v>26.5</v>
      </c>
      <c r="BA180" s="2">
        <v>27</v>
      </c>
      <c r="BB180" s="2">
        <v>27.5</v>
      </c>
      <c r="BC180" s="2">
        <v>28</v>
      </c>
      <c r="BD180" s="2">
        <v>28.5</v>
      </c>
      <c r="BE180" s="2">
        <v>29</v>
      </c>
      <c r="BF180" s="2">
        <v>29.5</v>
      </c>
      <c r="BG180" s="2">
        <v>30</v>
      </c>
      <c r="BH180" s="2">
        <v>30.5</v>
      </c>
      <c r="BI180" s="2">
        <v>31</v>
      </c>
      <c r="BJ180" s="2">
        <v>31.5</v>
      </c>
      <c r="BK180" s="2">
        <v>32</v>
      </c>
      <c r="BL180" s="2">
        <v>32.5</v>
      </c>
      <c r="BM180" s="2">
        <v>33</v>
      </c>
      <c r="BN180" s="2">
        <v>33.5</v>
      </c>
      <c r="BO180" s="2">
        <v>34</v>
      </c>
      <c r="BP180" s="2">
        <v>34.5</v>
      </c>
      <c r="BQ180" s="2">
        <v>35</v>
      </c>
      <c r="BR180" s="2">
        <v>35.5</v>
      </c>
      <c r="BS180" s="2">
        <v>36</v>
      </c>
      <c r="BT180" s="2">
        <v>36.5</v>
      </c>
      <c r="BU180" s="2">
        <v>37</v>
      </c>
      <c r="BV180" s="2">
        <v>37.5</v>
      </c>
      <c r="BW180" s="2">
        <v>38</v>
      </c>
      <c r="BX180" s="2">
        <v>38.5</v>
      </c>
      <c r="BY180" s="2">
        <v>39</v>
      </c>
      <c r="BZ180" s="2">
        <v>39.5</v>
      </c>
      <c r="CA180" s="2">
        <v>40</v>
      </c>
      <c r="CB180" s="2">
        <v>40.5</v>
      </c>
      <c r="CC180" s="2">
        <v>41</v>
      </c>
      <c r="CD180" s="2">
        <v>41.5</v>
      </c>
      <c r="CE180" s="2">
        <v>42</v>
      </c>
      <c r="CF180" s="2">
        <v>42.5</v>
      </c>
      <c r="CG180" s="2">
        <v>43</v>
      </c>
      <c r="CH180" s="2">
        <v>43.5</v>
      </c>
      <c r="CI180" s="2">
        <v>44</v>
      </c>
      <c r="CJ180" s="2">
        <v>44.5</v>
      </c>
      <c r="CK180" s="2">
        <v>45</v>
      </c>
      <c r="CL180" s="2">
        <v>45.5</v>
      </c>
      <c r="CM180" s="2">
        <v>46</v>
      </c>
      <c r="CN180" s="2">
        <v>46.5</v>
      </c>
      <c r="CO180" s="2">
        <v>47</v>
      </c>
      <c r="CP180" s="2">
        <v>47.5</v>
      </c>
      <c r="CQ180" s="2">
        <v>48</v>
      </c>
      <c r="CR180" s="2">
        <v>48.5</v>
      </c>
      <c r="CS180" s="2">
        <v>49</v>
      </c>
      <c r="CT180" s="2">
        <v>49.5</v>
      </c>
      <c r="CU180" s="2">
        <v>50</v>
      </c>
      <c r="CV180" s="2">
        <v>50.5</v>
      </c>
      <c r="CW180" s="2">
        <v>51</v>
      </c>
      <c r="CX180" s="2">
        <v>51.5</v>
      </c>
      <c r="CY180" s="2">
        <v>52</v>
      </c>
      <c r="CZ180" s="2">
        <v>52.5</v>
      </c>
      <c r="DA180" s="2">
        <v>53</v>
      </c>
      <c r="DB180" s="2">
        <v>53.5</v>
      </c>
      <c r="DC180" s="2">
        <v>54</v>
      </c>
      <c r="DD180" s="2">
        <v>54.5</v>
      </c>
      <c r="DE180" s="2">
        <v>55</v>
      </c>
      <c r="DF180" s="2">
        <v>55.5</v>
      </c>
      <c r="DG180" s="2">
        <v>56</v>
      </c>
      <c r="DH180" s="2">
        <v>56.5</v>
      </c>
      <c r="DI180" s="2">
        <v>57</v>
      </c>
      <c r="DJ180" s="2">
        <v>57.5</v>
      </c>
      <c r="DK180" s="2">
        <v>58</v>
      </c>
      <c r="DL180" s="2">
        <v>58.5</v>
      </c>
      <c r="DM180" s="2">
        <v>59</v>
      </c>
      <c r="DN180" s="2">
        <v>59.5</v>
      </c>
      <c r="DO180" s="2">
        <v>60</v>
      </c>
      <c r="DP180" s="2">
        <v>60.5</v>
      </c>
      <c r="DQ180" s="2">
        <v>61</v>
      </c>
      <c r="DR180" s="2">
        <v>61.5</v>
      </c>
      <c r="DS180" s="2">
        <v>62</v>
      </c>
      <c r="DT180" s="2">
        <v>62.5</v>
      </c>
      <c r="DU180" s="2">
        <v>63</v>
      </c>
      <c r="DV180" s="2">
        <v>63.5</v>
      </c>
      <c r="DW180" s="2">
        <v>64</v>
      </c>
      <c r="DX180" s="2">
        <v>64.5</v>
      </c>
      <c r="DY180" s="2">
        <v>65</v>
      </c>
      <c r="DZ180" s="2">
        <v>65.5</v>
      </c>
      <c r="EA180" s="2">
        <v>66</v>
      </c>
      <c r="EB180" s="2">
        <v>66.5</v>
      </c>
      <c r="EC180" s="2">
        <v>67</v>
      </c>
      <c r="ED180" s="2">
        <v>67.5</v>
      </c>
      <c r="EE180" s="2">
        <v>68</v>
      </c>
      <c r="EF180" s="2">
        <v>68.5</v>
      </c>
      <c r="EG180" s="2">
        <v>69</v>
      </c>
      <c r="EH180" s="2">
        <v>69.5</v>
      </c>
      <c r="EI180" s="2">
        <v>70</v>
      </c>
      <c r="EJ180" s="2">
        <v>70.5</v>
      </c>
      <c r="EK180" s="2">
        <v>71</v>
      </c>
      <c r="EL180" s="2">
        <v>71.5</v>
      </c>
      <c r="EM180" s="2">
        <v>72</v>
      </c>
      <c r="EN180" s="2">
        <v>72.5</v>
      </c>
      <c r="EO180" s="2">
        <v>73</v>
      </c>
      <c r="EP180" s="2">
        <v>73.5</v>
      </c>
      <c r="EQ180" s="2">
        <v>74</v>
      </c>
      <c r="ER180" s="2">
        <v>74.5</v>
      </c>
      <c r="ES180" s="2">
        <v>75</v>
      </c>
      <c r="ET180" s="2">
        <v>75.5</v>
      </c>
      <c r="EU180" s="2">
        <v>76</v>
      </c>
      <c r="EV180" s="2">
        <v>76.5</v>
      </c>
      <c r="EW180" s="2">
        <v>77</v>
      </c>
      <c r="EX180" s="2">
        <v>77.5</v>
      </c>
      <c r="EY180" s="2">
        <v>78</v>
      </c>
      <c r="EZ180" s="2">
        <v>78.5</v>
      </c>
      <c r="FA180" s="2">
        <v>79</v>
      </c>
      <c r="FB180" s="2">
        <v>79.5</v>
      </c>
      <c r="FC180" s="2">
        <v>80</v>
      </c>
      <c r="FD180" s="2">
        <v>80.5</v>
      </c>
      <c r="FE180" s="2">
        <v>81</v>
      </c>
      <c r="FF180" s="2">
        <v>81.5</v>
      </c>
      <c r="FG180" s="2">
        <v>82</v>
      </c>
      <c r="FH180" s="2">
        <v>82.5</v>
      </c>
      <c r="FI180" s="2">
        <v>83</v>
      </c>
      <c r="FJ180" s="2">
        <v>83.5</v>
      </c>
      <c r="FK180" s="2">
        <v>84</v>
      </c>
    </row>
    <row r="181" spans="7:167" ht="18.75">
      <c r="G181" s="140"/>
      <c r="H181" s="140"/>
      <c r="I181" s="140">
        <v>25</v>
      </c>
      <c r="J181" s="140">
        <v>21.5</v>
      </c>
      <c r="K181" s="140"/>
      <c r="L181" s="140"/>
      <c r="M181" s="140"/>
      <c r="N181" s="140">
        <v>15</v>
      </c>
      <c r="O181" s="281" t="s">
        <v>480</v>
      </c>
      <c r="P181" s="140"/>
      <c r="Q181" s="140"/>
      <c r="R181" s="140"/>
      <c r="S181" s="140"/>
      <c r="T181" s="140"/>
      <c r="V181" s="281" t="s">
        <v>471</v>
      </c>
      <c r="W181" s="31">
        <f>(W$180*2)/12*Parts!$M$128</f>
        <v>5.5696000000000003</v>
      </c>
      <c r="X181" s="31">
        <f>(X$180*2)/12*Parts!$M$128</f>
        <v>5.8016666666666676</v>
      </c>
      <c r="Y181" s="31">
        <f>(Y$180*2)/12*Parts!$M$128</f>
        <v>6.0337333333333332</v>
      </c>
      <c r="Z181" s="31">
        <f>(Z$180*2)/12*Parts!$M$128</f>
        <v>6.2658000000000005</v>
      </c>
      <c r="AA181" s="31">
        <f>(AA$180*2)/12*Parts!$M$128</f>
        <v>6.4978666666666678</v>
      </c>
      <c r="AB181" s="31">
        <f>(AB$180*2)/12*Parts!$M$128</f>
        <v>6.7299333333333333</v>
      </c>
      <c r="AC181" s="31">
        <f>(AC$180*2)/12*Parts!$M$128</f>
        <v>6.9620000000000006</v>
      </c>
      <c r="AD181" s="31">
        <f>(AD$180*2)/12*Parts!$M$128</f>
        <v>7.1940666666666679</v>
      </c>
      <c r="AE181" s="31">
        <f>(AE$180*2)/12*Parts!$M$128</f>
        <v>7.4261333333333335</v>
      </c>
      <c r="AF181" s="31">
        <f>(AF$180*2)/12*Parts!$M$128</f>
        <v>7.6582000000000008</v>
      </c>
      <c r="AG181" s="31">
        <f>(AG$180*2)/12*Parts!$M$128</f>
        <v>7.8902666666666672</v>
      </c>
      <c r="AH181" s="31">
        <f>(AH$180*2)/12*Parts!$M$128</f>
        <v>8.1223333333333336</v>
      </c>
      <c r="AI181" s="31">
        <f>(AI$180*2)/12*Parts!$M$128</f>
        <v>8.3544</v>
      </c>
      <c r="AJ181" s="31">
        <f>(AJ$180*2)/12*Parts!$M$128</f>
        <v>8.5864666666666682</v>
      </c>
      <c r="AK181" s="31">
        <f>(AK$180*2)/12*Parts!$M$128</f>
        <v>8.8185333333333329</v>
      </c>
      <c r="AL181" s="31">
        <f>(AL$180*2)/12*Parts!$M$128</f>
        <v>9.0506000000000011</v>
      </c>
      <c r="AM181" s="31">
        <f>(AM$180*2)/12*Parts!$M$128</f>
        <v>9.2826666666666675</v>
      </c>
      <c r="AN181" s="31">
        <f>(AN$180*2)/12*Parts!$M$128</f>
        <v>9.5147333333333339</v>
      </c>
      <c r="AO181" s="31">
        <f>(AO$180*2)/12*Parts!$M$128</f>
        <v>9.7468000000000004</v>
      </c>
      <c r="AP181" s="31">
        <f>(AP$180*2)/12*Parts!$M$128</f>
        <v>9.9788666666666686</v>
      </c>
      <c r="AQ181" s="31">
        <f>(AQ$180*2)/12*Parts!$M$128</f>
        <v>10.210933333333333</v>
      </c>
      <c r="AR181" s="31">
        <f>(AR$180*2)/12*Parts!$M$128</f>
        <v>10.443000000000001</v>
      </c>
      <c r="AS181" s="31">
        <f>(AS$180*2)/12*Parts!$M$128</f>
        <v>10.675066666666668</v>
      </c>
      <c r="AT181" s="31">
        <f>(AT$180*2)/12*Parts!$M$128</f>
        <v>10.907133333333334</v>
      </c>
      <c r="AU181" s="31">
        <f>(AU$180*2)/12*Parts!$M$128</f>
        <v>11.139200000000001</v>
      </c>
      <c r="AV181" s="31">
        <f>(AV$180*2)/12*Parts!$M$128</f>
        <v>11.371266666666667</v>
      </c>
      <c r="AW181" s="31">
        <f>(AW$180*2)/12*Parts!$M$128</f>
        <v>11.603333333333335</v>
      </c>
      <c r="AX181" s="31">
        <f>(AX$180*2)/12*Parts!$M$128</f>
        <v>11.8354</v>
      </c>
      <c r="AY181" s="31">
        <f>(AY$180*2)/12*Parts!$M$128</f>
        <v>12.067466666666666</v>
      </c>
      <c r="AZ181" s="31">
        <f>(AZ$180*2)/12*Parts!$M$128</f>
        <v>12.299533333333335</v>
      </c>
      <c r="BA181" s="31">
        <f>(BA$180*2)/12*Parts!$M$128</f>
        <v>12.531600000000001</v>
      </c>
      <c r="BB181" s="31">
        <f>(BB$180*2)/12*Parts!$M$128</f>
        <v>12.763666666666667</v>
      </c>
      <c r="BC181" s="31">
        <f>(BC$180*2)/12*Parts!$M$128</f>
        <v>12.995733333333336</v>
      </c>
      <c r="BD181" s="31">
        <f>(BD$180*2)/12*Parts!$M$128</f>
        <v>13.2278</v>
      </c>
      <c r="BE181" s="31">
        <f>(BE$180*2)/12*Parts!$M$128</f>
        <v>13.459866666666667</v>
      </c>
      <c r="BF181" s="31">
        <f>(BF$180*2)/12*Parts!$M$128</f>
        <v>13.691933333333335</v>
      </c>
      <c r="BG181" s="31">
        <f>(BG$180*2)/12*Parts!$M$128</f>
        <v>13.924000000000001</v>
      </c>
      <c r="BH181" s="31">
        <f>(BH$180*2)/12*Parts!$M$128</f>
        <v>14.156066666666666</v>
      </c>
      <c r="BI181" s="31">
        <f>(BI$180*2)/12*Parts!$M$128</f>
        <v>14.388133333333336</v>
      </c>
      <c r="BJ181" s="31">
        <f>(BJ$180*2)/12*Parts!$M$128</f>
        <v>14.620200000000001</v>
      </c>
      <c r="BK181" s="31">
        <f>(BK$180*2)/12*Parts!$M$128</f>
        <v>14.852266666666667</v>
      </c>
      <c r="BL181" s="31">
        <f>(BL$180*2)/12*Parts!$M$128</f>
        <v>15.084333333333335</v>
      </c>
      <c r="BM181" s="31">
        <f>(BM$180*2)/12*Parts!$M$128</f>
        <v>15.316400000000002</v>
      </c>
      <c r="BN181" s="31">
        <f>(BN$180*2)/12*Parts!$M$128</f>
        <v>15.548466666666666</v>
      </c>
      <c r="BO181" s="31">
        <f>(BO$180*2)/12*Parts!$M$128</f>
        <v>15.780533333333334</v>
      </c>
      <c r="BP181" s="31">
        <f>(BP$180*2)/12*Parts!$M$128</f>
        <v>16.012600000000003</v>
      </c>
      <c r="BQ181" s="31">
        <f>(BQ$180*2)/12*Parts!$M$128</f>
        <v>16.244666666666667</v>
      </c>
      <c r="BR181" s="31">
        <f>(BR$180*2)/12*Parts!$M$128</f>
        <v>16.476733333333335</v>
      </c>
      <c r="BS181" s="31">
        <f>(BS$180*2)/12*Parts!$M$128</f>
        <v>16.7088</v>
      </c>
      <c r="BT181" s="31">
        <f>(BT$180*2)/12*Parts!$M$128</f>
        <v>16.940866666666668</v>
      </c>
      <c r="BU181" s="31">
        <f>(BU$180*2)/12*Parts!$M$128</f>
        <v>17.172933333333336</v>
      </c>
      <c r="BV181" s="31">
        <f>(BV$180*2)/12*Parts!$M$128</f>
        <v>17.405000000000001</v>
      </c>
      <c r="BW181" s="31">
        <f>(BW$180*2)/12*Parts!$M$128</f>
        <v>17.637066666666666</v>
      </c>
      <c r="BX181" s="31">
        <f>(BX$180*2)/12*Parts!$M$128</f>
        <v>17.869133333333334</v>
      </c>
      <c r="BY181" s="31">
        <f>(BY$180*2)/12*Parts!$M$128</f>
        <v>18.101200000000002</v>
      </c>
      <c r="BZ181" s="31">
        <f>(BZ$180*2)/12*Parts!$M$128</f>
        <v>18.333266666666667</v>
      </c>
      <c r="CA181" s="31">
        <f>(CA$180*2)/12*Parts!$M$128</f>
        <v>18.565333333333335</v>
      </c>
      <c r="CB181" s="31">
        <f>(CB$180*2)/12*Parts!$M$128</f>
        <v>18.7974</v>
      </c>
      <c r="CC181" s="31">
        <f>(CC$180*2)/12*Parts!$M$128</f>
        <v>19.029466666666668</v>
      </c>
      <c r="CD181" s="31">
        <f>(CD$180*2)/12*Parts!$M$128</f>
        <v>19.261533333333336</v>
      </c>
      <c r="CE181" s="31">
        <f>(CE$180*2)/12*Parts!$M$128</f>
        <v>19.493600000000001</v>
      </c>
      <c r="CF181" s="31">
        <f>(CF$180*2)/12*Parts!$M$128</f>
        <v>19.725666666666665</v>
      </c>
      <c r="CG181" s="31">
        <f>(CG$180*2)/12*Parts!$M$128</f>
        <v>19.957733333333337</v>
      </c>
      <c r="CH181" s="31">
        <f>(CH$180*2)/12*Parts!$M$128</f>
        <v>20.189800000000002</v>
      </c>
      <c r="CI181" s="31">
        <f>(CI$180*2)/12*Parts!$M$128</f>
        <v>20.421866666666666</v>
      </c>
      <c r="CJ181" s="31">
        <f>(CJ$180*2)/12*Parts!$M$128</f>
        <v>20.653933333333335</v>
      </c>
      <c r="CK181" s="31">
        <f>(CK$180*2)/12*Parts!$M$128</f>
        <v>20.886000000000003</v>
      </c>
      <c r="CL181" s="31">
        <f>(CL$180*2)/12*Parts!$M$128</f>
        <v>21.118066666666667</v>
      </c>
      <c r="CM181" s="31">
        <f>(CM$180*2)/12*Parts!$M$128</f>
        <v>21.350133333333336</v>
      </c>
      <c r="CN181" s="31">
        <f>(CN$180*2)/12*Parts!$M$128</f>
        <v>21.5822</v>
      </c>
      <c r="CO181" s="31">
        <f>(CO$180*2)/12*Parts!$M$128</f>
        <v>21.814266666666668</v>
      </c>
      <c r="CP181" s="31">
        <f>(CP$180*2)/12*Parts!$M$128</f>
        <v>22.046333333333337</v>
      </c>
      <c r="CQ181" s="31">
        <f>(CQ$180*2)/12*Parts!$M$128</f>
        <v>22.278400000000001</v>
      </c>
      <c r="CR181" s="31">
        <f>(CR$180*2)/12*Parts!$M$128</f>
        <v>22.51046666666667</v>
      </c>
      <c r="CS181" s="31">
        <f>(CS$180*2)/12*Parts!$M$128</f>
        <v>22.742533333333334</v>
      </c>
      <c r="CT181" s="31">
        <f>(CT$180*2)/12*Parts!$M$128</f>
        <v>22.974600000000002</v>
      </c>
      <c r="CU181" s="31">
        <f>(CU$180*2)/12*Parts!$M$128</f>
        <v>23.206666666666671</v>
      </c>
      <c r="CV181" s="31">
        <f>(CV$180*2)/12*Parts!$M$128</f>
        <v>23.438733333333332</v>
      </c>
      <c r="CW181" s="31">
        <f>(CW$180*2)/12*Parts!$M$128</f>
        <v>23.6708</v>
      </c>
      <c r="CX181" s="31">
        <f>(CX$180*2)/12*Parts!$M$128</f>
        <v>23.902866666666668</v>
      </c>
      <c r="CY181" s="31">
        <f>(CY$180*2)/12*Parts!$M$128</f>
        <v>24.134933333333333</v>
      </c>
      <c r="CZ181" s="31">
        <f>(CZ$180*2)/12*Parts!$M$128</f>
        <v>24.367000000000001</v>
      </c>
      <c r="DA181" s="31">
        <f>(DA$180*2)/12*Parts!$M$128</f>
        <v>24.599066666666669</v>
      </c>
      <c r="DB181" s="31">
        <f>(DB$180*2)/12*Parts!$M$128</f>
        <v>24.831133333333334</v>
      </c>
      <c r="DC181" s="31">
        <f>(DC$180*2)/12*Parts!$M$128</f>
        <v>25.063200000000002</v>
      </c>
      <c r="DD181" s="31">
        <f>(DD$180*2)/12*Parts!$M$128</f>
        <v>25.29526666666667</v>
      </c>
      <c r="DE181" s="31">
        <f>(DE$180*2)/12*Parts!$M$128</f>
        <v>25.527333333333335</v>
      </c>
      <c r="DF181" s="31">
        <f>(DF$180*2)/12*Parts!$M$128</f>
        <v>25.759400000000003</v>
      </c>
      <c r="DG181" s="31">
        <f>(DG$180*2)/12*Parts!$M$128</f>
        <v>25.991466666666671</v>
      </c>
      <c r="DH181" s="31">
        <f>(DH$180*2)/12*Parts!$M$128</f>
        <v>26.223533333333332</v>
      </c>
      <c r="DI181" s="31">
        <f>(DI$180*2)/12*Parts!$M$128</f>
        <v>26.4556</v>
      </c>
      <c r="DJ181" s="31">
        <f>(DJ$180*2)/12*Parts!$M$128</f>
        <v>26.687666666666669</v>
      </c>
      <c r="DK181" s="31">
        <f>(DK$180*2)/12*Parts!$M$128</f>
        <v>26.919733333333333</v>
      </c>
      <c r="DL181" s="31">
        <f>(DL$180*2)/12*Parts!$M$128</f>
        <v>27.151800000000001</v>
      </c>
      <c r="DM181" s="31">
        <f>(DM$180*2)/12*Parts!$M$128</f>
        <v>27.38386666666667</v>
      </c>
      <c r="DN181" s="31">
        <f>(DN$180*2)/12*Parts!$M$128</f>
        <v>27.615933333333334</v>
      </c>
      <c r="DO181" s="31">
        <f>(DO$180*2)/12*Parts!$M$128</f>
        <v>27.848000000000003</v>
      </c>
      <c r="DP181" s="31">
        <f>(DP$180*2)/12*Parts!$M$128</f>
        <v>28.080066666666671</v>
      </c>
      <c r="DQ181" s="31">
        <f>(DQ$180*2)/12*Parts!$M$128</f>
        <v>28.312133333333332</v>
      </c>
      <c r="DR181" s="31">
        <f>(DR$180*2)/12*Parts!$M$128</f>
        <v>28.5442</v>
      </c>
      <c r="DS181" s="31">
        <f>(DS$180*2)/12*Parts!$M$128</f>
        <v>28.776266666666672</v>
      </c>
      <c r="DT181" s="31">
        <f>(DT$180*2)/12*Parts!$M$128</f>
        <v>29.008333333333333</v>
      </c>
      <c r="DU181" s="31">
        <f>(DU$180*2)/12*Parts!$M$128</f>
        <v>29.240400000000001</v>
      </c>
      <c r="DV181" s="31">
        <f>(DV$180*2)/12*Parts!$M$128</f>
        <v>29.472466666666669</v>
      </c>
      <c r="DW181" s="31">
        <f>(DW$180*2)/12*Parts!$M$128</f>
        <v>29.704533333333334</v>
      </c>
      <c r="DX181" s="31">
        <f>(DX$180*2)/12*Parts!$M$128</f>
        <v>29.936600000000002</v>
      </c>
      <c r="DY181" s="31">
        <f>(DY$180*2)/12*Parts!$M$128</f>
        <v>30.16866666666667</v>
      </c>
      <c r="DZ181" s="31">
        <f>(DZ$180*2)/12*Parts!$M$128</f>
        <v>30.400733333333335</v>
      </c>
      <c r="EA181" s="31">
        <f>(EA$180*2)/12*Parts!$M$128</f>
        <v>30.632800000000003</v>
      </c>
      <c r="EB181" s="31">
        <f>(EB$180*2)/12*Parts!$M$128</f>
        <v>30.864866666666671</v>
      </c>
      <c r="EC181" s="31">
        <f>(EC$180*2)/12*Parts!$M$128</f>
        <v>31.096933333333332</v>
      </c>
      <c r="ED181" s="31">
        <f>(ED$180*2)/12*Parts!$M$128</f>
        <v>31.329000000000001</v>
      </c>
      <c r="EE181" s="31">
        <f>(EE$180*2)/12*Parts!$M$128</f>
        <v>31.561066666666669</v>
      </c>
      <c r="EF181" s="31">
        <f>(EF$180*2)/12*Parts!$M$128</f>
        <v>31.793133333333333</v>
      </c>
      <c r="EG181" s="31">
        <f>(EG$180*2)/12*Parts!$M$128</f>
        <v>32.025200000000005</v>
      </c>
      <c r="EH181" s="31">
        <f>(EH$180*2)/12*Parts!$M$128</f>
        <v>32.257266666666673</v>
      </c>
      <c r="EI181" s="31">
        <f>(EI$180*2)/12*Parts!$M$128</f>
        <v>32.489333333333335</v>
      </c>
      <c r="EJ181" s="31">
        <f>(EJ$180*2)/12*Parts!$M$128</f>
        <v>32.721400000000003</v>
      </c>
      <c r="EK181" s="31">
        <f>(EK$180*2)/12*Parts!$M$128</f>
        <v>32.953466666666671</v>
      </c>
      <c r="EL181" s="31">
        <f>(EL$180*2)/12*Parts!$M$128</f>
        <v>33.185533333333332</v>
      </c>
      <c r="EM181" s="31">
        <f>(EM$180*2)/12*Parts!$M$128</f>
        <v>33.4176</v>
      </c>
      <c r="EN181" s="31">
        <f>(EN$180*2)/12*Parts!$M$128</f>
        <v>33.649666666666668</v>
      </c>
      <c r="EO181" s="31">
        <f>(EO$180*2)/12*Parts!$M$128</f>
        <v>33.881733333333337</v>
      </c>
      <c r="EP181" s="31">
        <f>(EP$180*2)/12*Parts!$M$128</f>
        <v>34.113800000000005</v>
      </c>
      <c r="EQ181" s="31">
        <f>(EQ$180*2)/12*Parts!$M$128</f>
        <v>34.345866666666673</v>
      </c>
      <c r="ER181" s="31">
        <f>(ER$180*2)/12*Parts!$M$128</f>
        <v>34.577933333333334</v>
      </c>
      <c r="ES181" s="31">
        <f>(ES$180*2)/12*Parts!$M$128</f>
        <v>34.81</v>
      </c>
      <c r="ET181" s="31">
        <f>(ET$180*2)/12*Parts!$M$128</f>
        <v>35.04206666666667</v>
      </c>
      <c r="EU181" s="31">
        <f>(EU$180*2)/12*Parts!$M$128</f>
        <v>35.274133333333332</v>
      </c>
      <c r="EV181" s="31">
        <f>(EV$180*2)/12*Parts!$M$128</f>
        <v>35.5062</v>
      </c>
      <c r="EW181" s="31">
        <f>(EW$180*2)/12*Parts!$M$128</f>
        <v>35.738266666666668</v>
      </c>
      <c r="EX181" s="31">
        <f>(EX$180*2)/12*Parts!$M$128</f>
        <v>35.970333333333336</v>
      </c>
      <c r="EY181" s="31">
        <f>(EY$180*2)/12*Parts!$M$128</f>
        <v>36.202400000000004</v>
      </c>
      <c r="EZ181" s="31">
        <f>(EZ$180*2)/12*Parts!$M$128</f>
        <v>36.434466666666673</v>
      </c>
      <c r="FA181" s="31">
        <f>(FA$180*2)/12*Parts!$M$128</f>
        <v>36.666533333333334</v>
      </c>
      <c r="FB181" s="31">
        <f>(FB$180*2)/12*Parts!$M$128</f>
        <v>36.898600000000002</v>
      </c>
      <c r="FC181" s="31">
        <f>(FC$180*2)/12*Parts!$M$128</f>
        <v>37.13066666666667</v>
      </c>
      <c r="FD181" s="31">
        <f>(FD$180*2)/12*Parts!$M$128</f>
        <v>37.362733333333331</v>
      </c>
      <c r="FE181" s="31">
        <f>(FE$180*2)/12*Parts!$M$128</f>
        <v>37.594799999999999</v>
      </c>
      <c r="FF181" s="31">
        <f>(FF$180*2)/12*Parts!$M$128</f>
        <v>37.826866666666668</v>
      </c>
      <c r="FG181" s="31">
        <f>(FG$180*2)/12*Parts!$M$128</f>
        <v>38.058933333333336</v>
      </c>
      <c r="FH181" s="31">
        <f>(FH$180*2)/12*Parts!$M$128</f>
        <v>38.291000000000004</v>
      </c>
      <c r="FI181" s="31">
        <f>(FI$180*2)/12*Parts!$M$128</f>
        <v>38.523066666666672</v>
      </c>
      <c r="FJ181" s="31">
        <f>(FJ$180*2)/12*Parts!$M$128</f>
        <v>38.755133333333333</v>
      </c>
      <c r="FK181" s="31">
        <f>(FK$180*2)/12*Parts!$M$128</f>
        <v>38.987200000000001</v>
      </c>
    </row>
    <row r="182" spans="7:167" ht="18.75">
      <c r="G182" s="140"/>
      <c r="H182" s="140"/>
      <c r="I182" s="140">
        <v>26</v>
      </c>
      <c r="J182" s="140">
        <v>22</v>
      </c>
      <c r="K182" s="140"/>
      <c r="L182" s="140"/>
      <c r="M182" s="140"/>
      <c r="N182" s="140">
        <v>16</v>
      </c>
      <c r="O182" s="281" t="s">
        <v>481</v>
      </c>
      <c r="P182" s="140"/>
      <c r="Q182" s="140"/>
      <c r="R182" s="140"/>
      <c r="S182" s="140"/>
      <c r="T182" s="140"/>
      <c r="V182" s="281" t="s">
        <v>472</v>
      </c>
      <c r="W182" s="31">
        <f>(W$180/12)*Parts!$M$128+(W$180/12)*Parts!$M$130</f>
        <v>6.3956</v>
      </c>
      <c r="X182" s="31">
        <f>(X$180/12)*Parts!$M$128+(X$180/12)*Parts!$M$130</f>
        <v>6.6620833333333342</v>
      </c>
      <c r="Y182" s="31">
        <f>(Y$180/12)*Parts!$M$128+(Y$180/12)*Parts!$M$130</f>
        <v>6.9285666666666668</v>
      </c>
      <c r="Z182" s="31">
        <f>(Z$180/12)*Parts!$M$128+(Z$180/12)*Parts!$M$130</f>
        <v>7.1950500000000002</v>
      </c>
      <c r="AA182" s="31">
        <f>(AA$180/12)*Parts!$M$128+(AA$180/12)*Parts!$M$130</f>
        <v>7.4615333333333336</v>
      </c>
      <c r="AB182" s="31">
        <f>(AB$180/12)*Parts!$M$128+(AB$180/12)*Parts!$M$130</f>
        <v>7.728016666666667</v>
      </c>
      <c r="AC182" s="31">
        <f>(AC$180/12)*Parts!$M$128+(AC$180/12)*Parts!$M$130</f>
        <v>7.9945000000000004</v>
      </c>
      <c r="AD182" s="31">
        <f>(AD$180/12)*Parts!$M$128+(AD$180/12)*Parts!$M$130</f>
        <v>8.2609833333333356</v>
      </c>
      <c r="AE182" s="31">
        <f>(AE$180/12)*Parts!$M$128+(AE$180/12)*Parts!$M$130</f>
        <v>8.5274666666666672</v>
      </c>
      <c r="AF182" s="31">
        <f>(AF$180/12)*Parts!$M$128+(AF$180/12)*Parts!$M$130</f>
        <v>8.7939500000000006</v>
      </c>
      <c r="AG182" s="31">
        <f>(AG$180/12)*Parts!$M$128+(AG$180/12)*Parts!$M$130</f>
        <v>9.060433333333334</v>
      </c>
      <c r="AH182" s="31">
        <f>(AH$180/12)*Parts!$M$128+(AH$180/12)*Parts!$M$130</f>
        <v>9.3269166666666656</v>
      </c>
      <c r="AI182" s="31">
        <f>(AI$180/12)*Parts!$M$128+(AI$180/12)*Parts!$M$130</f>
        <v>9.593399999999999</v>
      </c>
      <c r="AJ182" s="31">
        <f>(AJ$180/12)*Parts!$M$128+(AJ$180/12)*Parts!$M$130</f>
        <v>9.859883333333336</v>
      </c>
      <c r="AK182" s="31">
        <f>(AK$180/12)*Parts!$M$128+(AK$180/12)*Parts!$M$130</f>
        <v>10.126366666666666</v>
      </c>
      <c r="AL182" s="31">
        <f>(AL$180/12)*Parts!$M$128+(AL$180/12)*Parts!$M$130</f>
        <v>10.392850000000001</v>
      </c>
      <c r="AM182" s="31">
        <f>(AM$180/12)*Parts!$M$128+(AM$180/12)*Parts!$M$130</f>
        <v>10.659333333333334</v>
      </c>
      <c r="AN182" s="31">
        <f>(AN$180/12)*Parts!$M$128+(AN$180/12)*Parts!$M$130</f>
        <v>10.925816666666666</v>
      </c>
      <c r="AO182" s="31">
        <f>(AO$180/12)*Parts!$M$128+(AO$180/12)*Parts!$M$130</f>
        <v>11.192299999999999</v>
      </c>
      <c r="AP182" s="31">
        <f>(AP$180/12)*Parts!$M$128+(AP$180/12)*Parts!$M$130</f>
        <v>11.458783333333335</v>
      </c>
      <c r="AQ182" s="31">
        <f>(AQ$180/12)*Parts!$M$128+(AQ$180/12)*Parts!$M$130</f>
        <v>11.725266666666666</v>
      </c>
      <c r="AR182" s="31">
        <f>(AR$180/12)*Parts!$M$128+(AR$180/12)*Parts!$M$130</f>
        <v>11.991750000000001</v>
      </c>
      <c r="AS182" s="31">
        <f>(AS$180/12)*Parts!$M$128+(AS$180/12)*Parts!$M$130</f>
        <v>12.258233333333335</v>
      </c>
      <c r="AT182" s="31">
        <f>(AT$180/12)*Parts!$M$128+(AT$180/12)*Parts!$M$130</f>
        <v>12.524716666666666</v>
      </c>
      <c r="AU182" s="31">
        <f>(AU$180/12)*Parts!$M$128+(AU$180/12)*Parts!$M$130</f>
        <v>12.7912</v>
      </c>
      <c r="AV182" s="31">
        <f>(AV$180/12)*Parts!$M$128+(AV$180/12)*Parts!$M$130</f>
        <v>13.057683333333333</v>
      </c>
      <c r="AW182" s="31">
        <f>(AW$180/12)*Parts!$M$128+(AW$180/12)*Parts!$M$130</f>
        <v>13.324166666666668</v>
      </c>
      <c r="AX182" s="31">
        <f>(AX$180/12)*Parts!$M$128+(AX$180/12)*Parts!$M$130</f>
        <v>13.59065</v>
      </c>
      <c r="AY182" s="31">
        <f>(AY$180/12)*Parts!$M$128+(AY$180/12)*Parts!$M$130</f>
        <v>13.857133333333334</v>
      </c>
      <c r="AZ182" s="31">
        <f>(AZ$180/12)*Parts!$M$128+(AZ$180/12)*Parts!$M$130</f>
        <v>14.123616666666669</v>
      </c>
      <c r="BA182" s="31">
        <f>(BA$180/12)*Parts!$M$128+(BA$180/12)*Parts!$M$130</f>
        <v>14.3901</v>
      </c>
      <c r="BB182" s="31">
        <f>(BB$180/12)*Parts!$M$128+(BB$180/12)*Parts!$M$130</f>
        <v>14.656583333333334</v>
      </c>
      <c r="BC182" s="31">
        <f>(BC$180/12)*Parts!$M$128+(BC$180/12)*Parts!$M$130</f>
        <v>14.923066666666667</v>
      </c>
      <c r="BD182" s="31">
        <f>(BD$180/12)*Parts!$M$128+(BD$180/12)*Parts!$M$130</f>
        <v>15.189550000000001</v>
      </c>
      <c r="BE182" s="31">
        <f>(BE$180/12)*Parts!$M$128+(BE$180/12)*Parts!$M$130</f>
        <v>15.456033333333334</v>
      </c>
      <c r="BF182" s="31">
        <f>(BF$180/12)*Parts!$M$128+(BF$180/12)*Parts!$M$130</f>
        <v>15.722516666666669</v>
      </c>
      <c r="BG182" s="31">
        <f>(BG$180/12)*Parts!$M$128+(BG$180/12)*Parts!$M$130</f>
        <v>15.989000000000001</v>
      </c>
      <c r="BH182" s="31">
        <f>(BH$180/12)*Parts!$M$128+(BH$180/12)*Parts!$M$130</f>
        <v>16.255483333333334</v>
      </c>
      <c r="BI182" s="31">
        <f>(BI$180/12)*Parts!$M$128+(BI$180/12)*Parts!$M$130</f>
        <v>16.521966666666671</v>
      </c>
      <c r="BJ182" s="31">
        <f>(BJ$180/12)*Parts!$M$128+(BJ$180/12)*Parts!$M$130</f>
        <v>16.788450000000001</v>
      </c>
      <c r="BK182" s="31">
        <f>(BK$180/12)*Parts!$M$128+(BK$180/12)*Parts!$M$130</f>
        <v>17.054933333333334</v>
      </c>
      <c r="BL182" s="31">
        <f>(BL$180/12)*Parts!$M$128+(BL$180/12)*Parts!$M$130</f>
        <v>17.321416666666668</v>
      </c>
      <c r="BM182" s="31">
        <f>(BM$180/12)*Parts!$M$128+(BM$180/12)*Parts!$M$130</f>
        <v>17.587900000000001</v>
      </c>
      <c r="BN182" s="31">
        <f>(BN$180/12)*Parts!$M$128+(BN$180/12)*Parts!$M$130</f>
        <v>17.854383333333331</v>
      </c>
      <c r="BO182" s="31">
        <f>(BO$180/12)*Parts!$M$128+(BO$180/12)*Parts!$M$130</f>
        <v>18.120866666666668</v>
      </c>
      <c r="BP182" s="31">
        <f>(BP$180/12)*Parts!$M$128+(BP$180/12)*Parts!$M$130</f>
        <v>18.387350000000001</v>
      </c>
      <c r="BQ182" s="31">
        <f>(BQ$180/12)*Parts!$M$128+(BQ$180/12)*Parts!$M$130</f>
        <v>18.653833333333331</v>
      </c>
      <c r="BR182" s="31">
        <f>(BR$180/12)*Parts!$M$128+(BR$180/12)*Parts!$M$130</f>
        <v>18.920316666666668</v>
      </c>
      <c r="BS182" s="31">
        <f>(BS$180/12)*Parts!$M$128+(BS$180/12)*Parts!$M$130</f>
        <v>19.186799999999998</v>
      </c>
      <c r="BT182" s="31">
        <f>(BT$180/12)*Parts!$M$128+(BT$180/12)*Parts!$M$130</f>
        <v>19.453283333333335</v>
      </c>
      <c r="BU182" s="31">
        <f>(BU$180/12)*Parts!$M$128+(BU$180/12)*Parts!$M$130</f>
        <v>19.719766666666672</v>
      </c>
      <c r="BV182" s="31">
        <f>(BV$180/12)*Parts!$M$128+(BV$180/12)*Parts!$M$130</f>
        <v>19.986250000000002</v>
      </c>
      <c r="BW182" s="31">
        <f>(BW$180/12)*Parts!$M$128+(BW$180/12)*Parts!$M$130</f>
        <v>20.252733333333332</v>
      </c>
      <c r="BX182" s="31">
        <f>(BX$180/12)*Parts!$M$128+(BX$180/12)*Parts!$M$130</f>
        <v>20.519216666666669</v>
      </c>
      <c r="BY182" s="31">
        <f>(BY$180/12)*Parts!$M$128+(BY$180/12)*Parts!$M$130</f>
        <v>20.785700000000002</v>
      </c>
      <c r="BZ182" s="31">
        <f>(BZ$180/12)*Parts!$M$128+(BZ$180/12)*Parts!$M$130</f>
        <v>21.052183333333332</v>
      </c>
      <c r="CA182" s="31">
        <f>(CA$180/12)*Parts!$M$128+(CA$180/12)*Parts!$M$130</f>
        <v>21.318666666666669</v>
      </c>
      <c r="CB182" s="31">
        <f>(CB$180/12)*Parts!$M$128+(CB$180/12)*Parts!$M$130</f>
        <v>21.585149999999999</v>
      </c>
      <c r="CC182" s="31">
        <f>(CC$180/12)*Parts!$M$128+(CC$180/12)*Parts!$M$130</f>
        <v>21.851633333333332</v>
      </c>
      <c r="CD182" s="31">
        <f>(CD$180/12)*Parts!$M$128+(CD$180/12)*Parts!$M$130</f>
        <v>22.118116666666669</v>
      </c>
      <c r="CE182" s="31">
        <f>(CE$180/12)*Parts!$M$128+(CE$180/12)*Parts!$M$130</f>
        <v>22.384599999999999</v>
      </c>
      <c r="CF182" s="31">
        <f>(CF$180/12)*Parts!$M$128+(CF$180/12)*Parts!$M$130</f>
        <v>22.651083333333332</v>
      </c>
      <c r="CG182" s="31">
        <f>(CG$180/12)*Parts!$M$128+(CG$180/12)*Parts!$M$130</f>
        <v>22.917566666666669</v>
      </c>
      <c r="CH182" s="31">
        <f>(CH$180/12)*Parts!$M$128+(CH$180/12)*Parts!$M$130</f>
        <v>23.184049999999999</v>
      </c>
      <c r="CI182" s="31">
        <f>(CI$180/12)*Parts!$M$128+(CI$180/12)*Parts!$M$130</f>
        <v>23.450533333333333</v>
      </c>
      <c r="CJ182" s="31">
        <f>(CJ$180/12)*Parts!$M$128+(CJ$180/12)*Parts!$M$130</f>
        <v>23.71701666666667</v>
      </c>
      <c r="CK182" s="31">
        <f>(CK$180/12)*Parts!$M$128+(CK$180/12)*Parts!$M$130</f>
        <v>23.983500000000003</v>
      </c>
      <c r="CL182" s="31">
        <f>(CL$180/12)*Parts!$M$128+(CL$180/12)*Parts!$M$130</f>
        <v>24.249983333333333</v>
      </c>
      <c r="CM182" s="31">
        <f>(CM$180/12)*Parts!$M$128+(CM$180/12)*Parts!$M$130</f>
        <v>24.51646666666667</v>
      </c>
      <c r="CN182" s="31">
        <f>(CN$180/12)*Parts!$M$128+(CN$180/12)*Parts!$M$130</f>
        <v>24.78295</v>
      </c>
      <c r="CO182" s="31">
        <f>(CO$180/12)*Parts!$M$128+(CO$180/12)*Parts!$M$130</f>
        <v>25.049433333333333</v>
      </c>
      <c r="CP182" s="31">
        <f>(CP$180/12)*Parts!$M$128+(CP$180/12)*Parts!$M$130</f>
        <v>25.31591666666667</v>
      </c>
      <c r="CQ182" s="31">
        <f>(CQ$180/12)*Parts!$M$128+(CQ$180/12)*Parts!$M$130</f>
        <v>25.5824</v>
      </c>
      <c r="CR182" s="31">
        <f>(CR$180/12)*Parts!$M$128+(CR$180/12)*Parts!$M$130</f>
        <v>25.848883333333337</v>
      </c>
      <c r="CS182" s="31">
        <f>(CS$180/12)*Parts!$M$128+(CS$180/12)*Parts!$M$130</f>
        <v>26.115366666666667</v>
      </c>
      <c r="CT182" s="31">
        <f>(CT$180/12)*Parts!$M$128+(CT$180/12)*Parts!$M$130</f>
        <v>26.38185</v>
      </c>
      <c r="CU182" s="31">
        <f>(CU$180/12)*Parts!$M$128+(CU$180/12)*Parts!$M$130</f>
        <v>26.648333333333337</v>
      </c>
      <c r="CV182" s="31">
        <f>(CV$180/12)*Parts!$M$128+(CV$180/12)*Parts!$M$130</f>
        <v>26.914816666666667</v>
      </c>
      <c r="CW182" s="31">
        <f>(CW$180/12)*Parts!$M$128+(CW$180/12)*Parts!$M$130</f>
        <v>27.1813</v>
      </c>
      <c r="CX182" s="31">
        <f>(CX$180/12)*Parts!$M$128+(CX$180/12)*Parts!$M$130</f>
        <v>27.447783333333334</v>
      </c>
      <c r="CY182" s="31">
        <f>(CY$180/12)*Parts!$M$128+(CY$180/12)*Parts!$M$130</f>
        <v>27.714266666666667</v>
      </c>
      <c r="CZ182" s="31">
        <f>(CZ$180/12)*Parts!$M$128+(CZ$180/12)*Parts!$M$130</f>
        <v>27.98075</v>
      </c>
      <c r="DA182" s="31">
        <f>(DA$180/12)*Parts!$M$128+(DA$180/12)*Parts!$M$130</f>
        <v>28.247233333333337</v>
      </c>
      <c r="DB182" s="31">
        <f>(DB$180/12)*Parts!$M$128+(DB$180/12)*Parts!$M$130</f>
        <v>28.513716666666667</v>
      </c>
      <c r="DC182" s="31">
        <f>(DC$180/12)*Parts!$M$128+(DC$180/12)*Parts!$M$130</f>
        <v>28.780200000000001</v>
      </c>
      <c r="DD182" s="31">
        <f>(DD$180/12)*Parts!$M$128+(DD$180/12)*Parts!$M$130</f>
        <v>29.046683333333338</v>
      </c>
      <c r="DE182" s="31">
        <f>(DE$180/12)*Parts!$M$128+(DE$180/12)*Parts!$M$130</f>
        <v>29.313166666666667</v>
      </c>
      <c r="DF182" s="31">
        <f>(DF$180/12)*Parts!$M$128+(DF$180/12)*Parts!$M$130</f>
        <v>29.579650000000001</v>
      </c>
      <c r="DG182" s="31">
        <f>(DG$180/12)*Parts!$M$128+(DG$180/12)*Parts!$M$130</f>
        <v>29.846133333333334</v>
      </c>
      <c r="DH182" s="31">
        <f>(DH$180/12)*Parts!$M$128+(DH$180/12)*Parts!$M$130</f>
        <v>30.112616666666668</v>
      </c>
      <c r="DI182" s="31">
        <f>(DI$180/12)*Parts!$M$128+(DI$180/12)*Parts!$M$130</f>
        <v>30.379100000000001</v>
      </c>
      <c r="DJ182" s="31">
        <f>(DJ$180/12)*Parts!$M$128+(DJ$180/12)*Parts!$M$130</f>
        <v>30.645583333333335</v>
      </c>
      <c r="DK182" s="31">
        <f>(DK$180/12)*Parts!$M$128+(DK$180/12)*Parts!$M$130</f>
        <v>30.912066666666668</v>
      </c>
      <c r="DL182" s="31">
        <f>(DL$180/12)*Parts!$M$128+(DL$180/12)*Parts!$M$130</f>
        <v>31.178550000000001</v>
      </c>
      <c r="DM182" s="31">
        <f>(DM$180/12)*Parts!$M$128+(DM$180/12)*Parts!$M$130</f>
        <v>31.445033333333338</v>
      </c>
      <c r="DN182" s="31">
        <f>(DN$180/12)*Parts!$M$128+(DN$180/12)*Parts!$M$130</f>
        <v>31.711516666666668</v>
      </c>
      <c r="DO182" s="31">
        <f>(DO$180/12)*Parts!$M$128+(DO$180/12)*Parts!$M$130</f>
        <v>31.978000000000002</v>
      </c>
      <c r="DP182" s="31">
        <f>(DP$180/12)*Parts!$M$128+(DP$180/12)*Parts!$M$130</f>
        <v>32.244483333333335</v>
      </c>
      <c r="DQ182" s="31">
        <f>(DQ$180/12)*Parts!$M$128+(DQ$180/12)*Parts!$M$130</f>
        <v>32.510966666666668</v>
      </c>
      <c r="DR182" s="31">
        <f>(DR$180/12)*Parts!$M$128+(DR$180/12)*Parts!$M$130</f>
        <v>32.777450000000002</v>
      </c>
      <c r="DS182" s="31">
        <f>(DS$180/12)*Parts!$M$128+(DS$180/12)*Parts!$M$130</f>
        <v>33.043933333333342</v>
      </c>
      <c r="DT182" s="31">
        <f>(DT$180/12)*Parts!$M$128+(DT$180/12)*Parts!$M$130</f>
        <v>33.310416666666669</v>
      </c>
      <c r="DU182" s="31">
        <f>(DU$180/12)*Parts!$M$128+(DU$180/12)*Parts!$M$130</f>
        <v>33.576900000000002</v>
      </c>
      <c r="DV182" s="31">
        <f>(DV$180/12)*Parts!$M$128+(DV$180/12)*Parts!$M$130</f>
        <v>33.843383333333335</v>
      </c>
      <c r="DW182" s="31">
        <f>(DW$180/12)*Parts!$M$128+(DW$180/12)*Parts!$M$130</f>
        <v>34.109866666666669</v>
      </c>
      <c r="DX182" s="31">
        <f>(DX$180/12)*Parts!$M$128+(DX$180/12)*Parts!$M$130</f>
        <v>34.376350000000002</v>
      </c>
      <c r="DY182" s="31">
        <f>(DY$180/12)*Parts!$M$128+(DY$180/12)*Parts!$M$130</f>
        <v>34.642833333333336</v>
      </c>
      <c r="DZ182" s="31">
        <f>(DZ$180/12)*Parts!$M$128+(DZ$180/12)*Parts!$M$130</f>
        <v>34.909316666666669</v>
      </c>
      <c r="EA182" s="31">
        <f>(EA$180/12)*Parts!$M$128+(EA$180/12)*Parts!$M$130</f>
        <v>35.175800000000002</v>
      </c>
      <c r="EB182" s="31">
        <f>(EB$180/12)*Parts!$M$128+(EB$180/12)*Parts!$M$130</f>
        <v>35.442283333333336</v>
      </c>
      <c r="EC182" s="31">
        <f>(EC$180/12)*Parts!$M$128+(EC$180/12)*Parts!$M$130</f>
        <v>35.708766666666662</v>
      </c>
      <c r="ED182" s="31">
        <f>(ED$180/12)*Parts!$M$128+(ED$180/12)*Parts!$M$130</f>
        <v>35.975250000000003</v>
      </c>
      <c r="EE182" s="31">
        <f>(EE$180/12)*Parts!$M$128+(EE$180/12)*Parts!$M$130</f>
        <v>36.241733333333336</v>
      </c>
      <c r="EF182" s="31">
        <f>(EF$180/12)*Parts!$M$128+(EF$180/12)*Parts!$M$130</f>
        <v>36.508216666666669</v>
      </c>
      <c r="EG182" s="31">
        <f>(EG$180/12)*Parts!$M$128+(EG$180/12)*Parts!$M$130</f>
        <v>36.774700000000003</v>
      </c>
      <c r="EH182" s="31">
        <f>(EH$180/12)*Parts!$M$128+(EH$180/12)*Parts!$M$130</f>
        <v>37.041183333333336</v>
      </c>
      <c r="EI182" s="31">
        <f>(EI$180/12)*Parts!$M$128+(EI$180/12)*Parts!$M$130</f>
        <v>37.307666666666663</v>
      </c>
      <c r="EJ182" s="31">
        <f>(EJ$180/12)*Parts!$M$128+(EJ$180/12)*Parts!$M$130</f>
        <v>37.574150000000003</v>
      </c>
      <c r="EK182" s="31">
        <f>(EK$180/12)*Parts!$M$128+(EK$180/12)*Parts!$M$130</f>
        <v>37.840633333333336</v>
      </c>
      <c r="EL182" s="31">
        <f>(EL$180/12)*Parts!$M$128+(EL$180/12)*Parts!$M$130</f>
        <v>38.10711666666667</v>
      </c>
      <c r="EM182" s="31">
        <f>(EM$180/12)*Parts!$M$128+(EM$180/12)*Parts!$M$130</f>
        <v>38.373599999999996</v>
      </c>
      <c r="EN182" s="31">
        <f>(EN$180/12)*Parts!$M$128+(EN$180/12)*Parts!$M$130</f>
        <v>38.640083333333337</v>
      </c>
      <c r="EO182" s="31">
        <f>(EO$180/12)*Parts!$M$128+(EO$180/12)*Parts!$M$130</f>
        <v>38.90656666666667</v>
      </c>
      <c r="EP182" s="31">
        <f>(EP$180/12)*Parts!$M$128+(EP$180/12)*Parts!$M$130</f>
        <v>39.173050000000003</v>
      </c>
      <c r="EQ182" s="31">
        <f>(EQ$180/12)*Parts!$M$128+(EQ$180/12)*Parts!$M$130</f>
        <v>39.439533333333344</v>
      </c>
      <c r="ER182" s="31">
        <f>(ER$180/12)*Parts!$M$128+(ER$180/12)*Parts!$M$130</f>
        <v>39.70601666666667</v>
      </c>
      <c r="ES182" s="31">
        <f>(ES$180/12)*Parts!$M$128+(ES$180/12)*Parts!$M$130</f>
        <v>39.972500000000004</v>
      </c>
      <c r="ET182" s="31">
        <f>(ET$180/12)*Parts!$M$128+(ET$180/12)*Parts!$M$130</f>
        <v>40.238983333333337</v>
      </c>
      <c r="EU182" s="31">
        <f>(EU$180/12)*Parts!$M$128+(EU$180/12)*Parts!$M$130</f>
        <v>40.505466666666663</v>
      </c>
      <c r="EV182" s="31">
        <f>(EV$180/12)*Parts!$M$128+(EV$180/12)*Parts!$M$130</f>
        <v>40.771950000000004</v>
      </c>
      <c r="EW182" s="31">
        <f>(EW$180/12)*Parts!$M$128+(EW$180/12)*Parts!$M$130</f>
        <v>41.038433333333337</v>
      </c>
      <c r="EX182" s="31">
        <f>(EX$180/12)*Parts!$M$128+(EX$180/12)*Parts!$M$130</f>
        <v>41.304916666666671</v>
      </c>
      <c r="EY182" s="31">
        <f>(EY$180/12)*Parts!$M$128+(EY$180/12)*Parts!$M$130</f>
        <v>41.571400000000004</v>
      </c>
      <c r="EZ182" s="31">
        <f>(EZ$180/12)*Parts!$M$128+(EZ$180/12)*Parts!$M$130</f>
        <v>41.837883333333338</v>
      </c>
      <c r="FA182" s="31">
        <f>(FA$180/12)*Parts!$M$128+(FA$180/12)*Parts!$M$130</f>
        <v>42.104366666666664</v>
      </c>
      <c r="FB182" s="31">
        <f>(FB$180/12)*Parts!$M$128+(FB$180/12)*Parts!$M$130</f>
        <v>42.370850000000004</v>
      </c>
      <c r="FC182" s="31">
        <f>(FC$180/12)*Parts!$M$128+(FC$180/12)*Parts!$M$130</f>
        <v>42.637333333333338</v>
      </c>
      <c r="FD182" s="31">
        <f>(FD$180/12)*Parts!$M$128+(FD$180/12)*Parts!$M$130</f>
        <v>42.903816666666671</v>
      </c>
      <c r="FE182" s="31">
        <f>(FE$180/12)*Parts!$M$128+(FE$180/12)*Parts!$M$130</f>
        <v>43.170299999999997</v>
      </c>
      <c r="FF182" s="31">
        <f>(FF$180/12)*Parts!$M$128+(FF$180/12)*Parts!$M$130</f>
        <v>43.436783333333338</v>
      </c>
      <c r="FG182" s="31">
        <f>(FG$180/12)*Parts!$M$128+(FG$180/12)*Parts!$M$130</f>
        <v>43.703266666666664</v>
      </c>
      <c r="FH182" s="31">
        <f>(FH$180/12)*Parts!$M$128+(FH$180/12)*Parts!$M$130</f>
        <v>43.969750000000005</v>
      </c>
      <c r="FI182" s="31">
        <f>(FI$180/12)*Parts!$M$128+(FI$180/12)*Parts!$M$130</f>
        <v>44.236233333333338</v>
      </c>
      <c r="FJ182" s="31">
        <f>(FJ$180/12)*Parts!$M$128+(FJ$180/12)*Parts!$M$130</f>
        <v>44.502716666666672</v>
      </c>
      <c r="FK182" s="31">
        <f>(FK$180/12)*Parts!$M$128+(FK$180/12)*Parts!$M$130</f>
        <v>44.769199999999998</v>
      </c>
    </row>
    <row r="183" spans="7:167" ht="18.75">
      <c r="G183" s="140"/>
      <c r="H183" s="140"/>
      <c r="I183" s="140">
        <v>27</v>
      </c>
      <c r="J183" s="140">
        <v>22.5</v>
      </c>
      <c r="K183" s="140"/>
      <c r="L183" s="140"/>
      <c r="M183" s="140"/>
      <c r="N183" s="140">
        <v>17</v>
      </c>
      <c r="O183" s="281" t="s">
        <v>482</v>
      </c>
      <c r="P183" s="140"/>
      <c r="Q183" s="140"/>
      <c r="R183" s="140"/>
      <c r="S183" s="140"/>
      <c r="T183" s="140"/>
      <c r="V183" s="281" t="s">
        <v>473</v>
      </c>
      <c r="W183" s="31">
        <f>((W$180/12)*Parts!$M$130)*2</f>
        <v>7.2216000000000005</v>
      </c>
      <c r="X183" s="31">
        <f>((X$180/12)*Parts!$M$130)*2</f>
        <v>7.5225000000000009</v>
      </c>
      <c r="Y183" s="31">
        <f>((Y$180/12)*Parts!$M$130)*2</f>
        <v>7.8234000000000004</v>
      </c>
      <c r="Z183" s="31">
        <f>((Z$180/12)*Parts!$M$130)*2</f>
        <v>8.1242999999999999</v>
      </c>
      <c r="AA183" s="31">
        <f>((AA$180/12)*Parts!$M$130)*2</f>
        <v>8.4252000000000002</v>
      </c>
      <c r="AB183" s="31">
        <f>((AB$180/12)*Parts!$M$130)*2</f>
        <v>8.7261000000000006</v>
      </c>
      <c r="AC183" s="31">
        <f>((AC$180/12)*Parts!$M$130)*2</f>
        <v>9.027000000000001</v>
      </c>
      <c r="AD183" s="31">
        <f>((AD$180/12)*Parts!$M$130)*2</f>
        <v>9.3279000000000014</v>
      </c>
      <c r="AE183" s="31">
        <f>((AE$180/12)*Parts!$M$130)*2</f>
        <v>9.6288</v>
      </c>
      <c r="AF183" s="31">
        <f>((AF$180/12)*Parts!$M$130)*2</f>
        <v>9.9297000000000004</v>
      </c>
      <c r="AG183" s="31">
        <f>((AG$180/12)*Parts!$M$130)*2</f>
        <v>10.230600000000001</v>
      </c>
      <c r="AH183" s="31">
        <f>((AH$180/12)*Parts!$M$130)*2</f>
        <v>10.531499999999999</v>
      </c>
      <c r="AI183" s="31">
        <f>((AI$180/12)*Parts!$M$130)*2</f>
        <v>10.8324</v>
      </c>
      <c r="AJ183" s="31">
        <f>((AJ$180/12)*Parts!$M$130)*2</f>
        <v>11.133300000000002</v>
      </c>
      <c r="AK183" s="31">
        <f>((AK$180/12)*Parts!$M$130)*2</f>
        <v>11.434200000000001</v>
      </c>
      <c r="AL183" s="31">
        <f>((AL$180/12)*Parts!$M$130)*2</f>
        <v>11.735100000000001</v>
      </c>
      <c r="AM183" s="31">
        <f>((AM$180/12)*Parts!$M$130)*2</f>
        <v>12.036000000000001</v>
      </c>
      <c r="AN183" s="31">
        <f>((AN$180/12)*Parts!$M$130)*2</f>
        <v>12.3369</v>
      </c>
      <c r="AO183" s="31">
        <f>((AO$180/12)*Parts!$M$130)*2</f>
        <v>12.6378</v>
      </c>
      <c r="AP183" s="31">
        <f>((AP$180/12)*Parts!$M$130)*2</f>
        <v>12.938700000000001</v>
      </c>
      <c r="AQ183" s="31">
        <f>((AQ$180/12)*Parts!$M$130)*2</f>
        <v>13.239600000000001</v>
      </c>
      <c r="AR183" s="31">
        <f>((AR$180/12)*Parts!$M$130)*2</f>
        <v>13.540500000000002</v>
      </c>
      <c r="AS183" s="31">
        <f>((AS$180/12)*Parts!$M$130)*2</f>
        <v>13.841400000000002</v>
      </c>
      <c r="AT183" s="31">
        <f>((AT$180/12)*Parts!$M$130)*2</f>
        <v>14.142300000000001</v>
      </c>
      <c r="AU183" s="31">
        <f>((AU$180/12)*Parts!$M$130)*2</f>
        <v>14.443200000000001</v>
      </c>
      <c r="AV183" s="31">
        <f>((AV$180/12)*Parts!$M$130)*2</f>
        <v>14.7441</v>
      </c>
      <c r="AW183" s="31">
        <f>((AW$180/12)*Parts!$M$130)*2</f>
        <v>15.045000000000002</v>
      </c>
      <c r="AX183" s="31">
        <f>((AX$180/12)*Parts!$M$130)*2</f>
        <v>15.3459</v>
      </c>
      <c r="AY183" s="31">
        <f>((AY$180/12)*Parts!$M$130)*2</f>
        <v>15.646800000000001</v>
      </c>
      <c r="AZ183" s="31">
        <f>((AZ$180/12)*Parts!$M$130)*2</f>
        <v>15.947700000000003</v>
      </c>
      <c r="BA183" s="31">
        <f>((BA$180/12)*Parts!$M$130)*2</f>
        <v>16.2486</v>
      </c>
      <c r="BB183" s="31">
        <f>((BB$180/12)*Parts!$M$130)*2</f>
        <v>16.549499999999998</v>
      </c>
      <c r="BC183" s="31">
        <f>((BC$180/12)*Parts!$M$130)*2</f>
        <v>16.8504</v>
      </c>
      <c r="BD183" s="31">
        <f>((BD$180/12)*Parts!$M$130)*2</f>
        <v>17.151300000000003</v>
      </c>
      <c r="BE183" s="31">
        <f>((BE$180/12)*Parts!$M$130)*2</f>
        <v>17.452200000000001</v>
      </c>
      <c r="BF183" s="31">
        <f>((BF$180/12)*Parts!$M$130)*2</f>
        <v>17.753100000000003</v>
      </c>
      <c r="BG183" s="31">
        <f>((BG$180/12)*Parts!$M$130)*2</f>
        <v>18.054000000000002</v>
      </c>
      <c r="BH183" s="31">
        <f>((BH$180/12)*Parts!$M$130)*2</f>
        <v>18.354900000000001</v>
      </c>
      <c r="BI183" s="31">
        <f>((BI$180/12)*Parts!$M$130)*2</f>
        <v>18.655800000000003</v>
      </c>
      <c r="BJ183" s="31">
        <f>((BJ$180/12)*Parts!$M$130)*2</f>
        <v>18.956700000000001</v>
      </c>
      <c r="BK183" s="31">
        <f>((BK$180/12)*Parts!$M$130)*2</f>
        <v>19.2576</v>
      </c>
      <c r="BL183" s="31">
        <f>((BL$180/12)*Parts!$M$130)*2</f>
        <v>19.558500000000002</v>
      </c>
      <c r="BM183" s="31">
        <f>((BM$180/12)*Parts!$M$130)*2</f>
        <v>19.859400000000001</v>
      </c>
      <c r="BN183" s="31">
        <f>((BN$180/12)*Parts!$M$130)*2</f>
        <v>20.160299999999999</v>
      </c>
      <c r="BO183" s="31">
        <f>((BO$180/12)*Parts!$M$130)*2</f>
        <v>20.461200000000002</v>
      </c>
      <c r="BP183" s="31">
        <f>((BP$180/12)*Parts!$M$130)*2</f>
        <v>20.7621</v>
      </c>
      <c r="BQ183" s="31">
        <f>((BQ$180/12)*Parts!$M$130)*2</f>
        <v>21.062999999999999</v>
      </c>
      <c r="BR183" s="31">
        <f>((BR$180/12)*Parts!$M$130)*2</f>
        <v>21.363900000000001</v>
      </c>
      <c r="BS183" s="31">
        <f>((BS$180/12)*Parts!$M$130)*2</f>
        <v>21.6648</v>
      </c>
      <c r="BT183" s="31">
        <f>((BT$180/12)*Parts!$M$130)*2</f>
        <v>21.965700000000002</v>
      </c>
      <c r="BU183" s="31">
        <f>((BU$180/12)*Parts!$M$130)*2</f>
        <v>22.266600000000004</v>
      </c>
      <c r="BV183" s="31">
        <f>((BV$180/12)*Parts!$M$130)*2</f>
        <v>22.567500000000003</v>
      </c>
      <c r="BW183" s="31">
        <f>((BW$180/12)*Parts!$M$130)*2</f>
        <v>22.868400000000001</v>
      </c>
      <c r="BX183" s="31">
        <f>((BX$180/12)*Parts!$M$130)*2</f>
        <v>23.169300000000003</v>
      </c>
      <c r="BY183" s="31">
        <f>((BY$180/12)*Parts!$M$130)*2</f>
        <v>23.470200000000002</v>
      </c>
      <c r="BZ183" s="31">
        <f>((BZ$180/12)*Parts!$M$130)*2</f>
        <v>23.771100000000001</v>
      </c>
      <c r="CA183" s="31">
        <f>((CA$180/12)*Parts!$M$130)*2</f>
        <v>24.072000000000003</v>
      </c>
      <c r="CB183" s="31">
        <f>((CB$180/12)*Parts!$M$130)*2</f>
        <v>24.372900000000001</v>
      </c>
      <c r="CC183" s="31">
        <f>((CC$180/12)*Parts!$M$130)*2</f>
        <v>24.6738</v>
      </c>
      <c r="CD183" s="31">
        <f>((CD$180/12)*Parts!$M$130)*2</f>
        <v>24.974700000000002</v>
      </c>
      <c r="CE183" s="31">
        <f>((CE$180/12)*Parts!$M$130)*2</f>
        <v>25.275600000000001</v>
      </c>
      <c r="CF183" s="31">
        <f>((CF$180/12)*Parts!$M$130)*2</f>
        <v>25.576499999999999</v>
      </c>
      <c r="CG183" s="31">
        <f>((CG$180/12)*Parts!$M$130)*2</f>
        <v>25.877400000000002</v>
      </c>
      <c r="CH183" s="31">
        <f>((CH$180/12)*Parts!$M$130)*2</f>
        <v>26.1783</v>
      </c>
      <c r="CI183" s="31">
        <f>((CI$180/12)*Parts!$M$130)*2</f>
        <v>26.479200000000002</v>
      </c>
      <c r="CJ183" s="31">
        <f>((CJ$180/12)*Parts!$M$130)*2</f>
        <v>26.780100000000004</v>
      </c>
      <c r="CK183" s="31">
        <f>((CK$180/12)*Parts!$M$130)*2</f>
        <v>27.081000000000003</v>
      </c>
      <c r="CL183" s="31">
        <f>((CL$180/12)*Parts!$M$130)*2</f>
        <v>27.381900000000002</v>
      </c>
      <c r="CM183" s="31">
        <f>((CM$180/12)*Parts!$M$130)*2</f>
        <v>27.682800000000004</v>
      </c>
      <c r="CN183" s="31">
        <f>((CN$180/12)*Parts!$M$130)*2</f>
        <v>27.983700000000002</v>
      </c>
      <c r="CO183" s="31">
        <f>((CO$180/12)*Parts!$M$130)*2</f>
        <v>28.284600000000001</v>
      </c>
      <c r="CP183" s="31">
        <f>((CP$180/12)*Parts!$M$130)*2</f>
        <v>28.585500000000003</v>
      </c>
      <c r="CQ183" s="31">
        <f>((CQ$180/12)*Parts!$M$130)*2</f>
        <v>28.886400000000002</v>
      </c>
      <c r="CR183" s="31">
        <f>((CR$180/12)*Parts!$M$130)*2</f>
        <v>29.187300000000004</v>
      </c>
      <c r="CS183" s="31">
        <f>((CS$180/12)*Parts!$M$130)*2</f>
        <v>29.488199999999999</v>
      </c>
      <c r="CT183" s="31">
        <f>((CT$180/12)*Parts!$M$130)*2</f>
        <v>29.789100000000001</v>
      </c>
      <c r="CU183" s="31">
        <f>((CU$180/12)*Parts!$M$130)*2</f>
        <v>30.090000000000003</v>
      </c>
      <c r="CV183" s="31">
        <f>((CV$180/12)*Parts!$M$130)*2</f>
        <v>30.390899999999998</v>
      </c>
      <c r="CW183" s="31">
        <f>((CW$180/12)*Parts!$M$130)*2</f>
        <v>30.691800000000001</v>
      </c>
      <c r="CX183" s="31">
        <f>((CX$180/12)*Parts!$M$130)*2</f>
        <v>30.992700000000003</v>
      </c>
      <c r="CY183" s="31">
        <f>((CY$180/12)*Parts!$M$130)*2</f>
        <v>31.293600000000001</v>
      </c>
      <c r="CZ183" s="31">
        <f>((CZ$180/12)*Parts!$M$130)*2</f>
        <v>31.594500000000004</v>
      </c>
      <c r="DA183" s="31">
        <f>((DA$180/12)*Parts!$M$130)*2</f>
        <v>31.895400000000006</v>
      </c>
      <c r="DB183" s="31">
        <f>((DB$180/12)*Parts!$M$130)*2</f>
        <v>32.196300000000001</v>
      </c>
      <c r="DC183" s="31">
        <f>((DC$180/12)*Parts!$M$130)*2</f>
        <v>32.497199999999999</v>
      </c>
      <c r="DD183" s="31">
        <f>((DD$180/12)*Parts!$M$130)*2</f>
        <v>32.798100000000005</v>
      </c>
      <c r="DE183" s="31">
        <f>((DE$180/12)*Parts!$M$130)*2</f>
        <v>33.098999999999997</v>
      </c>
      <c r="DF183" s="31">
        <f>((DF$180/12)*Parts!$M$130)*2</f>
        <v>33.399900000000002</v>
      </c>
      <c r="DG183" s="31">
        <f>((DG$180/12)*Parts!$M$130)*2</f>
        <v>33.700800000000001</v>
      </c>
      <c r="DH183" s="31">
        <f>((DH$180/12)*Parts!$M$130)*2</f>
        <v>34.0017</v>
      </c>
      <c r="DI183" s="31">
        <f>((DI$180/12)*Parts!$M$130)*2</f>
        <v>34.302600000000005</v>
      </c>
      <c r="DJ183" s="31">
        <f>((DJ$180/12)*Parts!$M$130)*2</f>
        <v>34.603500000000004</v>
      </c>
      <c r="DK183" s="31">
        <f>((DK$180/12)*Parts!$M$130)*2</f>
        <v>34.904400000000003</v>
      </c>
      <c r="DL183" s="31">
        <f>((DL$180/12)*Parts!$M$130)*2</f>
        <v>35.205300000000001</v>
      </c>
      <c r="DM183" s="31">
        <f>((DM$180/12)*Parts!$M$130)*2</f>
        <v>35.506200000000007</v>
      </c>
      <c r="DN183" s="31">
        <f>((DN$180/12)*Parts!$M$130)*2</f>
        <v>35.807099999999998</v>
      </c>
      <c r="DO183" s="31">
        <f>((DO$180/12)*Parts!$M$130)*2</f>
        <v>36.108000000000004</v>
      </c>
      <c r="DP183" s="31">
        <f>((DP$180/12)*Parts!$M$130)*2</f>
        <v>36.408900000000003</v>
      </c>
      <c r="DQ183" s="31">
        <f>((DQ$180/12)*Parts!$M$130)*2</f>
        <v>36.709800000000001</v>
      </c>
      <c r="DR183" s="31">
        <f>((DR$180/12)*Parts!$M$130)*2</f>
        <v>37.0107</v>
      </c>
      <c r="DS183" s="31">
        <f>((DS$180/12)*Parts!$M$130)*2</f>
        <v>37.311600000000006</v>
      </c>
      <c r="DT183" s="31">
        <f>((DT$180/12)*Parts!$M$130)*2</f>
        <v>37.612499999999997</v>
      </c>
      <c r="DU183" s="31">
        <f>((DU$180/12)*Parts!$M$130)*2</f>
        <v>37.913400000000003</v>
      </c>
      <c r="DV183" s="31">
        <f>((DV$180/12)*Parts!$M$130)*2</f>
        <v>38.214300000000001</v>
      </c>
      <c r="DW183" s="31">
        <f>((DW$180/12)*Parts!$M$130)*2</f>
        <v>38.5152</v>
      </c>
      <c r="DX183" s="31">
        <f>((DX$180/12)*Parts!$M$130)*2</f>
        <v>38.816100000000006</v>
      </c>
      <c r="DY183" s="31">
        <f>((DY$180/12)*Parts!$M$130)*2</f>
        <v>39.117000000000004</v>
      </c>
      <c r="DZ183" s="31">
        <f>((DZ$180/12)*Parts!$M$130)*2</f>
        <v>39.417900000000003</v>
      </c>
      <c r="EA183" s="31">
        <f>((EA$180/12)*Parts!$M$130)*2</f>
        <v>39.718800000000002</v>
      </c>
      <c r="EB183" s="31">
        <f>((EB$180/12)*Parts!$M$130)*2</f>
        <v>40.019700000000007</v>
      </c>
      <c r="EC183" s="31">
        <f>((EC$180/12)*Parts!$M$130)*2</f>
        <v>40.320599999999999</v>
      </c>
      <c r="ED183" s="31">
        <f>((ED$180/12)*Parts!$M$130)*2</f>
        <v>40.621500000000005</v>
      </c>
      <c r="EE183" s="31">
        <f>((EE$180/12)*Parts!$M$130)*2</f>
        <v>40.922400000000003</v>
      </c>
      <c r="EF183" s="31">
        <f>((EF$180/12)*Parts!$M$130)*2</f>
        <v>41.223300000000002</v>
      </c>
      <c r="EG183" s="31">
        <f>((EG$180/12)*Parts!$M$130)*2</f>
        <v>41.5242</v>
      </c>
      <c r="EH183" s="31">
        <f>((EH$180/12)*Parts!$M$130)*2</f>
        <v>41.825100000000006</v>
      </c>
      <c r="EI183" s="31">
        <f>((EI$180/12)*Parts!$M$130)*2</f>
        <v>42.125999999999998</v>
      </c>
      <c r="EJ183" s="31">
        <f>((EJ$180/12)*Parts!$M$130)*2</f>
        <v>42.426900000000003</v>
      </c>
      <c r="EK183" s="31">
        <f>((EK$180/12)*Parts!$M$130)*2</f>
        <v>42.727800000000002</v>
      </c>
      <c r="EL183" s="31">
        <f>((EL$180/12)*Parts!$M$130)*2</f>
        <v>43.028700000000001</v>
      </c>
      <c r="EM183" s="31">
        <f>((EM$180/12)*Parts!$M$130)*2</f>
        <v>43.329599999999999</v>
      </c>
      <c r="EN183" s="31">
        <f>((EN$180/12)*Parts!$M$130)*2</f>
        <v>43.630500000000005</v>
      </c>
      <c r="EO183" s="31">
        <f>((EO$180/12)*Parts!$M$130)*2</f>
        <v>43.931400000000004</v>
      </c>
      <c r="EP183" s="31">
        <f>((EP$180/12)*Parts!$M$130)*2</f>
        <v>44.232300000000002</v>
      </c>
      <c r="EQ183" s="31">
        <f>((EQ$180/12)*Parts!$M$130)*2</f>
        <v>44.533200000000008</v>
      </c>
      <c r="ER183" s="31">
        <f>((ER$180/12)*Parts!$M$130)*2</f>
        <v>44.834099999999999</v>
      </c>
      <c r="ES183" s="31">
        <f>((ES$180/12)*Parts!$M$130)*2</f>
        <v>45.135000000000005</v>
      </c>
      <c r="ET183" s="31">
        <f>((ET$180/12)*Parts!$M$130)*2</f>
        <v>45.435900000000004</v>
      </c>
      <c r="EU183" s="31">
        <f>((EU$180/12)*Parts!$M$130)*2</f>
        <v>45.736800000000002</v>
      </c>
      <c r="EV183" s="31">
        <f>((EV$180/12)*Parts!$M$130)*2</f>
        <v>46.037700000000001</v>
      </c>
      <c r="EW183" s="31">
        <f>((EW$180/12)*Parts!$M$130)*2</f>
        <v>46.338600000000007</v>
      </c>
      <c r="EX183" s="31">
        <f>((EX$180/12)*Parts!$M$130)*2</f>
        <v>46.639499999999998</v>
      </c>
      <c r="EY183" s="31">
        <f>((EY$180/12)*Parts!$M$130)*2</f>
        <v>46.940400000000004</v>
      </c>
      <c r="EZ183" s="31">
        <f>((EZ$180/12)*Parts!$M$130)*2</f>
        <v>47.241300000000003</v>
      </c>
      <c r="FA183" s="31">
        <f>((FA$180/12)*Parts!$M$130)*2</f>
        <v>47.542200000000001</v>
      </c>
      <c r="FB183" s="31">
        <f>((FB$180/12)*Parts!$M$130)*2</f>
        <v>47.8431</v>
      </c>
      <c r="FC183" s="31">
        <f>((FC$180/12)*Parts!$M$130)*2</f>
        <v>48.144000000000005</v>
      </c>
      <c r="FD183" s="31">
        <f>((FD$180/12)*Parts!$M$130)*2</f>
        <v>48.444900000000004</v>
      </c>
      <c r="FE183" s="31">
        <f>((FE$180/12)*Parts!$M$130)*2</f>
        <v>48.745800000000003</v>
      </c>
      <c r="FF183" s="31">
        <f>((FF$180/12)*Parts!$M$130)*2</f>
        <v>49.046700000000008</v>
      </c>
      <c r="FG183" s="31">
        <f>((FG$180/12)*Parts!$M$130)*2</f>
        <v>49.3476</v>
      </c>
      <c r="FH183" s="31">
        <f>((FH$180/12)*Parts!$M$130)*2</f>
        <v>49.648500000000006</v>
      </c>
      <c r="FI183" s="31">
        <f>((FI$180/12)*Parts!$M$130)*2</f>
        <v>49.949400000000004</v>
      </c>
      <c r="FJ183" s="31">
        <f>((FJ$180/12)*Parts!$M$130)*2</f>
        <v>50.250300000000003</v>
      </c>
      <c r="FK183" s="31">
        <f>((FK$180/12)*Parts!$M$130)*2</f>
        <v>50.551200000000001</v>
      </c>
    </row>
    <row r="184" spans="7:167" ht="18.75">
      <c r="G184" s="140"/>
      <c r="H184" s="140"/>
      <c r="I184" s="140">
        <v>28</v>
      </c>
      <c r="J184" s="140">
        <v>23</v>
      </c>
      <c r="K184" s="140"/>
      <c r="L184" s="140"/>
      <c r="M184" s="140"/>
      <c r="N184" s="140">
        <v>18</v>
      </c>
      <c r="O184" s="281" t="s">
        <v>483</v>
      </c>
      <c r="P184" s="140"/>
      <c r="Q184" s="140"/>
      <c r="R184" s="140"/>
      <c r="S184" s="140"/>
      <c r="T184" s="140"/>
      <c r="V184" s="281" t="s">
        <v>474</v>
      </c>
      <c r="W184" s="31">
        <f>(W$180/12)*Parts!$M$129+(W$180/12)*Parts!$M$130</f>
        <v>9.3574000000000019</v>
      </c>
      <c r="X184" s="31">
        <f>(X$180/12)*Parts!$M$129+(X$180/12)*Parts!$M$130</f>
        <v>9.7472916666666691</v>
      </c>
      <c r="Y184" s="31">
        <f>(Y$180/12)*Parts!$M$129+(Y$180/12)*Parts!$M$130</f>
        <v>10.137183333333335</v>
      </c>
      <c r="Z184" s="31">
        <f>(Z$180/12)*Parts!$M$129+(Z$180/12)*Parts!$M$130</f>
        <v>10.527075</v>
      </c>
      <c r="AA184" s="31">
        <f>(AA$180/12)*Parts!$M$129+(AA$180/12)*Parts!$M$130</f>
        <v>10.916966666666667</v>
      </c>
      <c r="AB184" s="31">
        <f>(AB$180/12)*Parts!$M$129+(AB$180/12)*Parts!$M$130</f>
        <v>11.306858333333334</v>
      </c>
      <c r="AC184" s="31">
        <f>(AC$180/12)*Parts!$M$129+(AC$180/12)*Parts!$M$130</f>
        <v>11.696750000000002</v>
      </c>
      <c r="AD184" s="31">
        <f>(AD$180/12)*Parts!$M$129+(AD$180/12)*Parts!$M$130</f>
        <v>12.086641666666669</v>
      </c>
      <c r="AE184" s="31">
        <f>(AE$180/12)*Parts!$M$129+(AE$180/12)*Parts!$M$130</f>
        <v>12.476533333333334</v>
      </c>
      <c r="AF184" s="31">
        <f>(AF$180/12)*Parts!$M$129+(AF$180/12)*Parts!$M$130</f>
        <v>12.866425000000001</v>
      </c>
      <c r="AG184" s="31">
        <f>(AG$180/12)*Parts!$M$129+(AG$180/12)*Parts!$M$130</f>
        <v>13.25631666666667</v>
      </c>
      <c r="AH184" s="31">
        <f>(AH$180/12)*Parts!$M$129+(AH$180/12)*Parts!$M$130</f>
        <v>13.646208333333334</v>
      </c>
      <c r="AI184" s="31">
        <f>(AI$180/12)*Parts!$M$129+(AI$180/12)*Parts!$M$130</f>
        <v>14.036100000000001</v>
      </c>
      <c r="AJ184" s="31">
        <f>(AJ$180/12)*Parts!$M$129+(AJ$180/12)*Parts!$M$130</f>
        <v>14.42599166666667</v>
      </c>
      <c r="AK184" s="31">
        <f>(AK$180/12)*Parts!$M$129+(AK$180/12)*Parts!$M$130</f>
        <v>14.815883333333334</v>
      </c>
      <c r="AL184" s="31">
        <f>(AL$180/12)*Parts!$M$129+(AL$180/12)*Parts!$M$130</f>
        <v>15.205775000000003</v>
      </c>
      <c r="AM184" s="31">
        <f>(AM$180/12)*Parts!$M$129+(AM$180/12)*Parts!$M$130</f>
        <v>15.59566666666667</v>
      </c>
      <c r="AN184" s="31">
        <f>(AN$180/12)*Parts!$M$129+(AN$180/12)*Parts!$M$130</f>
        <v>15.985558333333334</v>
      </c>
      <c r="AO184" s="31">
        <f>(AO$180/12)*Parts!$M$129+(AO$180/12)*Parts!$M$130</f>
        <v>16.375450000000001</v>
      </c>
      <c r="AP184" s="31">
        <f>(AP$180/12)*Parts!$M$129+(AP$180/12)*Parts!$M$130</f>
        <v>16.765341666666671</v>
      </c>
      <c r="AQ184" s="31">
        <f>(AQ$180/12)*Parts!$M$129+(AQ$180/12)*Parts!$M$130</f>
        <v>17.155233333333335</v>
      </c>
      <c r="AR184" s="31">
        <f>(AR$180/12)*Parts!$M$129+(AR$180/12)*Parts!$M$130</f>
        <v>17.545125000000002</v>
      </c>
      <c r="AS184" s="31">
        <f>(AS$180/12)*Parts!$M$129+(AS$180/12)*Parts!$M$130</f>
        <v>17.935016666666669</v>
      </c>
      <c r="AT184" s="31">
        <f>(AT$180/12)*Parts!$M$129+(AT$180/12)*Parts!$M$130</f>
        <v>18.324908333333333</v>
      </c>
      <c r="AU184" s="31">
        <f>(AU$180/12)*Parts!$M$129+(AU$180/12)*Parts!$M$130</f>
        <v>18.714800000000004</v>
      </c>
      <c r="AV184" s="31">
        <f>(AV$180/12)*Parts!$M$129+(AV$180/12)*Parts!$M$130</f>
        <v>19.104691666666668</v>
      </c>
      <c r="AW184" s="31">
        <f>(AW$180/12)*Parts!$M$129+(AW$180/12)*Parts!$M$130</f>
        <v>19.494583333333338</v>
      </c>
      <c r="AX184" s="31">
        <f>(AX$180/12)*Parts!$M$129+(AX$180/12)*Parts!$M$130</f>
        <v>19.884475000000002</v>
      </c>
      <c r="AY184" s="31">
        <f>(AY$180/12)*Parts!$M$129+(AY$180/12)*Parts!$M$130</f>
        <v>20.274366666666669</v>
      </c>
      <c r="AZ184" s="31">
        <f>(AZ$180/12)*Parts!$M$129+(AZ$180/12)*Parts!$M$130</f>
        <v>20.664258333333336</v>
      </c>
      <c r="BA184" s="31">
        <f>(BA$180/12)*Parts!$M$129+(BA$180/12)*Parts!$M$130</f>
        <v>21.05415</v>
      </c>
      <c r="BB184" s="31">
        <f>(BB$180/12)*Parts!$M$129+(BB$180/12)*Parts!$M$130</f>
        <v>21.444041666666667</v>
      </c>
      <c r="BC184" s="31">
        <f>(BC$180/12)*Parts!$M$129+(BC$180/12)*Parts!$M$130</f>
        <v>21.833933333333334</v>
      </c>
      <c r="BD184" s="31">
        <f>(BD$180/12)*Parts!$M$129+(BD$180/12)*Parts!$M$130</f>
        <v>22.223825000000005</v>
      </c>
      <c r="BE184" s="31">
        <f>(BE$180/12)*Parts!$M$129+(BE$180/12)*Parts!$M$130</f>
        <v>22.613716666666669</v>
      </c>
      <c r="BF184" s="31">
        <f>(BF$180/12)*Parts!$M$129+(BF$180/12)*Parts!$M$130</f>
        <v>23.003608333333339</v>
      </c>
      <c r="BG184" s="31">
        <f>(BG$180/12)*Parts!$M$129+(BG$180/12)*Parts!$M$130</f>
        <v>23.393500000000003</v>
      </c>
      <c r="BH184" s="31">
        <f>(BH$180/12)*Parts!$M$129+(BH$180/12)*Parts!$M$130</f>
        <v>23.783391666666667</v>
      </c>
      <c r="BI184" s="31">
        <f>(BI$180/12)*Parts!$M$129+(BI$180/12)*Parts!$M$130</f>
        <v>24.173283333333337</v>
      </c>
      <c r="BJ184" s="31">
        <f>(BJ$180/12)*Parts!$M$129+(BJ$180/12)*Parts!$M$130</f>
        <v>24.563175000000001</v>
      </c>
      <c r="BK184" s="31">
        <f>(BK$180/12)*Parts!$M$129+(BK$180/12)*Parts!$M$130</f>
        <v>24.953066666666668</v>
      </c>
      <c r="BL184" s="31">
        <f>(BL$180/12)*Parts!$M$129+(BL$180/12)*Parts!$M$130</f>
        <v>25.342958333333335</v>
      </c>
      <c r="BM184" s="31">
        <f>(BM$180/12)*Parts!$M$129+(BM$180/12)*Parts!$M$130</f>
        <v>25.732850000000003</v>
      </c>
      <c r="BN184" s="31">
        <f>(BN$180/12)*Parts!$M$129+(BN$180/12)*Parts!$M$130</f>
        <v>26.122741666666666</v>
      </c>
      <c r="BO184" s="31">
        <f>(BO$180/12)*Parts!$M$129+(BO$180/12)*Parts!$M$130</f>
        <v>26.512633333333341</v>
      </c>
      <c r="BP184" s="31">
        <f>(BP$180/12)*Parts!$M$129+(BP$180/12)*Parts!$M$130</f>
        <v>26.902525000000004</v>
      </c>
      <c r="BQ184" s="31">
        <f>(BQ$180/12)*Parts!$M$129+(BQ$180/12)*Parts!$M$130</f>
        <v>27.292416666666668</v>
      </c>
      <c r="BR184" s="31">
        <f>(BR$180/12)*Parts!$M$129+(BR$180/12)*Parts!$M$130</f>
        <v>27.682308333333339</v>
      </c>
      <c r="BS184" s="31">
        <f>(BS$180/12)*Parts!$M$129+(BS$180/12)*Parts!$M$130</f>
        <v>28.072200000000002</v>
      </c>
      <c r="BT184" s="31">
        <f>(BT$180/12)*Parts!$M$129+(BT$180/12)*Parts!$M$130</f>
        <v>28.462091666666666</v>
      </c>
      <c r="BU184" s="31">
        <f>(BU$180/12)*Parts!$M$129+(BU$180/12)*Parts!$M$130</f>
        <v>28.85198333333334</v>
      </c>
      <c r="BV184" s="31">
        <f>(BV$180/12)*Parts!$M$129+(BV$180/12)*Parts!$M$130</f>
        <v>29.241875000000004</v>
      </c>
      <c r="BW184" s="31">
        <f>(BW$180/12)*Parts!$M$129+(BW$180/12)*Parts!$M$130</f>
        <v>29.631766666666667</v>
      </c>
      <c r="BX184" s="31">
        <f>(BX$180/12)*Parts!$M$129+(BX$180/12)*Parts!$M$130</f>
        <v>30.021658333333342</v>
      </c>
      <c r="BY184" s="31">
        <f>(BY$180/12)*Parts!$M$129+(BY$180/12)*Parts!$M$130</f>
        <v>30.411550000000005</v>
      </c>
      <c r="BZ184" s="31">
        <f>(BZ$180/12)*Parts!$M$129+(BZ$180/12)*Parts!$M$130</f>
        <v>30.801441666666669</v>
      </c>
      <c r="CA184" s="31">
        <f>(CA$180/12)*Parts!$M$129+(CA$180/12)*Parts!$M$130</f>
        <v>31.19133333333334</v>
      </c>
      <c r="CB184" s="31">
        <f>(CB$180/12)*Parts!$M$129+(CB$180/12)*Parts!$M$130</f>
        <v>31.581225000000003</v>
      </c>
      <c r="CC184" s="31">
        <f>(CC$180/12)*Parts!$M$129+(CC$180/12)*Parts!$M$130</f>
        <v>31.971116666666667</v>
      </c>
      <c r="CD184" s="31">
        <f>(CD$180/12)*Parts!$M$129+(CD$180/12)*Parts!$M$130</f>
        <v>32.361008333333338</v>
      </c>
      <c r="CE184" s="31">
        <f>(CE$180/12)*Parts!$M$129+(CE$180/12)*Parts!$M$130</f>
        <v>32.750900000000001</v>
      </c>
      <c r="CF184" s="31">
        <f>(CF$180/12)*Parts!$M$129+(CF$180/12)*Parts!$M$130</f>
        <v>33.140791666666665</v>
      </c>
      <c r="CG184" s="31">
        <f>(CG$180/12)*Parts!$M$129+(CG$180/12)*Parts!$M$130</f>
        <v>33.530683333333343</v>
      </c>
      <c r="CH184" s="31">
        <f>(CH$180/12)*Parts!$M$129+(CH$180/12)*Parts!$M$130</f>
        <v>33.920574999999999</v>
      </c>
      <c r="CI184" s="31">
        <f>(CI$180/12)*Parts!$M$129+(CI$180/12)*Parts!$M$130</f>
        <v>34.31046666666667</v>
      </c>
      <c r="CJ184" s="31">
        <f>(CJ$180/12)*Parts!$M$129+(CJ$180/12)*Parts!$M$130</f>
        <v>34.700358333333341</v>
      </c>
      <c r="CK184" s="31">
        <f>(CK$180/12)*Parts!$M$129+(CK$180/12)*Parts!$M$130</f>
        <v>35.090250000000005</v>
      </c>
      <c r="CL184" s="31">
        <f>(CL$180/12)*Parts!$M$129+(CL$180/12)*Parts!$M$130</f>
        <v>35.480141666666668</v>
      </c>
      <c r="CM184" s="31">
        <f>(CM$180/12)*Parts!$M$129+(CM$180/12)*Parts!$M$130</f>
        <v>35.870033333333339</v>
      </c>
      <c r="CN184" s="31">
        <f>(CN$180/12)*Parts!$M$129+(CN$180/12)*Parts!$M$130</f>
        <v>36.259925000000003</v>
      </c>
      <c r="CO184" s="31">
        <f>(CO$180/12)*Parts!$M$129+(CO$180/12)*Parts!$M$130</f>
        <v>36.649816666666666</v>
      </c>
      <c r="CP184" s="31">
        <f>(CP$180/12)*Parts!$M$129+(CP$180/12)*Parts!$M$130</f>
        <v>37.039708333333337</v>
      </c>
      <c r="CQ184" s="31">
        <f>(CQ$180/12)*Parts!$M$129+(CQ$180/12)*Parts!$M$130</f>
        <v>37.429600000000008</v>
      </c>
      <c r="CR184" s="31">
        <f>(CR$180/12)*Parts!$M$129+(CR$180/12)*Parts!$M$130</f>
        <v>37.819491666666671</v>
      </c>
      <c r="CS184" s="31">
        <f>(CS$180/12)*Parts!$M$129+(CS$180/12)*Parts!$M$130</f>
        <v>38.209383333333335</v>
      </c>
      <c r="CT184" s="31">
        <f>(CT$180/12)*Parts!$M$129+(CT$180/12)*Parts!$M$130</f>
        <v>38.599275000000006</v>
      </c>
      <c r="CU184" s="31">
        <f>(CU$180/12)*Parts!$M$129+(CU$180/12)*Parts!$M$130</f>
        <v>38.989166666666677</v>
      </c>
      <c r="CV184" s="31">
        <f>(CV$180/12)*Parts!$M$129+(CV$180/12)*Parts!$M$130</f>
        <v>39.379058333333333</v>
      </c>
      <c r="CW184" s="31">
        <f>(CW$180/12)*Parts!$M$129+(CW$180/12)*Parts!$M$130</f>
        <v>39.768950000000004</v>
      </c>
      <c r="CX184" s="31">
        <f>(CX$180/12)*Parts!$M$129+(CX$180/12)*Parts!$M$130</f>
        <v>40.158841666666675</v>
      </c>
      <c r="CY184" s="31">
        <f>(CY$180/12)*Parts!$M$129+(CY$180/12)*Parts!$M$130</f>
        <v>40.548733333333338</v>
      </c>
      <c r="CZ184" s="31">
        <f>(CZ$180/12)*Parts!$M$129+(CZ$180/12)*Parts!$M$130</f>
        <v>40.938625000000002</v>
      </c>
      <c r="DA184" s="31">
        <f>(DA$180/12)*Parts!$M$129+(DA$180/12)*Parts!$M$130</f>
        <v>41.328516666666673</v>
      </c>
      <c r="DB184" s="31">
        <f>(DB$180/12)*Parts!$M$129+(DB$180/12)*Parts!$M$130</f>
        <v>41.718408333333336</v>
      </c>
      <c r="DC184" s="31">
        <f>(DC$180/12)*Parts!$M$129+(DC$180/12)*Parts!$M$130</f>
        <v>42.1083</v>
      </c>
      <c r="DD184" s="31">
        <f>(DD$180/12)*Parts!$M$129+(DD$180/12)*Parts!$M$130</f>
        <v>42.498191666666671</v>
      </c>
      <c r="DE184" s="31">
        <f>(DE$180/12)*Parts!$M$129+(DE$180/12)*Parts!$M$130</f>
        <v>42.888083333333334</v>
      </c>
      <c r="DF184" s="31">
        <f>(DF$180/12)*Parts!$M$129+(DF$180/12)*Parts!$M$130</f>
        <v>43.277975000000005</v>
      </c>
      <c r="DG184" s="31">
        <f>(DG$180/12)*Parts!$M$129+(DG$180/12)*Parts!$M$130</f>
        <v>43.667866666666669</v>
      </c>
      <c r="DH184" s="31">
        <f>(DH$180/12)*Parts!$M$129+(DH$180/12)*Parts!$M$130</f>
        <v>44.057758333333339</v>
      </c>
      <c r="DI184" s="31">
        <f>(DI$180/12)*Parts!$M$129+(DI$180/12)*Parts!$M$130</f>
        <v>44.44765000000001</v>
      </c>
      <c r="DJ184" s="31">
        <f>(DJ$180/12)*Parts!$M$129+(DJ$180/12)*Parts!$M$130</f>
        <v>44.837541666666674</v>
      </c>
      <c r="DK184" s="31">
        <f>(DK$180/12)*Parts!$M$129+(DK$180/12)*Parts!$M$130</f>
        <v>45.227433333333337</v>
      </c>
      <c r="DL184" s="31">
        <f>(DL$180/12)*Parts!$M$129+(DL$180/12)*Parts!$M$130</f>
        <v>45.617325000000008</v>
      </c>
      <c r="DM184" s="31">
        <f>(DM$180/12)*Parts!$M$129+(DM$180/12)*Parts!$M$130</f>
        <v>46.007216666666679</v>
      </c>
      <c r="DN184" s="31">
        <f>(DN$180/12)*Parts!$M$129+(DN$180/12)*Parts!$M$130</f>
        <v>46.397108333333335</v>
      </c>
      <c r="DO184" s="31">
        <f>(DO$180/12)*Parts!$M$129+(DO$180/12)*Parts!$M$130</f>
        <v>46.787000000000006</v>
      </c>
      <c r="DP184" s="31">
        <f>(DP$180/12)*Parts!$M$129+(DP$180/12)*Parts!$M$130</f>
        <v>47.176891666666677</v>
      </c>
      <c r="DQ184" s="31">
        <f>(DQ$180/12)*Parts!$M$129+(DQ$180/12)*Parts!$M$130</f>
        <v>47.566783333333333</v>
      </c>
      <c r="DR184" s="31">
        <f>(DR$180/12)*Parts!$M$129+(DR$180/12)*Parts!$M$130</f>
        <v>47.956675000000004</v>
      </c>
      <c r="DS184" s="31">
        <f>(DS$180/12)*Parts!$M$129+(DS$180/12)*Parts!$M$130</f>
        <v>48.346566666666675</v>
      </c>
      <c r="DT184" s="31">
        <f>(DT$180/12)*Parts!$M$129+(DT$180/12)*Parts!$M$130</f>
        <v>48.736458333333331</v>
      </c>
      <c r="DU184" s="31">
        <f>(DU$180/12)*Parts!$M$129+(DU$180/12)*Parts!$M$130</f>
        <v>49.126350000000002</v>
      </c>
      <c r="DV184" s="31">
        <f>(DV$180/12)*Parts!$M$129+(DV$180/12)*Parts!$M$130</f>
        <v>49.516241666666673</v>
      </c>
      <c r="DW184" s="31">
        <f>(DW$180/12)*Parts!$M$129+(DW$180/12)*Parts!$M$130</f>
        <v>49.906133333333337</v>
      </c>
      <c r="DX184" s="31">
        <f>(DX$180/12)*Parts!$M$129+(DX$180/12)*Parts!$M$130</f>
        <v>50.296025000000007</v>
      </c>
      <c r="DY184" s="31">
        <f>(DY$180/12)*Parts!$M$129+(DY$180/12)*Parts!$M$130</f>
        <v>50.685916666666671</v>
      </c>
      <c r="DZ184" s="31">
        <f>(DZ$180/12)*Parts!$M$129+(DZ$180/12)*Parts!$M$130</f>
        <v>51.075808333333342</v>
      </c>
      <c r="EA184" s="31">
        <f>(EA$180/12)*Parts!$M$129+(EA$180/12)*Parts!$M$130</f>
        <v>51.465700000000005</v>
      </c>
      <c r="EB184" s="31">
        <f>(EB$180/12)*Parts!$M$129+(EB$180/12)*Parts!$M$130</f>
        <v>51.855591666666676</v>
      </c>
      <c r="EC184" s="31">
        <f>(EC$180/12)*Parts!$M$129+(EC$180/12)*Parts!$M$130</f>
        <v>52.245483333333333</v>
      </c>
      <c r="ED184" s="31">
        <f>(ED$180/12)*Parts!$M$129+(ED$180/12)*Parts!$M$130</f>
        <v>52.63537500000001</v>
      </c>
      <c r="EE184" s="31">
        <f>(EE$180/12)*Parts!$M$129+(EE$180/12)*Parts!$M$130</f>
        <v>53.025266666666681</v>
      </c>
      <c r="EF184" s="31">
        <f>(EF$180/12)*Parts!$M$129+(EF$180/12)*Parts!$M$130</f>
        <v>53.415158333333338</v>
      </c>
      <c r="EG184" s="31">
        <f>(EG$180/12)*Parts!$M$129+(EG$180/12)*Parts!$M$130</f>
        <v>53.805050000000008</v>
      </c>
      <c r="EH184" s="31">
        <f>(EH$180/12)*Parts!$M$129+(EH$180/12)*Parts!$M$130</f>
        <v>54.194941666666679</v>
      </c>
      <c r="EI184" s="31">
        <f>(EI$180/12)*Parts!$M$129+(EI$180/12)*Parts!$M$130</f>
        <v>54.584833333333336</v>
      </c>
      <c r="EJ184" s="31">
        <f>(EJ$180/12)*Parts!$M$129+(EJ$180/12)*Parts!$M$130</f>
        <v>54.974725000000007</v>
      </c>
      <c r="EK184" s="31">
        <f>(EK$180/12)*Parts!$M$129+(EK$180/12)*Parts!$M$130</f>
        <v>55.364616666666677</v>
      </c>
      <c r="EL184" s="31">
        <f>(EL$180/12)*Parts!$M$129+(EL$180/12)*Parts!$M$130</f>
        <v>55.754508333333334</v>
      </c>
      <c r="EM184" s="31">
        <f>(EM$180/12)*Parts!$M$129+(EM$180/12)*Parts!$M$130</f>
        <v>56.144400000000005</v>
      </c>
      <c r="EN184" s="31">
        <f>(EN$180/12)*Parts!$M$129+(EN$180/12)*Parts!$M$130</f>
        <v>56.534291666666675</v>
      </c>
      <c r="EO184" s="31">
        <f>(EO$180/12)*Parts!$M$129+(EO$180/12)*Parts!$M$130</f>
        <v>56.924183333333332</v>
      </c>
      <c r="EP184" s="31">
        <f>(EP$180/12)*Parts!$M$129+(EP$180/12)*Parts!$M$130</f>
        <v>57.314075000000003</v>
      </c>
      <c r="EQ184" s="31">
        <f>(EQ$180/12)*Parts!$M$129+(EQ$180/12)*Parts!$M$130</f>
        <v>57.70396666666668</v>
      </c>
      <c r="ER184" s="31">
        <f>(ER$180/12)*Parts!$M$129+(ER$180/12)*Parts!$M$130</f>
        <v>58.09385833333333</v>
      </c>
      <c r="ES184" s="31">
        <f>(ES$180/12)*Parts!$M$129+(ES$180/12)*Parts!$M$130</f>
        <v>58.483750000000008</v>
      </c>
      <c r="ET184" s="31">
        <f>(ET$180/12)*Parts!$M$129+(ET$180/12)*Parts!$M$130</f>
        <v>58.873641666666678</v>
      </c>
      <c r="EU184" s="31">
        <f>(EU$180/12)*Parts!$M$129+(EU$180/12)*Parts!$M$130</f>
        <v>59.263533333333335</v>
      </c>
      <c r="EV184" s="31">
        <f>(EV$180/12)*Parts!$M$129+(EV$180/12)*Parts!$M$130</f>
        <v>59.653425000000006</v>
      </c>
      <c r="EW184" s="31">
        <f>(EW$180/12)*Parts!$M$129+(EW$180/12)*Parts!$M$130</f>
        <v>60.043316666666684</v>
      </c>
      <c r="EX184" s="31">
        <f>(EX$180/12)*Parts!$M$129+(EX$180/12)*Parts!$M$130</f>
        <v>60.433208333333333</v>
      </c>
      <c r="EY184" s="31">
        <f>(EY$180/12)*Parts!$M$129+(EY$180/12)*Parts!$M$130</f>
        <v>60.823100000000011</v>
      </c>
      <c r="EZ184" s="31">
        <f>(EZ$180/12)*Parts!$M$129+(EZ$180/12)*Parts!$M$130</f>
        <v>61.212991666666682</v>
      </c>
      <c r="FA184" s="31">
        <f>(FA$180/12)*Parts!$M$129+(FA$180/12)*Parts!$M$130</f>
        <v>61.602883333333338</v>
      </c>
      <c r="FB184" s="31">
        <f>(FB$180/12)*Parts!$M$129+(FB$180/12)*Parts!$M$130</f>
        <v>61.992775000000009</v>
      </c>
      <c r="FC184" s="31">
        <f>(FC$180/12)*Parts!$M$129+(FC$180/12)*Parts!$M$130</f>
        <v>62.38266666666668</v>
      </c>
      <c r="FD184" s="31">
        <f>(FD$180/12)*Parts!$M$129+(FD$180/12)*Parts!$M$130</f>
        <v>62.772558333333336</v>
      </c>
      <c r="FE184" s="31">
        <f>(FE$180/12)*Parts!$M$129+(FE$180/12)*Parts!$M$130</f>
        <v>63.162450000000007</v>
      </c>
      <c r="FF184" s="31">
        <f>(FF$180/12)*Parts!$M$129+(FF$180/12)*Parts!$M$130</f>
        <v>63.552341666666678</v>
      </c>
      <c r="FG184" s="31">
        <f>(FG$180/12)*Parts!$M$129+(FG$180/12)*Parts!$M$130</f>
        <v>63.942233333333334</v>
      </c>
      <c r="FH184" s="31">
        <f>(FH$180/12)*Parts!$M$129+(FH$180/12)*Parts!$M$130</f>
        <v>64.332125000000005</v>
      </c>
      <c r="FI184" s="31">
        <f>(FI$180/12)*Parts!$M$129+(FI$180/12)*Parts!$M$130</f>
        <v>64.722016666666676</v>
      </c>
      <c r="FJ184" s="31">
        <f>(FJ$180/12)*Parts!$M$129+(FJ$180/12)*Parts!$M$130</f>
        <v>65.111908333333332</v>
      </c>
      <c r="FK184" s="31">
        <f>(FK$180/12)*Parts!$M$129+(FK$180/12)*Parts!$M$130</f>
        <v>65.501800000000003</v>
      </c>
    </row>
    <row r="185" spans="7:167" ht="18.75">
      <c r="G185" s="140"/>
      <c r="H185" s="140"/>
      <c r="I185" s="140">
        <v>29</v>
      </c>
      <c r="J185" s="140">
        <v>23.5</v>
      </c>
      <c r="K185" s="140"/>
      <c r="L185" s="140"/>
      <c r="M185" s="140"/>
      <c r="N185" s="140">
        <v>19</v>
      </c>
      <c r="O185" s="142" t="s">
        <v>484</v>
      </c>
      <c r="P185" s="140"/>
      <c r="Q185" s="140"/>
      <c r="R185" s="140"/>
      <c r="S185" s="140"/>
      <c r="T185" s="140"/>
      <c r="V185" s="281" t="s">
        <v>475</v>
      </c>
      <c r="W185" s="31">
        <f>((W$180/12)*Parts!$M$129)*2</f>
        <v>11.493200000000002</v>
      </c>
      <c r="X185" s="31">
        <f>((X$180/12)*Parts!$M$129)*2</f>
        <v>11.972083333333336</v>
      </c>
      <c r="Y185" s="31">
        <f>((Y$180/12)*Parts!$M$129)*2</f>
        <v>12.450966666666668</v>
      </c>
      <c r="Z185" s="31">
        <f>((Z$180/12)*Parts!$M$129)*2</f>
        <v>12.929850000000002</v>
      </c>
      <c r="AA185" s="31">
        <f>((AA$180/12)*Parts!$M$129)*2</f>
        <v>13.408733333333336</v>
      </c>
      <c r="AB185" s="31">
        <f>((AB$180/12)*Parts!$M$129)*2</f>
        <v>13.887616666666668</v>
      </c>
      <c r="AC185" s="31">
        <f>((AC$180/12)*Parts!$M$129)*2</f>
        <v>14.366500000000002</v>
      </c>
      <c r="AD185" s="31">
        <f>((AD$180/12)*Parts!$M$129)*2</f>
        <v>14.845383333333336</v>
      </c>
      <c r="AE185" s="31">
        <f>((AE$180/12)*Parts!$M$129)*2</f>
        <v>15.324266666666668</v>
      </c>
      <c r="AF185" s="31">
        <f>((AF$180/12)*Parts!$M$129)*2</f>
        <v>15.803150000000002</v>
      </c>
      <c r="AG185" s="31">
        <f>((AG$180/12)*Parts!$M$129)*2</f>
        <v>16.282033333333338</v>
      </c>
      <c r="AH185" s="31">
        <f>((AH$180/12)*Parts!$M$129)*2</f>
        <v>16.760916666666667</v>
      </c>
      <c r="AI185" s="31">
        <f>((AI$180/12)*Parts!$M$129)*2</f>
        <v>17.239800000000002</v>
      </c>
      <c r="AJ185" s="31">
        <f>((AJ$180/12)*Parts!$M$129)*2</f>
        <v>17.718683333333338</v>
      </c>
      <c r="AK185" s="31">
        <f>((AK$180/12)*Parts!$M$129)*2</f>
        <v>18.197566666666667</v>
      </c>
      <c r="AL185" s="31">
        <f>((AL$180/12)*Parts!$M$129)*2</f>
        <v>18.676450000000003</v>
      </c>
      <c r="AM185" s="31">
        <f>((AM$180/12)*Parts!$M$129)*2</f>
        <v>19.155333333333338</v>
      </c>
      <c r="AN185" s="31">
        <f>((AN$180/12)*Parts!$M$129)*2</f>
        <v>19.634216666666667</v>
      </c>
      <c r="AO185" s="31">
        <f>((AO$180/12)*Parts!$M$129)*2</f>
        <v>20.113100000000003</v>
      </c>
      <c r="AP185" s="31">
        <f>((AP$180/12)*Parts!$M$129)*2</f>
        <v>20.591983333333339</v>
      </c>
      <c r="AQ185" s="31">
        <f>((AQ$180/12)*Parts!$M$129)*2</f>
        <v>21.070866666666667</v>
      </c>
      <c r="AR185" s="31">
        <f>((AR$180/12)*Parts!$M$129)*2</f>
        <v>21.549750000000003</v>
      </c>
      <c r="AS185" s="31">
        <f>((AS$180/12)*Parts!$M$129)*2</f>
        <v>22.028633333333339</v>
      </c>
      <c r="AT185" s="31">
        <f>((AT$180/12)*Parts!$M$129)*2</f>
        <v>22.507516666666668</v>
      </c>
      <c r="AU185" s="31">
        <f>((AU$180/12)*Parts!$M$129)*2</f>
        <v>22.986400000000003</v>
      </c>
      <c r="AV185" s="31">
        <f>((AV$180/12)*Parts!$M$129)*2</f>
        <v>23.465283333333335</v>
      </c>
      <c r="AW185" s="31">
        <f>((AW$180/12)*Parts!$M$129)*2</f>
        <v>23.944166666666671</v>
      </c>
      <c r="AX185" s="31">
        <f>((AX$180/12)*Parts!$M$129)*2</f>
        <v>24.423050000000003</v>
      </c>
      <c r="AY185" s="31">
        <f>((AY$180/12)*Parts!$M$129)*2</f>
        <v>24.901933333333336</v>
      </c>
      <c r="AZ185" s="31">
        <f>((AZ$180/12)*Parts!$M$129)*2</f>
        <v>25.380816666666671</v>
      </c>
      <c r="BA185" s="31">
        <f>((BA$180/12)*Parts!$M$129)*2</f>
        <v>25.859700000000004</v>
      </c>
      <c r="BB185" s="31">
        <f>((BB$180/12)*Parts!$M$129)*2</f>
        <v>26.338583333333336</v>
      </c>
      <c r="BC185" s="31">
        <f>((BC$180/12)*Parts!$M$129)*2</f>
        <v>26.817466666666672</v>
      </c>
      <c r="BD185" s="31">
        <f>((BD$180/12)*Parts!$M$129)*2</f>
        <v>27.296350000000004</v>
      </c>
      <c r="BE185" s="31">
        <f>((BE$180/12)*Parts!$M$129)*2</f>
        <v>27.775233333333336</v>
      </c>
      <c r="BF185" s="31">
        <f>((BF$180/12)*Parts!$M$129)*2</f>
        <v>28.254116666666672</v>
      </c>
      <c r="BG185" s="31">
        <f>((BG$180/12)*Parts!$M$129)*2</f>
        <v>28.733000000000004</v>
      </c>
      <c r="BH185" s="31">
        <f>((BH$180/12)*Parts!$M$129)*2</f>
        <v>29.211883333333336</v>
      </c>
      <c r="BI185" s="31">
        <f>((BI$180/12)*Parts!$M$129)*2</f>
        <v>29.690766666666672</v>
      </c>
      <c r="BJ185" s="31">
        <f>((BJ$180/12)*Parts!$M$129)*2</f>
        <v>30.169650000000004</v>
      </c>
      <c r="BK185" s="31">
        <f>((BK$180/12)*Parts!$M$129)*2</f>
        <v>30.648533333333337</v>
      </c>
      <c r="BL185" s="31">
        <f>((BL$180/12)*Parts!$M$129)*2</f>
        <v>31.127416666666672</v>
      </c>
      <c r="BM185" s="31">
        <f>((BM$180/12)*Parts!$M$129)*2</f>
        <v>31.606300000000005</v>
      </c>
      <c r="BN185" s="31">
        <f>((BN$180/12)*Parts!$M$129)*2</f>
        <v>32.085183333333333</v>
      </c>
      <c r="BO185" s="31">
        <f>((BO$180/12)*Parts!$M$129)*2</f>
        <v>32.564066666666676</v>
      </c>
      <c r="BP185" s="31">
        <f>((BP$180/12)*Parts!$M$129)*2</f>
        <v>33.042950000000005</v>
      </c>
      <c r="BQ185" s="31">
        <f>((BQ$180/12)*Parts!$M$129)*2</f>
        <v>33.521833333333333</v>
      </c>
      <c r="BR185" s="31">
        <f>((BR$180/12)*Parts!$M$129)*2</f>
        <v>34.000716666666676</v>
      </c>
      <c r="BS185" s="31">
        <f>((BS$180/12)*Parts!$M$129)*2</f>
        <v>34.479600000000005</v>
      </c>
      <c r="BT185" s="31">
        <f>((BT$180/12)*Parts!$M$129)*2</f>
        <v>34.958483333333334</v>
      </c>
      <c r="BU185" s="31">
        <f>((BU$180/12)*Parts!$M$129)*2</f>
        <v>35.437366666666676</v>
      </c>
      <c r="BV185" s="31">
        <f>((BV$180/12)*Parts!$M$129)*2</f>
        <v>35.916250000000005</v>
      </c>
      <c r="BW185" s="31">
        <f>((BW$180/12)*Parts!$M$129)*2</f>
        <v>36.395133333333334</v>
      </c>
      <c r="BX185" s="31">
        <f>((BX$180/12)*Parts!$M$129)*2</f>
        <v>36.874016666666677</v>
      </c>
      <c r="BY185" s="31">
        <f>((BY$180/12)*Parts!$M$129)*2</f>
        <v>37.352900000000005</v>
      </c>
      <c r="BZ185" s="31">
        <f>((BZ$180/12)*Parts!$M$129)*2</f>
        <v>37.831783333333334</v>
      </c>
      <c r="CA185" s="31">
        <f>((CA$180/12)*Parts!$M$129)*2</f>
        <v>38.310666666666677</v>
      </c>
      <c r="CB185" s="31">
        <f>((CB$180/12)*Parts!$M$129)*2</f>
        <v>38.789550000000006</v>
      </c>
      <c r="CC185" s="31">
        <f>((CC$180/12)*Parts!$M$129)*2</f>
        <v>39.268433333333334</v>
      </c>
      <c r="CD185" s="31">
        <f>((CD$180/12)*Parts!$M$129)*2</f>
        <v>39.747316666666677</v>
      </c>
      <c r="CE185" s="31">
        <f>((CE$180/12)*Parts!$M$129)*2</f>
        <v>40.226200000000006</v>
      </c>
      <c r="CF185" s="31">
        <f>((CF$180/12)*Parts!$M$129)*2</f>
        <v>40.705083333333334</v>
      </c>
      <c r="CG185" s="31">
        <f>((CG$180/12)*Parts!$M$129)*2</f>
        <v>41.183966666666677</v>
      </c>
      <c r="CH185" s="31">
        <f>((CH$180/12)*Parts!$M$129)*2</f>
        <v>41.662850000000006</v>
      </c>
      <c r="CI185" s="31">
        <f>((CI$180/12)*Parts!$M$129)*2</f>
        <v>42.141733333333335</v>
      </c>
      <c r="CJ185" s="31">
        <f>((CJ$180/12)*Parts!$M$129)*2</f>
        <v>42.620616666666677</v>
      </c>
      <c r="CK185" s="31">
        <f>((CK$180/12)*Parts!$M$129)*2</f>
        <v>43.099500000000006</v>
      </c>
      <c r="CL185" s="31">
        <f>((CL$180/12)*Parts!$M$129)*2</f>
        <v>43.578383333333335</v>
      </c>
      <c r="CM185" s="31">
        <f>((CM$180/12)*Parts!$M$129)*2</f>
        <v>44.057266666666678</v>
      </c>
      <c r="CN185" s="31">
        <f>((CN$180/12)*Parts!$M$129)*2</f>
        <v>44.536150000000006</v>
      </c>
      <c r="CO185" s="31">
        <f>((CO$180/12)*Parts!$M$129)*2</f>
        <v>45.015033333333335</v>
      </c>
      <c r="CP185" s="31">
        <f>((CP$180/12)*Parts!$M$129)*2</f>
        <v>45.493916666666678</v>
      </c>
      <c r="CQ185" s="31">
        <f>((CQ$180/12)*Parts!$M$129)*2</f>
        <v>45.972800000000007</v>
      </c>
      <c r="CR185" s="31">
        <f>((CR$180/12)*Parts!$M$129)*2</f>
        <v>46.451683333333342</v>
      </c>
      <c r="CS185" s="31">
        <f>((CS$180/12)*Parts!$M$129)*2</f>
        <v>46.930566666666671</v>
      </c>
      <c r="CT185" s="31">
        <f>((CT$180/12)*Parts!$M$129)*2</f>
        <v>47.409450000000007</v>
      </c>
      <c r="CU185" s="31">
        <f>((CU$180/12)*Parts!$M$129)*2</f>
        <v>47.888333333333343</v>
      </c>
      <c r="CV185" s="31">
        <f>((CV$180/12)*Parts!$M$129)*2</f>
        <v>48.367216666666671</v>
      </c>
      <c r="CW185" s="31">
        <f>((CW$180/12)*Parts!$M$129)*2</f>
        <v>48.846100000000007</v>
      </c>
      <c r="CX185" s="31">
        <f>((CX$180/12)*Parts!$M$129)*2</f>
        <v>49.324983333333343</v>
      </c>
      <c r="CY185" s="31">
        <f>((CY$180/12)*Parts!$M$129)*2</f>
        <v>49.803866666666671</v>
      </c>
      <c r="CZ185" s="31">
        <f>((CZ$180/12)*Parts!$M$129)*2</f>
        <v>50.282750000000007</v>
      </c>
      <c r="DA185" s="31">
        <f>((DA$180/12)*Parts!$M$129)*2</f>
        <v>50.761633333333343</v>
      </c>
      <c r="DB185" s="31">
        <f>((DB$180/12)*Parts!$M$129)*2</f>
        <v>51.240516666666672</v>
      </c>
      <c r="DC185" s="31">
        <f>((DC$180/12)*Parts!$M$129)*2</f>
        <v>51.719400000000007</v>
      </c>
      <c r="DD185" s="31">
        <f>((DD$180/12)*Parts!$M$129)*2</f>
        <v>52.198283333333343</v>
      </c>
      <c r="DE185" s="31">
        <f>((DE$180/12)*Parts!$M$129)*2</f>
        <v>52.677166666666672</v>
      </c>
      <c r="DF185" s="31">
        <f>((DF$180/12)*Parts!$M$129)*2</f>
        <v>53.156050000000008</v>
      </c>
      <c r="DG185" s="31">
        <f>((DG$180/12)*Parts!$M$129)*2</f>
        <v>53.634933333333343</v>
      </c>
      <c r="DH185" s="31">
        <f>((DH$180/12)*Parts!$M$129)*2</f>
        <v>54.113816666666672</v>
      </c>
      <c r="DI185" s="31">
        <f>((DI$180/12)*Parts!$M$129)*2</f>
        <v>54.592700000000008</v>
      </c>
      <c r="DJ185" s="31">
        <f>((DJ$180/12)*Parts!$M$129)*2</f>
        <v>55.071583333333344</v>
      </c>
      <c r="DK185" s="31">
        <f>((DK$180/12)*Parts!$M$129)*2</f>
        <v>55.550466666666672</v>
      </c>
      <c r="DL185" s="31">
        <f>((DL$180/12)*Parts!$M$129)*2</f>
        <v>56.029350000000008</v>
      </c>
      <c r="DM185" s="31">
        <f>((DM$180/12)*Parts!$M$129)*2</f>
        <v>56.508233333333344</v>
      </c>
      <c r="DN185" s="31">
        <f>((DN$180/12)*Parts!$M$129)*2</f>
        <v>56.987116666666672</v>
      </c>
      <c r="DO185" s="31">
        <f>((DO$180/12)*Parts!$M$129)*2</f>
        <v>57.466000000000008</v>
      </c>
      <c r="DP185" s="31">
        <f>((DP$180/12)*Parts!$M$129)*2</f>
        <v>57.944883333333344</v>
      </c>
      <c r="DQ185" s="31">
        <f>((DQ$180/12)*Parts!$M$129)*2</f>
        <v>58.423766666666673</v>
      </c>
      <c r="DR185" s="31">
        <f>((DR$180/12)*Parts!$M$129)*2</f>
        <v>58.902650000000008</v>
      </c>
      <c r="DS185" s="31">
        <f>((DS$180/12)*Parts!$M$129)*2</f>
        <v>59.381533333333344</v>
      </c>
      <c r="DT185" s="31">
        <f>((DT$180/12)*Parts!$M$129)*2</f>
        <v>59.860416666666673</v>
      </c>
      <c r="DU185" s="31">
        <f>((DU$180/12)*Parts!$M$129)*2</f>
        <v>60.339300000000009</v>
      </c>
      <c r="DV185" s="31">
        <f>((DV$180/12)*Parts!$M$129)*2</f>
        <v>60.818183333333344</v>
      </c>
      <c r="DW185" s="31">
        <f>((DW$180/12)*Parts!$M$129)*2</f>
        <v>61.297066666666673</v>
      </c>
      <c r="DX185" s="31">
        <f>((DX$180/12)*Parts!$M$129)*2</f>
        <v>61.775950000000009</v>
      </c>
      <c r="DY185" s="31">
        <f>((DY$180/12)*Parts!$M$129)*2</f>
        <v>62.254833333333345</v>
      </c>
      <c r="DZ185" s="31">
        <f>((DZ$180/12)*Parts!$M$129)*2</f>
        <v>62.733716666666673</v>
      </c>
      <c r="EA185" s="31">
        <f>((EA$180/12)*Parts!$M$129)*2</f>
        <v>63.212600000000009</v>
      </c>
      <c r="EB185" s="31">
        <f>((EB$180/12)*Parts!$M$129)*2</f>
        <v>63.691483333333345</v>
      </c>
      <c r="EC185" s="31">
        <f>((EC$180/12)*Parts!$M$129)*2</f>
        <v>64.170366666666666</v>
      </c>
      <c r="ED185" s="31">
        <f>((ED$180/12)*Parts!$M$129)*2</f>
        <v>64.649250000000009</v>
      </c>
      <c r="EE185" s="31">
        <f>((EE$180/12)*Parts!$M$129)*2</f>
        <v>65.128133333333352</v>
      </c>
      <c r="EF185" s="31">
        <f>((EF$180/12)*Parts!$M$129)*2</f>
        <v>65.607016666666667</v>
      </c>
      <c r="EG185" s="31">
        <f>((EG$180/12)*Parts!$M$129)*2</f>
        <v>66.085900000000009</v>
      </c>
      <c r="EH185" s="31">
        <f>((EH$180/12)*Parts!$M$129)*2</f>
        <v>66.564783333333352</v>
      </c>
      <c r="EI185" s="31">
        <f>((EI$180/12)*Parts!$M$129)*2</f>
        <v>67.043666666666667</v>
      </c>
      <c r="EJ185" s="31">
        <f>((EJ$180/12)*Parts!$M$129)*2</f>
        <v>67.52255000000001</v>
      </c>
      <c r="EK185" s="31">
        <f>((EK$180/12)*Parts!$M$129)*2</f>
        <v>68.001433333333352</v>
      </c>
      <c r="EL185" s="31">
        <f>((EL$180/12)*Parts!$M$129)*2</f>
        <v>68.480316666666667</v>
      </c>
      <c r="EM185" s="31">
        <f>((EM$180/12)*Parts!$M$129)*2</f>
        <v>68.95920000000001</v>
      </c>
      <c r="EN185" s="31">
        <f>((EN$180/12)*Parts!$M$129)*2</f>
        <v>69.438083333333353</v>
      </c>
      <c r="EO185" s="31">
        <f>((EO$180/12)*Parts!$M$129)*2</f>
        <v>69.916966666666667</v>
      </c>
      <c r="EP185" s="31">
        <f>((EP$180/12)*Parts!$M$129)*2</f>
        <v>70.39585000000001</v>
      </c>
      <c r="EQ185" s="31">
        <f>((EQ$180/12)*Parts!$M$129)*2</f>
        <v>70.874733333333353</v>
      </c>
      <c r="ER185" s="31">
        <f>((ER$180/12)*Parts!$M$129)*2</f>
        <v>71.353616666666667</v>
      </c>
      <c r="ES185" s="31">
        <f>((ES$180/12)*Parts!$M$129)*2</f>
        <v>71.83250000000001</v>
      </c>
      <c r="ET185" s="31">
        <f>((ET$180/12)*Parts!$M$129)*2</f>
        <v>72.311383333333353</v>
      </c>
      <c r="EU185" s="31">
        <f>((EU$180/12)*Parts!$M$129)*2</f>
        <v>72.790266666666668</v>
      </c>
      <c r="EV185" s="31">
        <f>((EV$180/12)*Parts!$M$129)*2</f>
        <v>73.26915000000001</v>
      </c>
      <c r="EW185" s="31">
        <f>((EW$180/12)*Parts!$M$129)*2</f>
        <v>73.748033333333353</v>
      </c>
      <c r="EX185" s="31">
        <f>((EX$180/12)*Parts!$M$129)*2</f>
        <v>74.226916666666668</v>
      </c>
      <c r="EY185" s="31">
        <f>((EY$180/12)*Parts!$M$129)*2</f>
        <v>74.705800000000011</v>
      </c>
      <c r="EZ185" s="31">
        <f>((EZ$180/12)*Parts!$M$129)*2</f>
        <v>75.184683333333354</v>
      </c>
      <c r="FA185" s="31">
        <f>((FA$180/12)*Parts!$M$129)*2</f>
        <v>75.663566666666668</v>
      </c>
      <c r="FB185" s="31">
        <f>((FB$180/12)*Parts!$M$129)*2</f>
        <v>76.142450000000011</v>
      </c>
      <c r="FC185" s="31">
        <f>((FC$180/12)*Parts!$M$129)*2</f>
        <v>76.621333333333354</v>
      </c>
      <c r="FD185" s="31">
        <f>((FD$180/12)*Parts!$M$129)*2</f>
        <v>77.100216666666668</v>
      </c>
      <c r="FE185" s="31">
        <f>((FE$180/12)*Parts!$M$129)*2</f>
        <v>77.579100000000011</v>
      </c>
      <c r="FF185" s="31">
        <f>((FF$180/12)*Parts!$M$129)*2</f>
        <v>78.057983333333354</v>
      </c>
      <c r="FG185" s="31">
        <f>((FG$180/12)*Parts!$M$129)*2</f>
        <v>78.536866666666668</v>
      </c>
      <c r="FH185" s="31">
        <f>((FH$180/12)*Parts!$M$129)*2</f>
        <v>79.015750000000011</v>
      </c>
      <c r="FI185" s="31">
        <f>((FI$180/12)*Parts!$M$129)*2</f>
        <v>79.494633333333354</v>
      </c>
      <c r="FJ185" s="31">
        <f>((FJ$180/12)*Parts!$M$129)*2</f>
        <v>79.973516666666669</v>
      </c>
      <c r="FK185" s="31">
        <f>((FK$180/12)*Parts!$M$129)*2</f>
        <v>80.452400000000011</v>
      </c>
    </row>
    <row r="186" spans="7:167" ht="18.75">
      <c r="G186" s="140"/>
      <c r="H186" s="140"/>
      <c r="I186" s="140">
        <v>30</v>
      </c>
      <c r="J186" s="140">
        <v>24</v>
      </c>
      <c r="K186" s="140"/>
      <c r="L186" s="140"/>
      <c r="M186" s="140"/>
      <c r="N186" s="140">
        <v>20</v>
      </c>
      <c r="O186" s="142" t="s">
        <v>485</v>
      </c>
      <c r="P186" s="140"/>
      <c r="Q186" s="140"/>
      <c r="R186" s="140"/>
      <c r="S186" s="140"/>
      <c r="T186" s="140"/>
      <c r="V186" s="281" t="s">
        <v>476</v>
      </c>
      <c r="W186" s="31">
        <f>((W$180/12)*Parts!$M$128)*2+(W$180/12)*Parts!$M$129</f>
        <v>11.316200000000002</v>
      </c>
      <c r="X186" s="31">
        <f>((X$180/12)*Parts!$M$128)*2+(X$180/12)*Parts!$M$129</f>
        <v>11.787708333333335</v>
      </c>
      <c r="Y186" s="31">
        <f>((Y$180/12)*Parts!$M$128)*2+(Y$180/12)*Parts!$M$129</f>
        <v>12.259216666666667</v>
      </c>
      <c r="Z186" s="31">
        <f>((Z$180/12)*Parts!$M$128)*2+(Z$180/12)*Parts!$M$129</f>
        <v>12.730725000000001</v>
      </c>
      <c r="AA186" s="31">
        <f>((AA$180/12)*Parts!$M$128)*2+(AA$180/12)*Parts!$M$129</f>
        <v>13.202233333333336</v>
      </c>
      <c r="AB186" s="31">
        <f>((AB$180/12)*Parts!$M$128)*2+(AB$180/12)*Parts!$M$129</f>
        <v>13.673741666666668</v>
      </c>
      <c r="AC186" s="31">
        <f>((AC$180/12)*Parts!$M$128)*2+(AC$180/12)*Parts!$M$129</f>
        <v>14.145250000000001</v>
      </c>
      <c r="AD186" s="31">
        <f>((AD$180/12)*Parts!$M$128)*2+(AD$180/12)*Parts!$M$129</f>
        <v>14.616758333333337</v>
      </c>
      <c r="AE186" s="31">
        <f>((AE$180/12)*Parts!$M$128)*2+(AE$180/12)*Parts!$M$129</f>
        <v>15.088266666666668</v>
      </c>
      <c r="AF186" s="31">
        <f>((AF$180/12)*Parts!$M$128)*2+(AF$180/12)*Parts!$M$129</f>
        <v>15.559775000000002</v>
      </c>
      <c r="AG186" s="31">
        <f>((AG$180/12)*Parts!$M$128)*2+(AG$180/12)*Parts!$M$129</f>
        <v>16.031283333333334</v>
      </c>
      <c r="AH186" s="31">
        <f>((AH$180/12)*Parts!$M$128)*2+(AH$180/12)*Parts!$M$129</f>
        <v>16.502791666666667</v>
      </c>
      <c r="AI186" s="31">
        <f>((AI$180/12)*Parts!$M$128)*2+(AI$180/12)*Parts!$M$129</f>
        <v>16.974299999999999</v>
      </c>
      <c r="AJ186" s="31">
        <f>((AJ$180/12)*Parts!$M$128)*2+(AJ$180/12)*Parts!$M$129</f>
        <v>17.445808333333339</v>
      </c>
      <c r="AK186" s="31">
        <f>((AK$180/12)*Parts!$M$128)*2+(AK$180/12)*Parts!$M$129</f>
        <v>17.917316666666665</v>
      </c>
      <c r="AL186" s="31">
        <f>((AL$180/12)*Parts!$M$128)*2+(AL$180/12)*Parts!$M$129</f>
        <v>18.388825000000004</v>
      </c>
      <c r="AM186" s="31">
        <f>((AM$180/12)*Parts!$M$128)*2+(AM$180/12)*Parts!$M$129</f>
        <v>18.860333333333337</v>
      </c>
      <c r="AN186" s="31">
        <f>((AN$180/12)*Parts!$M$128)*2+(AN$180/12)*Parts!$M$129</f>
        <v>19.331841666666669</v>
      </c>
      <c r="AO186" s="31">
        <f>((AO$180/12)*Parts!$M$128)*2+(AO$180/12)*Parts!$M$129</f>
        <v>19.803350000000002</v>
      </c>
      <c r="AP186" s="31">
        <f>((AP$180/12)*Parts!$M$128)*2+(AP$180/12)*Parts!$M$129</f>
        <v>20.274858333333338</v>
      </c>
      <c r="AQ186" s="31">
        <f>((AQ$180/12)*Parts!$M$128)*2+(AQ$180/12)*Parts!$M$129</f>
        <v>20.746366666666667</v>
      </c>
      <c r="AR186" s="31">
        <f>((AR$180/12)*Parts!$M$128)*2+(AR$180/12)*Parts!$M$129</f>
        <v>21.217875000000003</v>
      </c>
      <c r="AS186" s="31">
        <f>((AS$180/12)*Parts!$M$128)*2+(AS$180/12)*Parts!$M$129</f>
        <v>21.689383333333339</v>
      </c>
      <c r="AT186" s="31">
        <f>((AT$180/12)*Parts!$M$128)*2+(AT$180/12)*Parts!$M$129</f>
        <v>22.160891666666668</v>
      </c>
      <c r="AU186" s="31">
        <f>((AU$180/12)*Parts!$M$128)*2+(AU$180/12)*Parts!$M$129</f>
        <v>22.632400000000004</v>
      </c>
      <c r="AV186" s="31">
        <f>((AV$180/12)*Parts!$M$128)*2+(AV$180/12)*Parts!$M$129</f>
        <v>23.103908333333337</v>
      </c>
      <c r="AW186" s="31">
        <f>((AW$180/12)*Parts!$M$128)*2+(AW$180/12)*Parts!$M$129</f>
        <v>23.575416666666669</v>
      </c>
      <c r="AX186" s="31">
        <f>((AX$180/12)*Parts!$M$128)*2+(AX$180/12)*Parts!$M$129</f>
        <v>24.046925000000002</v>
      </c>
      <c r="AY186" s="31">
        <f>((AY$180/12)*Parts!$M$128)*2+(AY$180/12)*Parts!$M$129</f>
        <v>24.518433333333334</v>
      </c>
      <c r="AZ186" s="31">
        <f>((AZ$180/12)*Parts!$M$128)*2+(AZ$180/12)*Parts!$M$129</f>
        <v>24.98994166666667</v>
      </c>
      <c r="BA186" s="31">
        <f>((BA$180/12)*Parts!$M$128)*2+(BA$180/12)*Parts!$M$129</f>
        <v>25.461450000000003</v>
      </c>
      <c r="BB186" s="31">
        <f>((BB$180/12)*Parts!$M$128)*2+(BB$180/12)*Parts!$M$129</f>
        <v>25.932958333333335</v>
      </c>
      <c r="BC186" s="31">
        <f>((BC$180/12)*Parts!$M$128)*2+(BC$180/12)*Parts!$M$129</f>
        <v>26.404466666666671</v>
      </c>
      <c r="BD186" s="31">
        <f>((BD$180/12)*Parts!$M$128)*2+(BD$180/12)*Parts!$M$129</f>
        <v>26.875975000000004</v>
      </c>
      <c r="BE186" s="31">
        <f>((BE$180/12)*Parts!$M$128)*2+(BE$180/12)*Parts!$M$129</f>
        <v>27.347483333333336</v>
      </c>
      <c r="BF186" s="31">
        <f>((BF$180/12)*Parts!$M$128)*2+(BF$180/12)*Parts!$M$129</f>
        <v>27.818991666666669</v>
      </c>
      <c r="BG186" s="31">
        <f>((BG$180/12)*Parts!$M$128)*2+(BG$180/12)*Parts!$M$129</f>
        <v>28.290500000000002</v>
      </c>
      <c r="BH186" s="31">
        <f>((BH$180/12)*Parts!$M$128)*2+(BH$180/12)*Parts!$M$129</f>
        <v>28.762008333333334</v>
      </c>
      <c r="BI186" s="31">
        <f>((BI$180/12)*Parts!$M$128)*2+(BI$180/12)*Parts!$M$129</f>
        <v>29.233516666666674</v>
      </c>
      <c r="BJ186" s="31">
        <f>((BJ$180/12)*Parts!$M$128)*2+(BJ$180/12)*Parts!$M$129</f>
        <v>29.705025000000003</v>
      </c>
      <c r="BK186" s="31">
        <f>((BK$180/12)*Parts!$M$128)*2+(BK$180/12)*Parts!$M$129</f>
        <v>30.176533333333335</v>
      </c>
      <c r="BL186" s="31">
        <f>((BL$180/12)*Parts!$M$128)*2+(BL$180/12)*Parts!$M$129</f>
        <v>30.648041666666671</v>
      </c>
      <c r="BM186" s="31">
        <f>((BM$180/12)*Parts!$M$128)*2+(BM$180/12)*Parts!$M$129</f>
        <v>31.119550000000004</v>
      </c>
      <c r="BN186" s="31">
        <f>((BN$180/12)*Parts!$M$128)*2+(BN$180/12)*Parts!$M$129</f>
        <v>31.591058333333333</v>
      </c>
      <c r="BO186" s="31">
        <f>((BO$180/12)*Parts!$M$128)*2+(BO$180/12)*Parts!$M$129</f>
        <v>32.062566666666669</v>
      </c>
      <c r="BP186" s="31">
        <f>((BP$180/12)*Parts!$M$128)*2+(BP$180/12)*Parts!$M$129</f>
        <v>32.534075000000001</v>
      </c>
      <c r="BQ186" s="31">
        <f>((BQ$180/12)*Parts!$M$128)*2+(BQ$180/12)*Parts!$M$129</f>
        <v>33.005583333333334</v>
      </c>
      <c r="BR186" s="31">
        <f>((BR$180/12)*Parts!$M$128)*2+(BR$180/12)*Parts!$M$129</f>
        <v>33.477091666666674</v>
      </c>
      <c r="BS186" s="31">
        <f>((BS$180/12)*Parts!$M$128)*2+(BS$180/12)*Parts!$M$129</f>
        <v>33.948599999999999</v>
      </c>
      <c r="BT186" s="31">
        <f>((BT$180/12)*Parts!$M$128)*2+(BT$180/12)*Parts!$M$129</f>
        <v>34.420108333333332</v>
      </c>
      <c r="BU186" s="31">
        <f>((BU$180/12)*Parts!$M$128)*2+(BU$180/12)*Parts!$M$129</f>
        <v>34.891616666666678</v>
      </c>
      <c r="BV186" s="31">
        <f>((BV$180/12)*Parts!$M$128)*2+(BV$180/12)*Parts!$M$129</f>
        <v>35.363125000000004</v>
      </c>
      <c r="BW186" s="31">
        <f>((BW$180/12)*Parts!$M$128)*2+(BW$180/12)*Parts!$M$129</f>
        <v>35.834633333333329</v>
      </c>
      <c r="BX186" s="31">
        <f>((BX$180/12)*Parts!$M$128)*2+(BX$180/12)*Parts!$M$129</f>
        <v>36.306141666666676</v>
      </c>
      <c r="BY186" s="31">
        <f>((BY$180/12)*Parts!$M$128)*2+(BY$180/12)*Parts!$M$129</f>
        <v>36.777650000000008</v>
      </c>
      <c r="BZ186" s="31">
        <f>((BZ$180/12)*Parts!$M$128)*2+(BZ$180/12)*Parts!$M$129</f>
        <v>37.249158333333334</v>
      </c>
      <c r="CA186" s="31">
        <f>((CA$180/12)*Parts!$M$128)*2+(CA$180/12)*Parts!$M$129</f>
        <v>37.720666666666673</v>
      </c>
      <c r="CB186" s="31">
        <f>((CB$180/12)*Parts!$M$128)*2+(CB$180/12)*Parts!$M$129</f>
        <v>38.192175000000006</v>
      </c>
      <c r="CC186" s="31">
        <f>((CC$180/12)*Parts!$M$128)*2+(CC$180/12)*Parts!$M$129</f>
        <v>38.663683333333339</v>
      </c>
      <c r="CD186" s="31">
        <f>((CD$180/12)*Parts!$M$128)*2+(CD$180/12)*Parts!$M$129</f>
        <v>39.135191666666671</v>
      </c>
      <c r="CE186" s="31">
        <f>((CE$180/12)*Parts!$M$128)*2+(CE$180/12)*Parts!$M$129</f>
        <v>39.606700000000004</v>
      </c>
      <c r="CF186" s="31">
        <f>((CF$180/12)*Parts!$M$128)*2+(CF$180/12)*Parts!$M$129</f>
        <v>40.078208333333336</v>
      </c>
      <c r="CG186" s="31">
        <f>((CG$180/12)*Parts!$M$128)*2+(CG$180/12)*Parts!$M$129</f>
        <v>40.549716666666676</v>
      </c>
      <c r="CH186" s="31">
        <f>((CH$180/12)*Parts!$M$128)*2+(CH$180/12)*Parts!$M$129</f>
        <v>41.021225000000001</v>
      </c>
      <c r="CI186" s="31">
        <f>((CI$180/12)*Parts!$M$128)*2+(CI$180/12)*Parts!$M$129</f>
        <v>41.492733333333334</v>
      </c>
      <c r="CJ186" s="31">
        <f>((CJ$180/12)*Parts!$M$128)*2+(CJ$180/12)*Parts!$M$129</f>
        <v>41.964241666666673</v>
      </c>
      <c r="CK186" s="31">
        <f>((CK$180/12)*Parts!$M$128)*2+(CK$180/12)*Parts!$M$129</f>
        <v>42.435750000000006</v>
      </c>
      <c r="CL186" s="31">
        <f>((CL$180/12)*Parts!$M$128)*2+(CL$180/12)*Parts!$M$129</f>
        <v>42.907258333333331</v>
      </c>
      <c r="CM186" s="31">
        <f>((CM$180/12)*Parts!$M$128)*2+(CM$180/12)*Parts!$M$129</f>
        <v>43.378766666666678</v>
      </c>
      <c r="CN186" s="31">
        <f>((CN$180/12)*Parts!$M$128)*2+(CN$180/12)*Parts!$M$129</f>
        <v>43.850275000000003</v>
      </c>
      <c r="CO186" s="31">
        <f>((CO$180/12)*Parts!$M$128)*2+(CO$180/12)*Parts!$M$129</f>
        <v>44.321783333333336</v>
      </c>
      <c r="CP186" s="31">
        <f>((CP$180/12)*Parts!$M$128)*2+(CP$180/12)*Parts!$M$129</f>
        <v>44.793291666666676</v>
      </c>
      <c r="CQ186" s="31">
        <f>((CQ$180/12)*Parts!$M$128)*2+(CQ$180/12)*Parts!$M$129</f>
        <v>45.264800000000008</v>
      </c>
      <c r="CR186" s="31">
        <f>((CR$180/12)*Parts!$M$128)*2+(CR$180/12)*Parts!$M$129</f>
        <v>45.736308333333341</v>
      </c>
      <c r="CS186" s="31">
        <f>((CS$180/12)*Parts!$M$128)*2+(CS$180/12)*Parts!$M$129</f>
        <v>46.207816666666673</v>
      </c>
      <c r="CT186" s="31">
        <f>((CT$180/12)*Parts!$M$128)*2+(CT$180/12)*Parts!$M$129</f>
        <v>46.679325000000006</v>
      </c>
      <c r="CU186" s="31">
        <f>((CU$180/12)*Parts!$M$128)*2+(CU$180/12)*Parts!$M$129</f>
        <v>47.150833333333338</v>
      </c>
      <c r="CV186" s="31">
        <f>((CV$180/12)*Parts!$M$128)*2+(CV$180/12)*Parts!$M$129</f>
        <v>47.622341666666671</v>
      </c>
      <c r="CW186" s="31">
        <f>((CW$180/12)*Parts!$M$128)*2+(CW$180/12)*Parts!$M$129</f>
        <v>48.093850000000003</v>
      </c>
      <c r="CX186" s="31">
        <f>((CX$180/12)*Parts!$M$128)*2+(CX$180/12)*Parts!$M$129</f>
        <v>48.565358333333336</v>
      </c>
      <c r="CY186" s="31">
        <f>((CY$180/12)*Parts!$M$128)*2+(CY$180/12)*Parts!$M$129</f>
        <v>49.036866666666668</v>
      </c>
      <c r="CZ186" s="31">
        <f>((CZ$180/12)*Parts!$M$128)*2+(CZ$180/12)*Parts!$M$129</f>
        <v>49.508375000000001</v>
      </c>
      <c r="DA186" s="31">
        <f>((DA$180/12)*Parts!$M$128)*2+(DA$180/12)*Parts!$M$129</f>
        <v>49.979883333333341</v>
      </c>
      <c r="DB186" s="31">
        <f>((DB$180/12)*Parts!$M$128)*2+(DB$180/12)*Parts!$M$129</f>
        <v>50.451391666666666</v>
      </c>
      <c r="DC186" s="31">
        <f>((DC$180/12)*Parts!$M$128)*2+(DC$180/12)*Parts!$M$129</f>
        <v>50.922900000000006</v>
      </c>
      <c r="DD186" s="31">
        <f>((DD$180/12)*Parts!$M$128)*2+(DD$180/12)*Parts!$M$129</f>
        <v>51.394408333333345</v>
      </c>
      <c r="DE186" s="31">
        <f>((DE$180/12)*Parts!$M$128)*2+(DE$180/12)*Parts!$M$129</f>
        <v>51.865916666666671</v>
      </c>
      <c r="DF186" s="31">
        <f>((DF$180/12)*Parts!$M$128)*2+(DF$180/12)*Parts!$M$129</f>
        <v>52.33742500000001</v>
      </c>
      <c r="DG186" s="31">
        <f>((DG$180/12)*Parts!$M$128)*2+(DG$180/12)*Parts!$M$129</f>
        <v>52.808933333333343</v>
      </c>
      <c r="DH186" s="31">
        <f>((DH$180/12)*Parts!$M$128)*2+(DH$180/12)*Parts!$M$129</f>
        <v>53.280441666666668</v>
      </c>
      <c r="DI186" s="31">
        <f>((DI$180/12)*Parts!$M$128)*2+(DI$180/12)*Parts!$M$129</f>
        <v>53.751950000000008</v>
      </c>
      <c r="DJ186" s="31">
        <f>((DJ$180/12)*Parts!$M$128)*2+(DJ$180/12)*Parts!$M$129</f>
        <v>54.22345833333334</v>
      </c>
      <c r="DK186" s="31">
        <f>((DK$180/12)*Parts!$M$128)*2+(DK$180/12)*Parts!$M$129</f>
        <v>54.694966666666673</v>
      </c>
      <c r="DL186" s="31">
        <f>((DL$180/12)*Parts!$M$128)*2+(DL$180/12)*Parts!$M$129</f>
        <v>55.166475000000005</v>
      </c>
      <c r="DM186" s="31">
        <f>((DM$180/12)*Parts!$M$128)*2+(DM$180/12)*Parts!$M$129</f>
        <v>55.637983333333338</v>
      </c>
      <c r="DN186" s="31">
        <f>((DN$180/12)*Parts!$M$128)*2+(DN$180/12)*Parts!$M$129</f>
        <v>56.109491666666671</v>
      </c>
      <c r="DO186" s="31">
        <f>((DO$180/12)*Parts!$M$128)*2+(DO$180/12)*Parts!$M$129</f>
        <v>56.581000000000003</v>
      </c>
      <c r="DP186" s="31">
        <f>((DP$180/12)*Parts!$M$128)*2+(DP$180/12)*Parts!$M$129</f>
        <v>57.052508333333343</v>
      </c>
      <c r="DQ186" s="31">
        <f>((DQ$180/12)*Parts!$M$128)*2+(DQ$180/12)*Parts!$M$129</f>
        <v>57.524016666666668</v>
      </c>
      <c r="DR186" s="31">
        <f>((DR$180/12)*Parts!$M$128)*2+(DR$180/12)*Parts!$M$129</f>
        <v>57.995525000000001</v>
      </c>
      <c r="DS186" s="31">
        <f>((DS$180/12)*Parts!$M$128)*2+(DS$180/12)*Parts!$M$129</f>
        <v>58.467033333333347</v>
      </c>
      <c r="DT186" s="31">
        <f>((DT$180/12)*Parts!$M$128)*2+(DT$180/12)*Parts!$M$129</f>
        <v>58.938541666666666</v>
      </c>
      <c r="DU186" s="31">
        <f>((DU$180/12)*Parts!$M$128)*2+(DU$180/12)*Parts!$M$129</f>
        <v>59.410050000000005</v>
      </c>
      <c r="DV186" s="31">
        <f>((DV$180/12)*Parts!$M$128)*2+(DV$180/12)*Parts!$M$129</f>
        <v>59.881558333333345</v>
      </c>
      <c r="DW186" s="31">
        <f>((DW$180/12)*Parts!$M$128)*2+(DW$180/12)*Parts!$M$129</f>
        <v>60.35306666666667</v>
      </c>
      <c r="DX186" s="31">
        <f>((DX$180/12)*Parts!$M$128)*2+(DX$180/12)*Parts!$M$129</f>
        <v>60.82457500000001</v>
      </c>
      <c r="DY186" s="31">
        <f>((DY$180/12)*Parts!$M$128)*2+(DY$180/12)*Parts!$M$129</f>
        <v>61.296083333333343</v>
      </c>
      <c r="DZ186" s="31">
        <f>((DZ$180/12)*Parts!$M$128)*2+(DZ$180/12)*Parts!$M$129</f>
        <v>61.767591666666675</v>
      </c>
      <c r="EA186" s="31">
        <f>((EA$180/12)*Parts!$M$128)*2+(EA$180/12)*Parts!$M$129</f>
        <v>62.239100000000008</v>
      </c>
      <c r="EB186" s="31">
        <f>((EB$180/12)*Parts!$M$128)*2+(EB$180/12)*Parts!$M$129</f>
        <v>62.71060833333334</v>
      </c>
      <c r="EC186" s="31">
        <f>((EC$180/12)*Parts!$M$128)*2+(EC$180/12)*Parts!$M$129</f>
        <v>63.182116666666666</v>
      </c>
      <c r="ED186" s="31">
        <f>((ED$180/12)*Parts!$M$128)*2+(ED$180/12)*Parts!$M$129</f>
        <v>63.653625000000005</v>
      </c>
      <c r="EE186" s="31">
        <f>((EE$180/12)*Parts!$M$128)*2+(EE$180/12)*Parts!$M$129</f>
        <v>64.125133333333338</v>
      </c>
      <c r="EF186" s="31">
        <f>((EF$180/12)*Parts!$M$128)*2+(EF$180/12)*Parts!$M$129</f>
        <v>64.59664166666667</v>
      </c>
      <c r="EG186" s="31">
        <f>((EG$180/12)*Parts!$M$128)*2+(EG$180/12)*Parts!$M$129</f>
        <v>65.068150000000003</v>
      </c>
      <c r="EH186" s="31">
        <f>((EH$180/12)*Parts!$M$128)*2+(EH$180/12)*Parts!$M$129</f>
        <v>65.53965833333335</v>
      </c>
      <c r="EI186" s="31">
        <f>((EI$180/12)*Parts!$M$128)*2+(EI$180/12)*Parts!$M$129</f>
        <v>66.011166666666668</v>
      </c>
      <c r="EJ186" s="31">
        <f>((EJ$180/12)*Parts!$M$128)*2+(EJ$180/12)*Parts!$M$129</f>
        <v>66.482675</v>
      </c>
      <c r="EK186" s="31">
        <f>((EK$180/12)*Parts!$M$128)*2+(EK$180/12)*Parts!$M$129</f>
        <v>66.954183333333347</v>
      </c>
      <c r="EL186" s="31">
        <f>((EL$180/12)*Parts!$M$128)*2+(EL$180/12)*Parts!$M$129</f>
        <v>67.425691666666665</v>
      </c>
      <c r="EM186" s="31">
        <f>((EM$180/12)*Parts!$M$128)*2+(EM$180/12)*Parts!$M$129</f>
        <v>67.897199999999998</v>
      </c>
      <c r="EN186" s="31">
        <f>((EN$180/12)*Parts!$M$128)*2+(EN$180/12)*Parts!$M$129</f>
        <v>68.368708333333345</v>
      </c>
      <c r="EO186" s="31">
        <f>((EO$180/12)*Parts!$M$128)*2+(EO$180/12)*Parts!$M$129</f>
        <v>68.840216666666663</v>
      </c>
      <c r="EP186" s="31">
        <f>((EP$180/12)*Parts!$M$128)*2+(EP$180/12)*Parts!$M$129</f>
        <v>69.31172500000001</v>
      </c>
      <c r="EQ186" s="31">
        <f>((EQ$180/12)*Parts!$M$128)*2+(EQ$180/12)*Parts!$M$129</f>
        <v>69.783233333333357</v>
      </c>
      <c r="ER186" s="31">
        <f>((ER$180/12)*Parts!$M$128)*2+(ER$180/12)*Parts!$M$129</f>
        <v>70.254741666666661</v>
      </c>
      <c r="ES186" s="31">
        <f>((ES$180/12)*Parts!$M$128)*2+(ES$180/12)*Parts!$M$129</f>
        <v>70.726250000000007</v>
      </c>
      <c r="ET186" s="31">
        <f>((ET$180/12)*Parts!$M$128)*2+(ET$180/12)*Parts!$M$129</f>
        <v>71.197758333333354</v>
      </c>
      <c r="EU186" s="31">
        <f>((EU$180/12)*Parts!$M$128)*2+(EU$180/12)*Parts!$M$129</f>
        <v>71.669266666666658</v>
      </c>
      <c r="EV186" s="31">
        <f>((EV$180/12)*Parts!$M$128)*2+(EV$180/12)*Parts!$M$129</f>
        <v>72.140775000000005</v>
      </c>
      <c r="EW186" s="31">
        <f>((EW$180/12)*Parts!$M$128)*2+(EW$180/12)*Parts!$M$129</f>
        <v>72.612283333333352</v>
      </c>
      <c r="EX186" s="31">
        <f>((EX$180/12)*Parts!$M$128)*2+(EX$180/12)*Parts!$M$129</f>
        <v>73.08379166666667</v>
      </c>
      <c r="EY186" s="31">
        <f>((EY$180/12)*Parts!$M$128)*2+(EY$180/12)*Parts!$M$129</f>
        <v>73.555300000000017</v>
      </c>
      <c r="EZ186" s="31">
        <f>((EZ$180/12)*Parts!$M$128)*2+(EZ$180/12)*Parts!$M$129</f>
        <v>74.026808333333349</v>
      </c>
      <c r="FA186" s="31">
        <f>((FA$180/12)*Parts!$M$128)*2+(FA$180/12)*Parts!$M$129</f>
        <v>74.498316666666668</v>
      </c>
      <c r="FB186" s="31">
        <f>((FB$180/12)*Parts!$M$128)*2+(FB$180/12)*Parts!$M$129</f>
        <v>74.969825000000014</v>
      </c>
      <c r="FC186" s="31">
        <f>((FC$180/12)*Parts!$M$128)*2+(FC$180/12)*Parts!$M$129</f>
        <v>75.441333333333347</v>
      </c>
      <c r="FD186" s="31">
        <f>((FD$180/12)*Parts!$M$128)*2+(FD$180/12)*Parts!$M$129</f>
        <v>75.912841666666665</v>
      </c>
      <c r="FE186" s="31">
        <f>((FE$180/12)*Parts!$M$128)*2+(FE$180/12)*Parts!$M$129</f>
        <v>76.384350000000012</v>
      </c>
      <c r="FF186" s="31">
        <f>((FF$180/12)*Parts!$M$128)*2+(FF$180/12)*Parts!$M$129</f>
        <v>76.855858333333344</v>
      </c>
      <c r="FG186" s="31">
        <f>((FG$180/12)*Parts!$M$128)*2+(FG$180/12)*Parts!$M$129</f>
        <v>77.327366666666677</v>
      </c>
      <c r="FH186" s="31">
        <f>((FH$180/12)*Parts!$M$128)*2+(FH$180/12)*Parts!$M$129</f>
        <v>77.79887500000001</v>
      </c>
      <c r="FI186" s="31">
        <f>((FI$180/12)*Parts!$M$128)*2+(FI$180/12)*Parts!$M$129</f>
        <v>78.270383333333342</v>
      </c>
      <c r="FJ186" s="31">
        <f>((FJ$180/12)*Parts!$M$128)*2+(FJ$180/12)*Parts!$M$129</f>
        <v>78.741891666666675</v>
      </c>
      <c r="FK186" s="31">
        <f>((FK$180/12)*Parts!$M$128)*2+(FK$180/12)*Parts!$M$129</f>
        <v>79.213400000000007</v>
      </c>
    </row>
    <row r="187" spans="7:167" ht="18.75">
      <c r="G187" s="140"/>
      <c r="H187" s="140"/>
      <c r="I187" s="140">
        <v>31</v>
      </c>
      <c r="J187" s="140">
        <v>24.5</v>
      </c>
      <c r="K187" s="140"/>
      <c r="L187" s="140"/>
      <c r="M187" s="140"/>
      <c r="N187" s="140">
        <v>21</v>
      </c>
      <c r="O187" s="142" t="s">
        <v>486</v>
      </c>
      <c r="P187" s="140"/>
      <c r="Q187" s="140"/>
      <c r="R187" s="140"/>
      <c r="S187" s="140"/>
      <c r="T187" s="140"/>
      <c r="V187" s="281" t="s">
        <v>477</v>
      </c>
      <c r="W187" s="31">
        <f>((W$180/12)*Parts!$M$130)*3</f>
        <v>10.8324</v>
      </c>
      <c r="X187" s="31">
        <f>((X$180/12)*Parts!$M$130)*3</f>
        <v>11.283750000000001</v>
      </c>
      <c r="Y187" s="31">
        <f>((Y$180/12)*Parts!$M$130)*3</f>
        <v>11.735100000000001</v>
      </c>
      <c r="Z187" s="31">
        <f>((Z$180/12)*Parts!$M$130)*3</f>
        <v>12.186450000000001</v>
      </c>
      <c r="AA187" s="31">
        <f>((AA$180/12)*Parts!$M$130)*3</f>
        <v>12.6378</v>
      </c>
      <c r="AB187" s="31">
        <f>((AB$180/12)*Parts!$M$130)*3</f>
        <v>13.08915</v>
      </c>
      <c r="AC187" s="31">
        <f>((AC$180/12)*Parts!$M$130)*3</f>
        <v>13.540500000000002</v>
      </c>
      <c r="AD187" s="31">
        <f>((AD$180/12)*Parts!$M$130)*3</f>
        <v>13.991850000000003</v>
      </c>
      <c r="AE187" s="31">
        <f>((AE$180/12)*Parts!$M$130)*3</f>
        <v>14.443200000000001</v>
      </c>
      <c r="AF187" s="31">
        <f>((AF$180/12)*Parts!$M$130)*3</f>
        <v>14.894550000000001</v>
      </c>
      <c r="AG187" s="31">
        <f>((AG$180/12)*Parts!$M$130)*3</f>
        <v>15.3459</v>
      </c>
      <c r="AH187" s="31">
        <f>((AH$180/12)*Parts!$M$130)*3</f>
        <v>15.797249999999998</v>
      </c>
      <c r="AI187" s="31">
        <f>((AI$180/12)*Parts!$M$130)*3</f>
        <v>16.2486</v>
      </c>
      <c r="AJ187" s="31">
        <f>((AJ$180/12)*Parts!$M$130)*3</f>
        <v>16.699950000000001</v>
      </c>
      <c r="AK187" s="31">
        <f>((AK$180/12)*Parts!$M$130)*3</f>
        <v>17.151299999999999</v>
      </c>
      <c r="AL187" s="31">
        <f>((AL$180/12)*Parts!$M$130)*3</f>
        <v>17.602650000000001</v>
      </c>
      <c r="AM187" s="31">
        <f>((AM$180/12)*Parts!$M$130)*3</f>
        <v>18.054000000000002</v>
      </c>
      <c r="AN187" s="31">
        <f>((AN$180/12)*Parts!$M$130)*3</f>
        <v>18.50535</v>
      </c>
      <c r="AO187" s="31">
        <f>((AO$180/12)*Parts!$M$130)*3</f>
        <v>18.956700000000001</v>
      </c>
      <c r="AP187" s="31">
        <f>((AP$180/12)*Parts!$M$130)*3</f>
        <v>19.408050000000003</v>
      </c>
      <c r="AQ187" s="31">
        <f>((AQ$180/12)*Parts!$M$130)*3</f>
        <v>19.859400000000001</v>
      </c>
      <c r="AR187" s="31">
        <f>((AR$180/12)*Parts!$M$130)*3</f>
        <v>20.310750000000002</v>
      </c>
      <c r="AS187" s="31">
        <f>((AS$180/12)*Parts!$M$130)*3</f>
        <v>20.762100000000004</v>
      </c>
      <c r="AT187" s="31">
        <f>((AT$180/12)*Parts!$M$130)*3</f>
        <v>21.213450000000002</v>
      </c>
      <c r="AU187" s="31">
        <f>((AU$180/12)*Parts!$M$130)*3</f>
        <v>21.6648</v>
      </c>
      <c r="AV187" s="31">
        <f>((AV$180/12)*Parts!$M$130)*3</f>
        <v>22.116149999999998</v>
      </c>
      <c r="AW187" s="31">
        <f>((AW$180/12)*Parts!$M$130)*3</f>
        <v>22.567500000000003</v>
      </c>
      <c r="AX187" s="31">
        <f>((AX$180/12)*Parts!$M$130)*3</f>
        <v>23.01885</v>
      </c>
      <c r="AY187" s="31">
        <f>((AY$180/12)*Parts!$M$130)*3</f>
        <v>23.470200000000002</v>
      </c>
      <c r="AZ187" s="31">
        <f>((AZ$180/12)*Parts!$M$130)*3</f>
        <v>23.921550000000003</v>
      </c>
      <c r="BA187" s="31">
        <f>((BA$180/12)*Parts!$M$130)*3</f>
        <v>24.372900000000001</v>
      </c>
      <c r="BB187" s="31">
        <f>((BB$180/12)*Parts!$M$130)*3</f>
        <v>24.824249999999999</v>
      </c>
      <c r="BC187" s="31">
        <f>((BC$180/12)*Parts!$M$130)*3</f>
        <v>25.275600000000001</v>
      </c>
      <c r="BD187" s="31">
        <f>((BD$180/12)*Parts!$M$130)*3</f>
        <v>25.726950000000002</v>
      </c>
      <c r="BE187" s="31">
        <f>((BE$180/12)*Parts!$M$130)*3</f>
        <v>26.1783</v>
      </c>
      <c r="BF187" s="31">
        <f>((BF$180/12)*Parts!$M$130)*3</f>
        <v>26.629650000000005</v>
      </c>
      <c r="BG187" s="31">
        <f>((BG$180/12)*Parts!$M$130)*3</f>
        <v>27.081000000000003</v>
      </c>
      <c r="BH187" s="31">
        <f>((BH$180/12)*Parts!$M$130)*3</f>
        <v>27.532350000000001</v>
      </c>
      <c r="BI187" s="31">
        <f>((BI$180/12)*Parts!$M$130)*3</f>
        <v>27.983700000000006</v>
      </c>
      <c r="BJ187" s="31">
        <f>((BJ$180/12)*Parts!$M$130)*3</f>
        <v>28.435050000000004</v>
      </c>
      <c r="BK187" s="31">
        <f>((BK$180/12)*Parts!$M$130)*3</f>
        <v>28.886400000000002</v>
      </c>
      <c r="BL187" s="31">
        <f>((BL$180/12)*Parts!$M$130)*3</f>
        <v>29.337750000000003</v>
      </c>
      <c r="BM187" s="31">
        <f>((BM$180/12)*Parts!$M$130)*3</f>
        <v>29.789100000000001</v>
      </c>
      <c r="BN187" s="31">
        <f>((BN$180/12)*Parts!$M$130)*3</f>
        <v>30.240449999999999</v>
      </c>
      <c r="BO187" s="31">
        <f>((BO$180/12)*Parts!$M$130)*3</f>
        <v>30.691800000000001</v>
      </c>
      <c r="BP187" s="31">
        <f>((BP$180/12)*Parts!$M$130)*3</f>
        <v>31.143149999999999</v>
      </c>
      <c r="BQ187" s="31">
        <f>((BQ$180/12)*Parts!$M$130)*3</f>
        <v>31.594499999999996</v>
      </c>
      <c r="BR187" s="31">
        <f>((BR$180/12)*Parts!$M$130)*3</f>
        <v>32.045850000000002</v>
      </c>
      <c r="BS187" s="31">
        <f>((BS$180/12)*Parts!$M$130)*3</f>
        <v>32.497199999999999</v>
      </c>
      <c r="BT187" s="31">
        <f>((BT$180/12)*Parts!$M$130)*3</f>
        <v>32.948550000000004</v>
      </c>
      <c r="BU187" s="31">
        <f>((BU$180/12)*Parts!$M$130)*3</f>
        <v>33.399900000000002</v>
      </c>
      <c r="BV187" s="31">
        <f>((BV$180/12)*Parts!$M$130)*3</f>
        <v>33.851250000000007</v>
      </c>
      <c r="BW187" s="31">
        <f>((BW$180/12)*Parts!$M$130)*3</f>
        <v>34.302599999999998</v>
      </c>
      <c r="BX187" s="31">
        <f>((BX$180/12)*Parts!$M$130)*3</f>
        <v>34.753950000000003</v>
      </c>
      <c r="BY187" s="31">
        <f>((BY$180/12)*Parts!$M$130)*3</f>
        <v>35.205300000000001</v>
      </c>
      <c r="BZ187" s="31">
        <f>((BZ$180/12)*Parts!$M$130)*3</f>
        <v>35.656649999999999</v>
      </c>
      <c r="CA187" s="31">
        <f>((CA$180/12)*Parts!$M$130)*3</f>
        <v>36.108000000000004</v>
      </c>
      <c r="CB187" s="31">
        <f>((CB$180/12)*Parts!$M$130)*3</f>
        <v>36.559350000000002</v>
      </c>
      <c r="CC187" s="31">
        <f>((CC$180/12)*Parts!$M$130)*3</f>
        <v>37.0107</v>
      </c>
      <c r="CD187" s="31">
        <f>((CD$180/12)*Parts!$M$130)*3</f>
        <v>37.462050000000005</v>
      </c>
      <c r="CE187" s="31">
        <f>((CE$180/12)*Parts!$M$130)*3</f>
        <v>37.913400000000003</v>
      </c>
      <c r="CF187" s="31">
        <f>((CF$180/12)*Parts!$M$130)*3</f>
        <v>38.364750000000001</v>
      </c>
      <c r="CG187" s="31">
        <f>((CG$180/12)*Parts!$M$130)*3</f>
        <v>38.816100000000006</v>
      </c>
      <c r="CH187" s="31">
        <f>((CH$180/12)*Parts!$M$130)*3</f>
        <v>39.267449999999997</v>
      </c>
      <c r="CI187" s="31">
        <f>((CI$180/12)*Parts!$M$130)*3</f>
        <v>39.718800000000002</v>
      </c>
      <c r="CJ187" s="31">
        <f>((CJ$180/12)*Parts!$M$130)*3</f>
        <v>40.170150000000007</v>
      </c>
      <c r="CK187" s="31">
        <f>((CK$180/12)*Parts!$M$130)*3</f>
        <v>40.621500000000005</v>
      </c>
      <c r="CL187" s="31">
        <f>((CL$180/12)*Parts!$M$130)*3</f>
        <v>41.072850000000003</v>
      </c>
      <c r="CM187" s="31">
        <f>((CM$180/12)*Parts!$M$130)*3</f>
        <v>41.524200000000008</v>
      </c>
      <c r="CN187" s="31">
        <f>((CN$180/12)*Parts!$M$130)*3</f>
        <v>41.975550000000005</v>
      </c>
      <c r="CO187" s="31">
        <f>((CO$180/12)*Parts!$M$130)*3</f>
        <v>42.426900000000003</v>
      </c>
      <c r="CP187" s="31">
        <f>((CP$180/12)*Parts!$M$130)*3</f>
        <v>42.878250000000008</v>
      </c>
      <c r="CQ187" s="31">
        <f>((CQ$180/12)*Parts!$M$130)*3</f>
        <v>43.329599999999999</v>
      </c>
      <c r="CR187" s="31">
        <f>((CR$180/12)*Parts!$M$130)*3</f>
        <v>43.780950000000004</v>
      </c>
      <c r="CS187" s="31">
        <f>((CS$180/12)*Parts!$M$130)*3</f>
        <v>44.232299999999995</v>
      </c>
      <c r="CT187" s="31">
        <f>((CT$180/12)*Parts!$M$130)*3</f>
        <v>44.68365</v>
      </c>
      <c r="CU187" s="31">
        <f>((CU$180/12)*Parts!$M$130)*3</f>
        <v>45.135000000000005</v>
      </c>
      <c r="CV187" s="31">
        <f>((CV$180/12)*Parts!$M$130)*3</f>
        <v>45.586349999999996</v>
      </c>
      <c r="CW187" s="31">
        <f>((CW$180/12)*Parts!$M$130)*3</f>
        <v>46.037700000000001</v>
      </c>
      <c r="CX187" s="31">
        <f>((CX$180/12)*Parts!$M$130)*3</f>
        <v>46.489050000000006</v>
      </c>
      <c r="CY187" s="31">
        <f>((CY$180/12)*Parts!$M$130)*3</f>
        <v>46.940400000000004</v>
      </c>
      <c r="CZ187" s="31">
        <f>((CZ$180/12)*Parts!$M$130)*3</f>
        <v>47.391750000000002</v>
      </c>
      <c r="DA187" s="31">
        <f>((DA$180/12)*Parts!$M$130)*3</f>
        <v>47.843100000000007</v>
      </c>
      <c r="DB187" s="31">
        <f>((DB$180/12)*Parts!$M$130)*3</f>
        <v>48.294449999999998</v>
      </c>
      <c r="DC187" s="31">
        <f>((DC$180/12)*Parts!$M$130)*3</f>
        <v>48.745800000000003</v>
      </c>
      <c r="DD187" s="31">
        <f>((DD$180/12)*Parts!$M$130)*3</f>
        <v>49.197150000000008</v>
      </c>
      <c r="DE187" s="31">
        <f>((DE$180/12)*Parts!$M$130)*3</f>
        <v>49.648499999999999</v>
      </c>
      <c r="DF187" s="31">
        <f>((DF$180/12)*Parts!$M$130)*3</f>
        <v>50.099850000000004</v>
      </c>
      <c r="DG187" s="31">
        <f>((DG$180/12)*Parts!$M$130)*3</f>
        <v>50.551200000000001</v>
      </c>
      <c r="DH187" s="31">
        <f>((DH$180/12)*Parts!$M$130)*3</f>
        <v>51.002549999999999</v>
      </c>
      <c r="DI187" s="31">
        <f>((DI$180/12)*Parts!$M$130)*3</f>
        <v>51.453900000000004</v>
      </c>
      <c r="DJ187" s="31">
        <f>((DJ$180/12)*Parts!$M$130)*3</f>
        <v>51.905250000000009</v>
      </c>
      <c r="DK187" s="31">
        <f>((DK$180/12)*Parts!$M$130)*3</f>
        <v>52.3566</v>
      </c>
      <c r="DL187" s="31">
        <f>((DL$180/12)*Parts!$M$130)*3</f>
        <v>52.807950000000005</v>
      </c>
      <c r="DM187" s="31">
        <f>((DM$180/12)*Parts!$M$130)*3</f>
        <v>53.25930000000001</v>
      </c>
      <c r="DN187" s="31">
        <f>((DN$180/12)*Parts!$M$130)*3</f>
        <v>53.710650000000001</v>
      </c>
      <c r="DO187" s="31">
        <f>((DO$180/12)*Parts!$M$130)*3</f>
        <v>54.162000000000006</v>
      </c>
      <c r="DP187" s="31">
        <f>((DP$180/12)*Parts!$M$130)*3</f>
        <v>54.613350000000004</v>
      </c>
      <c r="DQ187" s="31">
        <f>((DQ$180/12)*Parts!$M$130)*3</f>
        <v>55.064700000000002</v>
      </c>
      <c r="DR187" s="31">
        <f>((DR$180/12)*Parts!$M$130)*3</f>
        <v>55.51605</v>
      </c>
      <c r="DS187" s="31">
        <f>((DS$180/12)*Parts!$M$130)*3</f>
        <v>55.967400000000012</v>
      </c>
      <c r="DT187" s="31">
        <f>((DT$180/12)*Parts!$M$130)*3</f>
        <v>56.418749999999996</v>
      </c>
      <c r="DU187" s="31">
        <f>((DU$180/12)*Parts!$M$130)*3</f>
        <v>56.870100000000008</v>
      </c>
      <c r="DV187" s="31">
        <f>((DV$180/12)*Parts!$M$130)*3</f>
        <v>57.321449999999999</v>
      </c>
      <c r="DW187" s="31">
        <f>((DW$180/12)*Parts!$M$130)*3</f>
        <v>57.772800000000004</v>
      </c>
      <c r="DX187" s="31">
        <f>((DX$180/12)*Parts!$M$130)*3</f>
        <v>58.224150000000009</v>
      </c>
      <c r="DY187" s="31">
        <f>((DY$180/12)*Parts!$M$130)*3</f>
        <v>58.675500000000007</v>
      </c>
      <c r="DZ187" s="31">
        <f>((DZ$180/12)*Parts!$M$130)*3</f>
        <v>59.126850000000005</v>
      </c>
      <c r="EA187" s="31">
        <f>((EA$180/12)*Parts!$M$130)*3</f>
        <v>59.578200000000002</v>
      </c>
      <c r="EB187" s="31">
        <f>((EB$180/12)*Parts!$M$130)*3</f>
        <v>60.029550000000015</v>
      </c>
      <c r="EC187" s="31">
        <f>((EC$180/12)*Parts!$M$130)*3</f>
        <v>60.480899999999998</v>
      </c>
      <c r="ED187" s="31">
        <f>((ED$180/12)*Parts!$M$130)*3</f>
        <v>60.93225000000001</v>
      </c>
      <c r="EE187" s="31">
        <f>((EE$180/12)*Parts!$M$130)*3</f>
        <v>61.383600000000001</v>
      </c>
      <c r="EF187" s="31">
        <f>((EF$180/12)*Parts!$M$130)*3</f>
        <v>61.834950000000006</v>
      </c>
      <c r="EG187" s="31">
        <f>((EG$180/12)*Parts!$M$130)*3</f>
        <v>62.286299999999997</v>
      </c>
      <c r="EH187" s="31">
        <f>((EH$180/12)*Parts!$M$130)*3</f>
        <v>62.737650000000009</v>
      </c>
      <c r="EI187" s="31">
        <f>((EI$180/12)*Parts!$M$130)*3</f>
        <v>63.188999999999993</v>
      </c>
      <c r="EJ187" s="31">
        <f>((EJ$180/12)*Parts!$M$130)*3</f>
        <v>63.640350000000005</v>
      </c>
      <c r="EK187" s="31">
        <f>((EK$180/12)*Parts!$M$130)*3</f>
        <v>64.091700000000003</v>
      </c>
      <c r="EL187" s="31">
        <f>((EL$180/12)*Parts!$M$130)*3</f>
        <v>64.543049999999994</v>
      </c>
      <c r="EM187" s="31">
        <f>((EM$180/12)*Parts!$M$130)*3</f>
        <v>64.994399999999999</v>
      </c>
      <c r="EN187" s="31">
        <f>((EN$180/12)*Parts!$M$130)*3</f>
        <v>65.445750000000004</v>
      </c>
      <c r="EO187" s="31">
        <f>((EO$180/12)*Parts!$M$130)*3</f>
        <v>65.897100000000009</v>
      </c>
      <c r="EP187" s="31">
        <f>((EP$180/12)*Parts!$M$130)*3</f>
        <v>66.34845</v>
      </c>
      <c r="EQ187" s="31">
        <f>((EQ$180/12)*Parts!$M$130)*3</f>
        <v>66.799800000000005</v>
      </c>
      <c r="ER187" s="31">
        <f>((ER$180/12)*Parts!$M$130)*3</f>
        <v>67.251149999999996</v>
      </c>
      <c r="ES187" s="31">
        <f>((ES$180/12)*Parts!$M$130)*3</f>
        <v>67.702500000000015</v>
      </c>
      <c r="ET187" s="31">
        <f>((ET$180/12)*Parts!$M$130)*3</f>
        <v>68.153850000000006</v>
      </c>
      <c r="EU187" s="31">
        <f>((EU$180/12)*Parts!$M$130)*3</f>
        <v>68.605199999999996</v>
      </c>
      <c r="EV187" s="31">
        <f>((EV$180/12)*Parts!$M$130)*3</f>
        <v>69.056550000000001</v>
      </c>
      <c r="EW187" s="31">
        <f>((EW$180/12)*Parts!$M$130)*3</f>
        <v>69.507900000000006</v>
      </c>
      <c r="EX187" s="31">
        <f>((EX$180/12)*Parts!$M$130)*3</f>
        <v>69.959249999999997</v>
      </c>
      <c r="EY187" s="31">
        <f>((EY$180/12)*Parts!$M$130)*3</f>
        <v>70.410600000000002</v>
      </c>
      <c r="EZ187" s="31">
        <f>((EZ$180/12)*Parts!$M$130)*3</f>
        <v>70.861950000000007</v>
      </c>
      <c r="FA187" s="31">
        <f>((FA$180/12)*Parts!$M$130)*3</f>
        <v>71.313299999999998</v>
      </c>
      <c r="FB187" s="31">
        <f>((FB$180/12)*Parts!$M$130)*3</f>
        <v>71.764650000000003</v>
      </c>
      <c r="FC187" s="31">
        <f>((FC$180/12)*Parts!$M$130)*3</f>
        <v>72.216000000000008</v>
      </c>
      <c r="FD187" s="31">
        <f>((FD$180/12)*Parts!$M$130)*3</f>
        <v>72.667349999999999</v>
      </c>
      <c r="FE187" s="31">
        <f>((FE$180/12)*Parts!$M$130)*3</f>
        <v>73.118700000000004</v>
      </c>
      <c r="FF187" s="31">
        <f>((FF$180/12)*Parts!$M$130)*3</f>
        <v>73.570050000000009</v>
      </c>
      <c r="FG187" s="31">
        <f>((FG$180/12)*Parts!$M$130)*3</f>
        <v>74.0214</v>
      </c>
      <c r="FH187" s="31">
        <f>((FH$180/12)*Parts!$M$130)*3</f>
        <v>74.472750000000005</v>
      </c>
      <c r="FI187" s="31">
        <f>((FI$180/12)*Parts!$M$130)*3</f>
        <v>74.92410000000001</v>
      </c>
      <c r="FJ187" s="31">
        <f>((FJ$180/12)*Parts!$M$130)*3</f>
        <v>75.375450000000001</v>
      </c>
      <c r="FK187" s="31">
        <f>((FK$180/12)*Parts!$M$130)*3</f>
        <v>75.826800000000006</v>
      </c>
    </row>
    <row r="188" spans="7:167" ht="18.75">
      <c r="G188" s="140"/>
      <c r="H188" s="140"/>
      <c r="I188" s="140">
        <v>32</v>
      </c>
      <c r="J188" s="140">
        <v>25</v>
      </c>
      <c r="K188" s="140"/>
      <c r="L188" s="140"/>
      <c r="M188" s="140"/>
      <c r="N188" s="140">
        <v>22</v>
      </c>
      <c r="O188" s="142" t="s">
        <v>487</v>
      </c>
      <c r="P188" s="140"/>
      <c r="Q188" s="140"/>
      <c r="R188" s="140"/>
      <c r="S188" s="140"/>
      <c r="T188" s="140"/>
      <c r="V188" s="281" t="s">
        <v>478</v>
      </c>
      <c r="W188" s="31">
        <f>((W$180/12)*Parts!$M$130)*2+(W$180/12)*Parts!$M$129</f>
        <v>12.968200000000001</v>
      </c>
      <c r="X188" s="31">
        <f>((X$180/12)*Parts!$M$130)*2+(X$180/12)*Parts!$M$129</f>
        <v>13.50854166666667</v>
      </c>
      <c r="Y188" s="31">
        <f>((Y$180/12)*Parts!$M$130)*2+(Y$180/12)*Parts!$M$129</f>
        <v>14.048883333333334</v>
      </c>
      <c r="Z188" s="31">
        <f>((Z$180/12)*Parts!$M$130)*2+(Z$180/12)*Parts!$M$129</f>
        <v>14.589225000000001</v>
      </c>
      <c r="AA188" s="31">
        <f>((AA$180/12)*Parts!$M$130)*2+(AA$180/12)*Parts!$M$129</f>
        <v>15.129566666666669</v>
      </c>
      <c r="AB188" s="31">
        <f>((AB$180/12)*Parts!$M$130)*2+(AB$180/12)*Parts!$M$129</f>
        <v>15.669908333333336</v>
      </c>
      <c r="AC188" s="31">
        <f>((AC$180/12)*Parts!$M$130)*2+(AC$180/12)*Parts!$M$129</f>
        <v>16.210250000000002</v>
      </c>
      <c r="AD188" s="31">
        <f>((AD$180/12)*Parts!$M$130)*2+(AD$180/12)*Parts!$M$129</f>
        <v>16.750591666666669</v>
      </c>
      <c r="AE188" s="31">
        <f>((AE$180/12)*Parts!$M$130)*2+(AE$180/12)*Parts!$M$129</f>
        <v>17.290933333333335</v>
      </c>
      <c r="AF188" s="31">
        <f>((AF$180/12)*Parts!$M$130)*2+(AF$180/12)*Parts!$M$129</f>
        <v>17.831275000000002</v>
      </c>
      <c r="AG188" s="31">
        <f>((AG$180/12)*Parts!$M$130)*2+(AG$180/12)*Parts!$M$129</f>
        <v>18.371616666666668</v>
      </c>
      <c r="AH188" s="31">
        <f>((AH$180/12)*Parts!$M$130)*2+(AH$180/12)*Parts!$M$129</f>
        <v>18.911958333333331</v>
      </c>
      <c r="AI188" s="31">
        <f>((AI$180/12)*Parts!$M$130)*2+(AI$180/12)*Parts!$M$129</f>
        <v>19.452300000000001</v>
      </c>
      <c r="AJ188" s="31">
        <f>((AJ$180/12)*Parts!$M$130)*2+(AJ$180/12)*Parts!$M$129</f>
        <v>19.992641666666671</v>
      </c>
      <c r="AK188" s="31">
        <f>((AK$180/12)*Parts!$M$130)*2+(AK$180/12)*Parts!$M$129</f>
        <v>20.532983333333334</v>
      </c>
      <c r="AL188" s="31">
        <f>((AL$180/12)*Parts!$M$130)*2+(AL$180/12)*Parts!$M$129</f>
        <v>21.073325000000004</v>
      </c>
      <c r="AM188" s="31">
        <f>((AM$180/12)*Parts!$M$130)*2+(AM$180/12)*Parts!$M$129</f>
        <v>21.613666666666671</v>
      </c>
      <c r="AN188" s="31">
        <f>((AN$180/12)*Parts!$M$130)*2+(AN$180/12)*Parts!$M$129</f>
        <v>22.154008333333334</v>
      </c>
      <c r="AO188" s="31">
        <f>((AO$180/12)*Parts!$M$130)*2+(AO$180/12)*Parts!$M$129</f>
        <v>22.69435</v>
      </c>
      <c r="AP188" s="31">
        <f>((AP$180/12)*Parts!$M$130)*2+(AP$180/12)*Parts!$M$129</f>
        <v>23.23469166666667</v>
      </c>
      <c r="AQ188" s="31">
        <f>((AQ$180/12)*Parts!$M$130)*2+(AQ$180/12)*Parts!$M$129</f>
        <v>23.775033333333333</v>
      </c>
      <c r="AR188" s="31">
        <f>((AR$180/12)*Parts!$M$130)*2+(AR$180/12)*Parts!$M$129</f>
        <v>24.315375000000003</v>
      </c>
      <c r="AS188" s="31">
        <f>((AS$180/12)*Parts!$M$130)*2+(AS$180/12)*Parts!$M$129</f>
        <v>24.855716666666673</v>
      </c>
      <c r="AT188" s="31">
        <f>((AT$180/12)*Parts!$M$130)*2+(AT$180/12)*Parts!$M$129</f>
        <v>25.396058333333336</v>
      </c>
      <c r="AU188" s="31">
        <f>((AU$180/12)*Parts!$M$130)*2+(AU$180/12)*Parts!$M$129</f>
        <v>25.936400000000003</v>
      </c>
      <c r="AV188" s="31">
        <f>((AV$180/12)*Parts!$M$130)*2+(AV$180/12)*Parts!$M$129</f>
        <v>26.476741666666669</v>
      </c>
      <c r="AW188" s="31">
        <f>((AW$180/12)*Parts!$M$130)*2+(AW$180/12)*Parts!$M$129</f>
        <v>27.017083333333339</v>
      </c>
      <c r="AX188" s="31">
        <f>((AX$180/12)*Parts!$M$130)*2+(AX$180/12)*Parts!$M$129</f>
        <v>27.557425000000002</v>
      </c>
      <c r="AY188" s="31">
        <f>((AY$180/12)*Parts!$M$130)*2+(AY$180/12)*Parts!$M$129</f>
        <v>28.097766666666669</v>
      </c>
      <c r="AZ188" s="31">
        <f>((AZ$180/12)*Parts!$M$130)*2+(AZ$180/12)*Parts!$M$129</f>
        <v>28.638108333333339</v>
      </c>
      <c r="BA188" s="31">
        <f>((BA$180/12)*Parts!$M$130)*2+(BA$180/12)*Parts!$M$129</f>
        <v>29.178450000000002</v>
      </c>
      <c r="BB188" s="31">
        <f>((BB$180/12)*Parts!$M$130)*2+(BB$180/12)*Parts!$M$129</f>
        <v>29.718791666666668</v>
      </c>
      <c r="BC188" s="31">
        <f>((BC$180/12)*Parts!$M$130)*2+(BC$180/12)*Parts!$M$129</f>
        <v>30.259133333333338</v>
      </c>
      <c r="BD188" s="31">
        <f>((BD$180/12)*Parts!$M$130)*2+(BD$180/12)*Parts!$M$129</f>
        <v>30.799475000000005</v>
      </c>
      <c r="BE188" s="31">
        <f>((BE$180/12)*Parts!$M$130)*2+(BE$180/12)*Parts!$M$129</f>
        <v>31.339816666666671</v>
      </c>
      <c r="BF188" s="31">
        <f>((BF$180/12)*Parts!$M$130)*2+(BF$180/12)*Parts!$M$129</f>
        <v>31.880158333333341</v>
      </c>
      <c r="BG188" s="31">
        <f>((BG$180/12)*Parts!$M$130)*2+(BG$180/12)*Parts!$M$129</f>
        <v>32.420500000000004</v>
      </c>
      <c r="BH188" s="31">
        <f>((BH$180/12)*Parts!$M$130)*2+(BH$180/12)*Parts!$M$129</f>
        <v>32.960841666666667</v>
      </c>
      <c r="BI188" s="31">
        <f>((BI$180/12)*Parts!$M$130)*2+(BI$180/12)*Parts!$M$129</f>
        <v>33.501183333333337</v>
      </c>
      <c r="BJ188" s="31">
        <f>((BJ$180/12)*Parts!$M$130)*2+(BJ$180/12)*Parts!$M$129</f>
        <v>34.041525000000007</v>
      </c>
      <c r="BK188" s="31">
        <f>((BK$180/12)*Parts!$M$130)*2+(BK$180/12)*Parts!$M$129</f>
        <v>34.58186666666667</v>
      </c>
      <c r="BL188" s="31">
        <f>((BL$180/12)*Parts!$M$130)*2+(BL$180/12)*Parts!$M$129</f>
        <v>35.12220833333334</v>
      </c>
      <c r="BM188" s="31">
        <f>((BM$180/12)*Parts!$M$130)*2+(BM$180/12)*Parts!$M$129</f>
        <v>35.662550000000003</v>
      </c>
      <c r="BN188" s="31">
        <f>((BN$180/12)*Parts!$M$130)*2+(BN$180/12)*Parts!$M$129</f>
        <v>36.202891666666666</v>
      </c>
      <c r="BO188" s="31">
        <f>((BO$180/12)*Parts!$M$130)*2+(BO$180/12)*Parts!$M$129</f>
        <v>36.743233333333336</v>
      </c>
      <c r="BP188" s="31">
        <f>((BP$180/12)*Parts!$M$130)*2+(BP$180/12)*Parts!$M$129</f>
        <v>37.283574999999999</v>
      </c>
      <c r="BQ188" s="31">
        <f>((BQ$180/12)*Parts!$M$130)*2+(BQ$180/12)*Parts!$M$129</f>
        <v>37.823916666666662</v>
      </c>
      <c r="BR188" s="31">
        <f>((BR$180/12)*Parts!$M$130)*2+(BR$180/12)*Parts!$M$129</f>
        <v>38.364258333333339</v>
      </c>
      <c r="BS188" s="31">
        <f>((BS$180/12)*Parts!$M$130)*2+(BS$180/12)*Parts!$M$129</f>
        <v>38.904600000000002</v>
      </c>
      <c r="BT188" s="31">
        <f>((BT$180/12)*Parts!$M$130)*2+(BT$180/12)*Parts!$M$129</f>
        <v>39.444941666666665</v>
      </c>
      <c r="BU188" s="31">
        <f>((BU$180/12)*Parts!$M$130)*2+(BU$180/12)*Parts!$M$129</f>
        <v>39.985283333333342</v>
      </c>
      <c r="BV188" s="31">
        <f>((BV$180/12)*Parts!$M$130)*2+(BV$180/12)*Parts!$M$129</f>
        <v>40.525625000000005</v>
      </c>
      <c r="BW188" s="31">
        <f>((BW$180/12)*Parts!$M$130)*2+(BW$180/12)*Parts!$M$129</f>
        <v>41.065966666666668</v>
      </c>
      <c r="BX188" s="31">
        <f>((BX$180/12)*Parts!$M$130)*2+(BX$180/12)*Parts!$M$129</f>
        <v>41.606308333333345</v>
      </c>
      <c r="BY188" s="31">
        <f>((BY$180/12)*Parts!$M$130)*2+(BY$180/12)*Parts!$M$129</f>
        <v>42.146650000000008</v>
      </c>
      <c r="BZ188" s="31">
        <f>((BZ$180/12)*Parts!$M$130)*2+(BZ$180/12)*Parts!$M$129</f>
        <v>42.686991666666671</v>
      </c>
      <c r="CA188" s="31">
        <f>((CA$180/12)*Parts!$M$130)*2+(CA$180/12)*Parts!$M$129</f>
        <v>43.227333333333341</v>
      </c>
      <c r="CB188" s="31">
        <f>((CB$180/12)*Parts!$M$130)*2+(CB$180/12)*Parts!$M$129</f>
        <v>43.767675000000004</v>
      </c>
      <c r="CC188" s="31">
        <f>((CC$180/12)*Parts!$M$130)*2+(CC$180/12)*Parts!$M$129</f>
        <v>44.308016666666667</v>
      </c>
      <c r="CD188" s="31">
        <f>((CD$180/12)*Parts!$M$130)*2+(CD$180/12)*Parts!$M$129</f>
        <v>44.848358333333337</v>
      </c>
      <c r="CE188" s="31">
        <f>((CE$180/12)*Parts!$M$130)*2+(CE$180/12)*Parts!$M$129</f>
        <v>45.3887</v>
      </c>
      <c r="CF188" s="31">
        <f>((CF$180/12)*Parts!$M$130)*2+(CF$180/12)*Parts!$M$129</f>
        <v>45.929041666666663</v>
      </c>
      <c r="CG188" s="31">
        <f>((CG$180/12)*Parts!$M$130)*2+(CG$180/12)*Parts!$M$129</f>
        <v>46.46938333333334</v>
      </c>
      <c r="CH188" s="31">
        <f>((CH$180/12)*Parts!$M$130)*2+(CH$180/12)*Parts!$M$129</f>
        <v>47.009725000000003</v>
      </c>
      <c r="CI188" s="31">
        <f>((CI$180/12)*Parts!$M$130)*2+(CI$180/12)*Parts!$M$129</f>
        <v>47.550066666666666</v>
      </c>
      <c r="CJ188" s="31">
        <f>((CJ$180/12)*Parts!$M$130)*2+(CJ$180/12)*Parts!$M$129</f>
        <v>48.090408333333343</v>
      </c>
      <c r="CK188" s="31">
        <f>((CK$180/12)*Parts!$M$130)*2+(CK$180/12)*Parts!$M$129</f>
        <v>48.630750000000006</v>
      </c>
      <c r="CL188" s="31">
        <f>((CL$180/12)*Parts!$M$130)*2+(CL$180/12)*Parts!$M$129</f>
        <v>49.171091666666669</v>
      </c>
      <c r="CM188" s="31">
        <f>((CM$180/12)*Parts!$M$130)*2+(CM$180/12)*Parts!$M$129</f>
        <v>49.711433333333346</v>
      </c>
      <c r="CN188" s="31">
        <f>((CN$180/12)*Parts!$M$130)*2+(CN$180/12)*Parts!$M$129</f>
        <v>50.251775000000009</v>
      </c>
      <c r="CO188" s="31">
        <f>((CO$180/12)*Parts!$M$130)*2+(CO$180/12)*Parts!$M$129</f>
        <v>50.792116666666672</v>
      </c>
      <c r="CP188" s="31">
        <f>((CP$180/12)*Parts!$M$130)*2+(CP$180/12)*Parts!$M$129</f>
        <v>51.332458333333342</v>
      </c>
      <c r="CQ188" s="31">
        <f>((CQ$180/12)*Parts!$M$130)*2+(CQ$180/12)*Parts!$M$129</f>
        <v>51.872800000000005</v>
      </c>
      <c r="CR188" s="31">
        <f>((CR$180/12)*Parts!$M$130)*2+(CR$180/12)*Parts!$M$129</f>
        <v>52.413141666666675</v>
      </c>
      <c r="CS188" s="31">
        <f>((CS$180/12)*Parts!$M$130)*2+(CS$180/12)*Parts!$M$129</f>
        <v>52.953483333333338</v>
      </c>
      <c r="CT188" s="31">
        <f>((CT$180/12)*Parts!$M$130)*2+(CT$180/12)*Parts!$M$129</f>
        <v>53.493825000000001</v>
      </c>
      <c r="CU188" s="31">
        <f>((CU$180/12)*Parts!$M$130)*2+(CU$180/12)*Parts!$M$129</f>
        <v>54.034166666666678</v>
      </c>
      <c r="CV188" s="31">
        <f>((CV$180/12)*Parts!$M$130)*2+(CV$180/12)*Parts!$M$129</f>
        <v>54.574508333333334</v>
      </c>
      <c r="CW188" s="31">
        <f>((CW$180/12)*Parts!$M$130)*2+(CW$180/12)*Parts!$M$129</f>
        <v>55.114850000000004</v>
      </c>
      <c r="CX188" s="31">
        <f>((CX$180/12)*Parts!$M$130)*2+(CX$180/12)*Parts!$M$129</f>
        <v>55.655191666666674</v>
      </c>
      <c r="CY188" s="31">
        <f>((CY$180/12)*Parts!$M$130)*2+(CY$180/12)*Parts!$M$129</f>
        <v>56.195533333333337</v>
      </c>
      <c r="CZ188" s="31">
        <f>((CZ$180/12)*Parts!$M$130)*2+(CZ$180/12)*Parts!$M$129</f>
        <v>56.735875000000007</v>
      </c>
      <c r="DA188" s="31">
        <f>((DA$180/12)*Parts!$M$130)*2+(DA$180/12)*Parts!$M$129</f>
        <v>57.276216666666677</v>
      </c>
      <c r="DB188" s="31">
        <f>((DB$180/12)*Parts!$M$130)*2+(DB$180/12)*Parts!$M$129</f>
        <v>57.816558333333333</v>
      </c>
      <c r="DC188" s="31">
        <f>((DC$180/12)*Parts!$M$130)*2+(DC$180/12)*Parts!$M$129</f>
        <v>58.356900000000003</v>
      </c>
      <c r="DD188" s="31">
        <f>((DD$180/12)*Parts!$M$130)*2+(DD$180/12)*Parts!$M$129</f>
        <v>58.897241666666673</v>
      </c>
      <c r="DE188" s="31">
        <f>((DE$180/12)*Parts!$M$130)*2+(DE$180/12)*Parts!$M$129</f>
        <v>59.437583333333336</v>
      </c>
      <c r="DF188" s="31">
        <f>((DF$180/12)*Parts!$M$130)*2+(DF$180/12)*Parts!$M$129</f>
        <v>59.977925000000006</v>
      </c>
      <c r="DG188" s="31">
        <f>((DG$180/12)*Parts!$M$130)*2+(DG$180/12)*Parts!$M$129</f>
        <v>60.518266666666676</v>
      </c>
      <c r="DH188" s="31">
        <f>((DH$180/12)*Parts!$M$130)*2+(DH$180/12)*Parts!$M$129</f>
        <v>61.058608333333339</v>
      </c>
      <c r="DI188" s="31">
        <f>((DI$180/12)*Parts!$M$130)*2+(DI$180/12)*Parts!$M$129</f>
        <v>61.598950000000009</v>
      </c>
      <c r="DJ188" s="31">
        <f>((DJ$180/12)*Parts!$M$130)*2+(DJ$180/12)*Parts!$M$129</f>
        <v>62.139291666666679</v>
      </c>
      <c r="DK188" s="31">
        <f>((DK$180/12)*Parts!$M$130)*2+(DK$180/12)*Parts!$M$129</f>
        <v>62.679633333333342</v>
      </c>
      <c r="DL188" s="31">
        <f>((DL$180/12)*Parts!$M$130)*2+(DL$180/12)*Parts!$M$129</f>
        <v>63.219975000000005</v>
      </c>
      <c r="DM188" s="31">
        <f>((DM$180/12)*Parts!$M$130)*2+(DM$180/12)*Parts!$M$129</f>
        <v>63.760316666666682</v>
      </c>
      <c r="DN188" s="31">
        <f>((DN$180/12)*Parts!$M$130)*2+(DN$180/12)*Parts!$M$129</f>
        <v>64.300658333333331</v>
      </c>
      <c r="DO188" s="31">
        <f>((DO$180/12)*Parts!$M$130)*2+(DO$180/12)*Parts!$M$129</f>
        <v>64.841000000000008</v>
      </c>
      <c r="DP188" s="31">
        <f>((DP$180/12)*Parts!$M$130)*2+(DP$180/12)*Parts!$M$129</f>
        <v>65.381341666666671</v>
      </c>
      <c r="DQ188" s="31">
        <f>((DQ$180/12)*Parts!$M$130)*2+(DQ$180/12)*Parts!$M$129</f>
        <v>65.921683333333334</v>
      </c>
      <c r="DR188" s="31">
        <f>((DR$180/12)*Parts!$M$130)*2+(DR$180/12)*Parts!$M$129</f>
        <v>66.462025000000011</v>
      </c>
      <c r="DS188" s="31">
        <f>((DS$180/12)*Parts!$M$130)*2+(DS$180/12)*Parts!$M$129</f>
        <v>67.002366666666674</v>
      </c>
      <c r="DT188" s="31">
        <f>((DT$180/12)*Parts!$M$130)*2+(DT$180/12)*Parts!$M$129</f>
        <v>67.542708333333337</v>
      </c>
      <c r="DU188" s="31">
        <f>((DU$180/12)*Parts!$M$130)*2+(DU$180/12)*Parts!$M$129</f>
        <v>68.083050000000014</v>
      </c>
      <c r="DV188" s="31">
        <f>((DV$180/12)*Parts!$M$130)*2+(DV$180/12)*Parts!$M$129</f>
        <v>68.623391666666677</v>
      </c>
      <c r="DW188" s="31">
        <f>((DW$180/12)*Parts!$M$130)*2+(DW$180/12)*Parts!$M$129</f>
        <v>69.16373333333334</v>
      </c>
      <c r="DX188" s="31">
        <f>((DX$180/12)*Parts!$M$130)*2+(DX$180/12)*Parts!$M$129</f>
        <v>69.704075000000017</v>
      </c>
      <c r="DY188" s="31">
        <f>((DY$180/12)*Parts!$M$130)*2+(DY$180/12)*Parts!$M$129</f>
        <v>70.24441666666668</v>
      </c>
      <c r="DZ188" s="31">
        <f>((DZ$180/12)*Parts!$M$130)*2+(DZ$180/12)*Parts!$M$129</f>
        <v>70.784758333333343</v>
      </c>
      <c r="EA188" s="31">
        <f>((EA$180/12)*Parts!$M$130)*2+(EA$180/12)*Parts!$M$129</f>
        <v>71.325100000000006</v>
      </c>
      <c r="EB188" s="31">
        <f>((EB$180/12)*Parts!$M$130)*2+(EB$180/12)*Parts!$M$129</f>
        <v>71.865441666666683</v>
      </c>
      <c r="EC188" s="31">
        <f>((EC$180/12)*Parts!$M$130)*2+(EC$180/12)*Parts!$M$129</f>
        <v>72.405783333333332</v>
      </c>
      <c r="ED188" s="31">
        <f>((ED$180/12)*Parts!$M$130)*2+(ED$180/12)*Parts!$M$129</f>
        <v>72.946125000000009</v>
      </c>
      <c r="EE188" s="31">
        <f>((EE$180/12)*Parts!$M$130)*2+(EE$180/12)*Parts!$M$129</f>
        <v>73.486466666666672</v>
      </c>
      <c r="EF188" s="31">
        <f>((EF$180/12)*Parts!$M$130)*2+(EF$180/12)*Parts!$M$129</f>
        <v>74.026808333333335</v>
      </c>
      <c r="EG188" s="31">
        <f>((EG$180/12)*Parts!$M$130)*2+(EG$180/12)*Parts!$M$129</f>
        <v>74.567149999999998</v>
      </c>
      <c r="EH188" s="31">
        <f>((EH$180/12)*Parts!$M$130)*2+(EH$180/12)*Parts!$M$129</f>
        <v>75.107491666666675</v>
      </c>
      <c r="EI188" s="31">
        <f>((EI$180/12)*Parts!$M$130)*2+(EI$180/12)*Parts!$M$129</f>
        <v>75.647833333333324</v>
      </c>
      <c r="EJ188" s="31">
        <f>((EJ$180/12)*Parts!$M$130)*2+(EJ$180/12)*Parts!$M$129</f>
        <v>76.188175000000001</v>
      </c>
      <c r="EK188" s="31">
        <f>((EK$180/12)*Parts!$M$130)*2+(EK$180/12)*Parts!$M$129</f>
        <v>76.728516666666678</v>
      </c>
      <c r="EL188" s="31">
        <f>((EL$180/12)*Parts!$M$130)*2+(EL$180/12)*Parts!$M$129</f>
        <v>77.268858333333327</v>
      </c>
      <c r="EM188" s="31">
        <f>((EM$180/12)*Parts!$M$130)*2+(EM$180/12)*Parts!$M$129</f>
        <v>77.809200000000004</v>
      </c>
      <c r="EN188" s="31">
        <f>((EN$180/12)*Parts!$M$130)*2+(EN$180/12)*Parts!$M$129</f>
        <v>78.349541666666681</v>
      </c>
      <c r="EO188" s="31">
        <f>((EO$180/12)*Parts!$M$130)*2+(EO$180/12)*Parts!$M$129</f>
        <v>78.88988333333333</v>
      </c>
      <c r="EP188" s="31">
        <f>((EP$180/12)*Parts!$M$130)*2+(EP$180/12)*Parts!$M$129</f>
        <v>79.430225000000007</v>
      </c>
      <c r="EQ188" s="31">
        <f>((EQ$180/12)*Parts!$M$130)*2+(EQ$180/12)*Parts!$M$129</f>
        <v>79.970566666666684</v>
      </c>
      <c r="ER188" s="31">
        <f>((ER$180/12)*Parts!$M$130)*2+(ER$180/12)*Parts!$M$129</f>
        <v>80.510908333333333</v>
      </c>
      <c r="ES188" s="31">
        <f>((ES$180/12)*Parts!$M$130)*2+(ES$180/12)*Parts!$M$129</f>
        <v>81.05125000000001</v>
      </c>
      <c r="ET188" s="31">
        <f>((ET$180/12)*Parts!$M$130)*2+(ET$180/12)*Parts!$M$129</f>
        <v>81.591591666666687</v>
      </c>
      <c r="EU188" s="31">
        <f>((EU$180/12)*Parts!$M$130)*2+(EU$180/12)*Parts!$M$129</f>
        <v>82.131933333333336</v>
      </c>
      <c r="EV188" s="31">
        <f>((EV$180/12)*Parts!$M$130)*2+(EV$180/12)*Parts!$M$129</f>
        <v>82.672275000000013</v>
      </c>
      <c r="EW188" s="31">
        <f>((EW$180/12)*Parts!$M$130)*2+(EW$180/12)*Parts!$M$129</f>
        <v>83.21261666666669</v>
      </c>
      <c r="EX188" s="31">
        <f>((EX$180/12)*Parts!$M$130)*2+(EX$180/12)*Parts!$M$129</f>
        <v>83.752958333333339</v>
      </c>
      <c r="EY188" s="31">
        <f>((EY$180/12)*Parts!$M$130)*2+(EY$180/12)*Parts!$M$129</f>
        <v>84.293300000000016</v>
      </c>
      <c r="EZ188" s="31">
        <f>((EZ$180/12)*Parts!$M$130)*2+(EZ$180/12)*Parts!$M$129</f>
        <v>84.833641666666679</v>
      </c>
      <c r="FA188" s="31">
        <f>((FA$180/12)*Parts!$M$130)*2+(FA$180/12)*Parts!$M$129</f>
        <v>85.373983333333342</v>
      </c>
      <c r="FB188" s="31">
        <f>((FB$180/12)*Parts!$M$130)*2+(FB$180/12)*Parts!$M$129</f>
        <v>85.914325000000005</v>
      </c>
      <c r="FC188" s="31">
        <f>((FC$180/12)*Parts!$M$130)*2+(FC$180/12)*Parts!$M$129</f>
        <v>86.454666666666682</v>
      </c>
      <c r="FD188" s="31">
        <f>((FD$180/12)*Parts!$M$130)*2+(FD$180/12)*Parts!$M$129</f>
        <v>86.995008333333345</v>
      </c>
      <c r="FE188" s="31">
        <f>((FE$180/12)*Parts!$M$130)*2+(FE$180/12)*Parts!$M$129</f>
        <v>87.535350000000008</v>
      </c>
      <c r="FF188" s="31">
        <f>((FF$180/12)*Parts!$M$130)*2+(FF$180/12)*Parts!$M$129</f>
        <v>88.075691666666685</v>
      </c>
      <c r="FG188" s="31">
        <f>((FG$180/12)*Parts!$M$130)*2+(FG$180/12)*Parts!$M$129</f>
        <v>88.616033333333334</v>
      </c>
      <c r="FH188" s="31">
        <f>((FH$180/12)*Parts!$M$130)*2+(FH$180/12)*Parts!$M$129</f>
        <v>89.156375000000011</v>
      </c>
      <c r="FI188" s="31">
        <f>((FI$180/12)*Parts!$M$130)*2+(FI$180/12)*Parts!$M$129</f>
        <v>89.696716666666674</v>
      </c>
      <c r="FJ188" s="31">
        <f>((FJ$180/12)*Parts!$M$130)*2+(FJ$180/12)*Parts!$M$129</f>
        <v>90.237058333333337</v>
      </c>
      <c r="FK188" s="31">
        <f>((FK$180/12)*Parts!$M$130)*2+(FK$180/12)*Parts!$M$129</f>
        <v>90.7774</v>
      </c>
    </row>
    <row r="189" spans="7:167" ht="18.75">
      <c r="G189" s="140"/>
      <c r="H189" s="140"/>
      <c r="I189" s="140">
        <v>33</v>
      </c>
      <c r="J189" s="140">
        <v>25.5</v>
      </c>
      <c r="K189" s="140"/>
      <c r="L189" s="140"/>
      <c r="M189" s="140"/>
      <c r="N189" s="140">
        <v>23</v>
      </c>
      <c r="O189" s="281" t="s">
        <v>488</v>
      </c>
      <c r="P189" s="140"/>
      <c r="Q189" s="140"/>
      <c r="R189" s="140"/>
      <c r="S189" s="140"/>
      <c r="T189" s="140"/>
      <c r="V189" s="281" t="s">
        <v>479</v>
      </c>
      <c r="W189" s="31">
        <f>((W$180/12)*Parts!$M$129)*2+(W$180/12)*Parts!$M$130</f>
        <v>15.104000000000003</v>
      </c>
      <c r="X189" s="31">
        <f>((X$180/12)*Parts!$M$129)*2+(X$180/12)*Parts!$M$130</f>
        <v>15.733333333333336</v>
      </c>
      <c r="Y189" s="31">
        <f>((Y$180/12)*Parts!$M$129)*2+(Y$180/12)*Parts!$M$130</f>
        <v>16.362666666666669</v>
      </c>
      <c r="Z189" s="31">
        <f>((Z$180/12)*Parts!$M$129)*2+(Z$180/12)*Parts!$M$130</f>
        <v>16.992000000000001</v>
      </c>
      <c r="AA189" s="31">
        <f>((AA$180/12)*Parts!$M$129)*2+(AA$180/12)*Parts!$M$130</f>
        <v>17.621333333333336</v>
      </c>
      <c r="AB189" s="31">
        <f>((AB$180/12)*Parts!$M$129)*2+(AB$180/12)*Parts!$M$130</f>
        <v>18.250666666666667</v>
      </c>
      <c r="AC189" s="31">
        <f>((AC$180/12)*Parts!$M$129)*2+(AC$180/12)*Parts!$M$130</f>
        <v>18.880000000000003</v>
      </c>
      <c r="AD189" s="31">
        <f>((AD$180/12)*Parts!$M$129)*2+(AD$180/12)*Parts!$M$130</f>
        <v>19.509333333333338</v>
      </c>
      <c r="AE189" s="31">
        <f>((AE$180/12)*Parts!$M$129)*2+(AE$180/12)*Parts!$M$130</f>
        <v>20.138666666666669</v>
      </c>
      <c r="AF189" s="31">
        <f>((AF$180/12)*Parts!$M$129)*2+(AF$180/12)*Parts!$M$130</f>
        <v>20.768000000000001</v>
      </c>
      <c r="AG189" s="31">
        <f>((AG$180/12)*Parts!$M$129)*2+(AG$180/12)*Parts!$M$130</f>
        <v>21.397333333333339</v>
      </c>
      <c r="AH189" s="31">
        <f>((AH$180/12)*Parts!$M$129)*2+(AH$180/12)*Parts!$M$130</f>
        <v>22.026666666666667</v>
      </c>
      <c r="AI189" s="31">
        <f>((AI$180/12)*Parts!$M$129)*2+(AI$180/12)*Parts!$M$130</f>
        <v>22.656000000000002</v>
      </c>
      <c r="AJ189" s="31">
        <f>((AJ$180/12)*Parts!$M$129)*2+(AJ$180/12)*Parts!$M$130</f>
        <v>23.285333333333341</v>
      </c>
      <c r="AK189" s="31">
        <f>((AK$180/12)*Parts!$M$129)*2+(AK$180/12)*Parts!$M$130</f>
        <v>23.914666666666669</v>
      </c>
      <c r="AL189" s="31">
        <f>((AL$180/12)*Parts!$M$129)*2+(AL$180/12)*Parts!$M$130</f>
        <v>24.544000000000004</v>
      </c>
      <c r="AM189" s="31">
        <f>((AM$180/12)*Parts!$M$129)*2+(AM$180/12)*Parts!$M$130</f>
        <v>25.173333333333339</v>
      </c>
      <c r="AN189" s="31">
        <f>((AN$180/12)*Parts!$M$129)*2+(AN$180/12)*Parts!$M$130</f>
        <v>25.802666666666667</v>
      </c>
      <c r="AO189" s="31">
        <f>((AO$180/12)*Parts!$M$129)*2+(AO$180/12)*Parts!$M$130</f>
        <v>26.432000000000002</v>
      </c>
      <c r="AP189" s="31">
        <f>((AP$180/12)*Parts!$M$129)*2+(AP$180/12)*Parts!$M$130</f>
        <v>27.061333333333337</v>
      </c>
      <c r="AQ189" s="31">
        <f>((AQ$180/12)*Parts!$M$129)*2+(AQ$180/12)*Parts!$M$130</f>
        <v>27.690666666666669</v>
      </c>
      <c r="AR189" s="31">
        <f>((AR$180/12)*Parts!$M$129)*2+(AR$180/12)*Parts!$M$130</f>
        <v>28.320000000000004</v>
      </c>
      <c r="AS189" s="31">
        <f>((AS$180/12)*Parts!$M$129)*2+(AS$180/12)*Parts!$M$130</f>
        <v>28.949333333333339</v>
      </c>
      <c r="AT189" s="31">
        <f>((AT$180/12)*Parts!$M$129)*2+(AT$180/12)*Parts!$M$130</f>
        <v>29.578666666666667</v>
      </c>
      <c r="AU189" s="31">
        <f>((AU$180/12)*Parts!$M$129)*2+(AU$180/12)*Parts!$M$130</f>
        <v>30.208000000000006</v>
      </c>
      <c r="AV189" s="31">
        <f>((AV$180/12)*Parts!$M$129)*2+(AV$180/12)*Parts!$M$130</f>
        <v>30.837333333333333</v>
      </c>
      <c r="AW189" s="31">
        <f>((AW$180/12)*Parts!$M$129)*2+(AW$180/12)*Parts!$M$130</f>
        <v>31.466666666666672</v>
      </c>
      <c r="AX189" s="31">
        <f>((AX$180/12)*Parts!$M$129)*2+(AX$180/12)*Parts!$M$130</f>
        <v>32.096000000000004</v>
      </c>
      <c r="AY189" s="31">
        <f>((AY$180/12)*Parts!$M$129)*2+(AY$180/12)*Parts!$M$130</f>
        <v>32.725333333333339</v>
      </c>
      <c r="AZ189" s="31">
        <f>((AZ$180/12)*Parts!$M$129)*2+(AZ$180/12)*Parts!$M$130</f>
        <v>33.354666666666674</v>
      </c>
      <c r="BA189" s="31">
        <f>((BA$180/12)*Parts!$M$129)*2+(BA$180/12)*Parts!$M$130</f>
        <v>33.984000000000002</v>
      </c>
      <c r="BB189" s="31">
        <f>((BB$180/12)*Parts!$M$129)*2+(BB$180/12)*Parts!$M$130</f>
        <v>34.613333333333337</v>
      </c>
      <c r="BC189" s="31">
        <f>((BC$180/12)*Parts!$M$129)*2+(BC$180/12)*Parts!$M$130</f>
        <v>35.242666666666672</v>
      </c>
      <c r="BD189" s="31">
        <f>((BD$180/12)*Parts!$M$129)*2+(BD$180/12)*Parts!$M$130</f>
        <v>35.872000000000007</v>
      </c>
      <c r="BE189" s="31">
        <f>((BE$180/12)*Parts!$M$129)*2+(BE$180/12)*Parts!$M$130</f>
        <v>36.501333333333335</v>
      </c>
      <c r="BF189" s="31">
        <f>((BF$180/12)*Parts!$M$129)*2+(BF$180/12)*Parts!$M$130</f>
        <v>37.13066666666667</v>
      </c>
      <c r="BG189" s="31">
        <f>((BG$180/12)*Parts!$M$129)*2+(BG$180/12)*Parts!$M$130</f>
        <v>37.760000000000005</v>
      </c>
      <c r="BH189" s="31">
        <f>((BH$180/12)*Parts!$M$129)*2+(BH$180/12)*Parts!$M$130</f>
        <v>38.38933333333334</v>
      </c>
      <c r="BI189" s="31">
        <f>((BI$180/12)*Parts!$M$129)*2+(BI$180/12)*Parts!$M$130</f>
        <v>39.018666666666675</v>
      </c>
      <c r="BJ189" s="31">
        <f>((BJ$180/12)*Parts!$M$129)*2+(BJ$180/12)*Parts!$M$130</f>
        <v>39.648000000000003</v>
      </c>
      <c r="BK189" s="31">
        <f>((BK$180/12)*Parts!$M$129)*2+(BK$180/12)*Parts!$M$130</f>
        <v>40.277333333333338</v>
      </c>
      <c r="BL189" s="31">
        <f>((BL$180/12)*Parts!$M$129)*2+(BL$180/12)*Parts!$M$130</f>
        <v>40.906666666666673</v>
      </c>
      <c r="BM189" s="31">
        <f>((BM$180/12)*Parts!$M$129)*2+(BM$180/12)*Parts!$M$130</f>
        <v>41.536000000000001</v>
      </c>
      <c r="BN189" s="31">
        <f>((BN$180/12)*Parts!$M$129)*2+(BN$180/12)*Parts!$M$130</f>
        <v>42.165333333333336</v>
      </c>
      <c r="BO189" s="31">
        <f>((BO$180/12)*Parts!$M$129)*2+(BO$180/12)*Parts!$M$130</f>
        <v>42.794666666666679</v>
      </c>
      <c r="BP189" s="31">
        <f>((BP$180/12)*Parts!$M$129)*2+(BP$180/12)*Parts!$M$130</f>
        <v>43.424000000000007</v>
      </c>
      <c r="BQ189" s="31">
        <f>((BQ$180/12)*Parts!$M$129)*2+(BQ$180/12)*Parts!$M$130</f>
        <v>44.053333333333335</v>
      </c>
      <c r="BR189" s="31">
        <f>((BR$180/12)*Parts!$M$129)*2+(BR$180/12)*Parts!$M$130</f>
        <v>44.682666666666677</v>
      </c>
      <c r="BS189" s="31">
        <f>((BS$180/12)*Parts!$M$129)*2+(BS$180/12)*Parts!$M$130</f>
        <v>45.312000000000005</v>
      </c>
      <c r="BT189" s="31">
        <f>((BT$180/12)*Parts!$M$129)*2+(BT$180/12)*Parts!$M$130</f>
        <v>45.941333333333333</v>
      </c>
      <c r="BU189" s="31">
        <f>((BU$180/12)*Parts!$M$129)*2+(BU$180/12)*Parts!$M$130</f>
        <v>46.570666666666682</v>
      </c>
      <c r="BV189" s="31">
        <f>((BV$180/12)*Parts!$M$129)*2+(BV$180/12)*Parts!$M$130</f>
        <v>47.2</v>
      </c>
      <c r="BW189" s="31">
        <f>((BW$180/12)*Parts!$M$129)*2+(BW$180/12)*Parts!$M$130</f>
        <v>47.829333333333338</v>
      </c>
      <c r="BX189" s="31">
        <f>((BX$180/12)*Parts!$M$129)*2+(BX$180/12)*Parts!$M$130</f>
        <v>48.45866666666668</v>
      </c>
      <c r="BY189" s="31">
        <f>((BY$180/12)*Parts!$M$129)*2+(BY$180/12)*Parts!$M$130</f>
        <v>49.088000000000008</v>
      </c>
      <c r="BZ189" s="31">
        <f>((BZ$180/12)*Parts!$M$129)*2+(BZ$180/12)*Parts!$M$130</f>
        <v>49.717333333333336</v>
      </c>
      <c r="CA189" s="31">
        <f>((CA$180/12)*Parts!$M$129)*2+(CA$180/12)*Parts!$M$130</f>
        <v>50.346666666666678</v>
      </c>
      <c r="CB189" s="31">
        <f>((CB$180/12)*Parts!$M$129)*2+(CB$180/12)*Parts!$M$130</f>
        <v>50.976000000000006</v>
      </c>
      <c r="CC189" s="31">
        <f>((CC$180/12)*Parts!$M$129)*2+(CC$180/12)*Parts!$M$130</f>
        <v>51.605333333333334</v>
      </c>
      <c r="CD189" s="31">
        <f>((CD$180/12)*Parts!$M$129)*2+(CD$180/12)*Parts!$M$130</f>
        <v>52.234666666666676</v>
      </c>
      <c r="CE189" s="31">
        <f>((CE$180/12)*Parts!$M$129)*2+(CE$180/12)*Parts!$M$130</f>
        <v>52.864000000000004</v>
      </c>
      <c r="CF189" s="31">
        <f>((CF$180/12)*Parts!$M$129)*2+(CF$180/12)*Parts!$M$130</f>
        <v>53.493333333333332</v>
      </c>
      <c r="CG189" s="31">
        <f>((CG$180/12)*Parts!$M$129)*2+(CG$180/12)*Parts!$M$130</f>
        <v>54.122666666666674</v>
      </c>
      <c r="CH189" s="31">
        <f>((CH$180/12)*Parts!$M$129)*2+(CH$180/12)*Parts!$M$130</f>
        <v>54.75200000000001</v>
      </c>
      <c r="CI189" s="31">
        <f>((CI$180/12)*Parts!$M$129)*2+(CI$180/12)*Parts!$M$130</f>
        <v>55.381333333333338</v>
      </c>
      <c r="CJ189" s="31">
        <f>((CJ$180/12)*Parts!$M$129)*2+(CJ$180/12)*Parts!$M$130</f>
        <v>56.01066666666668</v>
      </c>
      <c r="CK189" s="31">
        <f>((CK$180/12)*Parts!$M$129)*2+(CK$180/12)*Parts!$M$130</f>
        <v>56.640000000000008</v>
      </c>
      <c r="CL189" s="31">
        <f>((CL$180/12)*Parts!$M$129)*2+(CL$180/12)*Parts!$M$130</f>
        <v>57.269333333333336</v>
      </c>
      <c r="CM189" s="31">
        <f>((CM$180/12)*Parts!$M$129)*2+(CM$180/12)*Parts!$M$130</f>
        <v>57.898666666666678</v>
      </c>
      <c r="CN189" s="31">
        <f>((CN$180/12)*Parts!$M$129)*2+(CN$180/12)*Parts!$M$130</f>
        <v>58.528000000000006</v>
      </c>
      <c r="CO189" s="31">
        <f>((CO$180/12)*Parts!$M$129)*2+(CO$180/12)*Parts!$M$130</f>
        <v>59.157333333333334</v>
      </c>
      <c r="CP189" s="31">
        <f>((CP$180/12)*Parts!$M$129)*2+(CP$180/12)*Parts!$M$130</f>
        <v>59.786666666666676</v>
      </c>
      <c r="CQ189" s="31">
        <f>((CQ$180/12)*Parts!$M$129)*2+(CQ$180/12)*Parts!$M$130</f>
        <v>60.416000000000011</v>
      </c>
      <c r="CR189" s="31">
        <f>((CR$180/12)*Parts!$M$129)*2+(CR$180/12)*Parts!$M$130</f>
        <v>61.045333333333346</v>
      </c>
      <c r="CS189" s="31">
        <f>((CS$180/12)*Parts!$M$129)*2+(CS$180/12)*Parts!$M$130</f>
        <v>61.674666666666667</v>
      </c>
      <c r="CT189" s="31">
        <f>((CT$180/12)*Parts!$M$129)*2+(CT$180/12)*Parts!$M$130</f>
        <v>62.304000000000009</v>
      </c>
      <c r="CU189" s="31">
        <f>((CU$180/12)*Parts!$M$129)*2+(CU$180/12)*Parts!$M$130</f>
        <v>62.933333333333344</v>
      </c>
      <c r="CV189" s="31">
        <f>((CV$180/12)*Parts!$M$129)*2+(CV$180/12)*Parts!$M$130</f>
        <v>63.562666666666672</v>
      </c>
      <c r="CW189" s="31">
        <f>((CW$180/12)*Parts!$M$129)*2+(CW$180/12)*Parts!$M$130</f>
        <v>64.192000000000007</v>
      </c>
      <c r="CX189" s="31">
        <f>((CX$180/12)*Parts!$M$129)*2+(CX$180/12)*Parts!$M$130</f>
        <v>64.821333333333342</v>
      </c>
      <c r="CY189" s="31">
        <f>((CY$180/12)*Parts!$M$129)*2+(CY$180/12)*Parts!$M$130</f>
        <v>65.450666666666677</v>
      </c>
      <c r="CZ189" s="31">
        <f>((CZ$180/12)*Parts!$M$129)*2+(CZ$180/12)*Parts!$M$130</f>
        <v>66.080000000000013</v>
      </c>
      <c r="DA189" s="31">
        <f>((DA$180/12)*Parts!$M$129)*2+(DA$180/12)*Parts!$M$130</f>
        <v>66.709333333333348</v>
      </c>
      <c r="DB189" s="31">
        <f>((DB$180/12)*Parts!$M$129)*2+(DB$180/12)*Parts!$M$130</f>
        <v>67.338666666666668</v>
      </c>
      <c r="DC189" s="31">
        <f>((DC$180/12)*Parts!$M$129)*2+(DC$180/12)*Parts!$M$130</f>
        <v>67.968000000000004</v>
      </c>
      <c r="DD189" s="31">
        <f>((DD$180/12)*Parts!$M$129)*2+(DD$180/12)*Parts!$M$130</f>
        <v>68.597333333333353</v>
      </c>
      <c r="DE189" s="31">
        <f>((DE$180/12)*Parts!$M$129)*2+(DE$180/12)*Parts!$M$130</f>
        <v>69.226666666666674</v>
      </c>
      <c r="DF189" s="31">
        <f>((DF$180/12)*Parts!$M$129)*2+(DF$180/12)*Parts!$M$130</f>
        <v>69.856000000000009</v>
      </c>
      <c r="DG189" s="31">
        <f>((DG$180/12)*Parts!$M$129)*2+(DG$180/12)*Parts!$M$130</f>
        <v>70.485333333333344</v>
      </c>
      <c r="DH189" s="31">
        <f>((DH$180/12)*Parts!$M$129)*2+(DH$180/12)*Parts!$M$130</f>
        <v>71.114666666666665</v>
      </c>
      <c r="DI189" s="31">
        <f>((DI$180/12)*Parts!$M$129)*2+(DI$180/12)*Parts!$M$130</f>
        <v>71.744000000000014</v>
      </c>
      <c r="DJ189" s="31">
        <f>((DJ$180/12)*Parts!$M$129)*2+(DJ$180/12)*Parts!$M$130</f>
        <v>72.373333333333349</v>
      </c>
      <c r="DK189" s="31">
        <f>((DK$180/12)*Parts!$M$129)*2+(DK$180/12)*Parts!$M$130</f>
        <v>73.00266666666667</v>
      </c>
      <c r="DL189" s="31">
        <f>((DL$180/12)*Parts!$M$129)*2+(DL$180/12)*Parts!$M$130</f>
        <v>73.632000000000005</v>
      </c>
      <c r="DM189" s="31">
        <f>((DM$180/12)*Parts!$M$129)*2+(DM$180/12)*Parts!$M$130</f>
        <v>74.26133333333334</v>
      </c>
      <c r="DN189" s="31">
        <f>((DN$180/12)*Parts!$M$129)*2+(DN$180/12)*Parts!$M$130</f>
        <v>74.890666666666675</v>
      </c>
      <c r="DO189" s="31">
        <f>((DO$180/12)*Parts!$M$129)*2+(DO$180/12)*Parts!$M$130</f>
        <v>75.52000000000001</v>
      </c>
      <c r="DP189" s="31">
        <f>((DP$180/12)*Parts!$M$129)*2+(DP$180/12)*Parts!$M$130</f>
        <v>76.149333333333345</v>
      </c>
      <c r="DQ189" s="31">
        <f>((DQ$180/12)*Parts!$M$129)*2+(DQ$180/12)*Parts!$M$130</f>
        <v>76.77866666666668</v>
      </c>
      <c r="DR189" s="31">
        <f>((DR$180/12)*Parts!$M$129)*2+(DR$180/12)*Parts!$M$130</f>
        <v>77.408000000000015</v>
      </c>
      <c r="DS189" s="31">
        <f>((DS$180/12)*Parts!$M$129)*2+(DS$180/12)*Parts!$M$130</f>
        <v>78.037333333333351</v>
      </c>
      <c r="DT189" s="31">
        <f>((DT$180/12)*Parts!$M$129)*2+(DT$180/12)*Parts!$M$130</f>
        <v>78.666666666666671</v>
      </c>
      <c r="DU189" s="31">
        <f>((DU$180/12)*Parts!$M$129)*2+(DU$180/12)*Parts!$M$130</f>
        <v>79.296000000000006</v>
      </c>
      <c r="DV189" s="31">
        <f>((DV$180/12)*Parts!$M$129)*2+(DV$180/12)*Parts!$M$130</f>
        <v>79.925333333333342</v>
      </c>
      <c r="DW189" s="31">
        <f>((DW$180/12)*Parts!$M$129)*2+(DW$180/12)*Parts!$M$130</f>
        <v>80.554666666666677</v>
      </c>
      <c r="DX189" s="31">
        <f>((DX$180/12)*Parts!$M$129)*2+(DX$180/12)*Parts!$M$130</f>
        <v>81.184000000000012</v>
      </c>
      <c r="DY189" s="31">
        <f>((DY$180/12)*Parts!$M$129)*2+(DY$180/12)*Parts!$M$130</f>
        <v>81.813333333333347</v>
      </c>
      <c r="DZ189" s="31">
        <f>((DZ$180/12)*Parts!$M$129)*2+(DZ$180/12)*Parts!$M$130</f>
        <v>82.442666666666668</v>
      </c>
      <c r="EA189" s="31">
        <f>((EA$180/12)*Parts!$M$129)*2+(EA$180/12)*Parts!$M$130</f>
        <v>83.072000000000003</v>
      </c>
      <c r="EB189" s="31">
        <f>((EB$180/12)*Parts!$M$129)*2+(EB$180/12)*Parts!$M$130</f>
        <v>83.701333333333352</v>
      </c>
      <c r="EC189" s="31">
        <f>((EC$180/12)*Parts!$M$129)*2+(EC$180/12)*Parts!$M$130</f>
        <v>84.330666666666673</v>
      </c>
      <c r="ED189" s="31">
        <f>((ED$180/12)*Parts!$M$129)*2+(ED$180/12)*Parts!$M$130</f>
        <v>84.960000000000008</v>
      </c>
      <c r="EE189" s="31">
        <f>((EE$180/12)*Parts!$M$129)*2+(EE$180/12)*Parts!$M$130</f>
        <v>85.589333333333357</v>
      </c>
      <c r="EF189" s="31">
        <f>((EF$180/12)*Parts!$M$129)*2+(EF$180/12)*Parts!$M$130</f>
        <v>86.218666666666664</v>
      </c>
      <c r="EG189" s="31">
        <f>((EG$180/12)*Parts!$M$129)*2+(EG$180/12)*Parts!$M$130</f>
        <v>86.848000000000013</v>
      </c>
      <c r="EH189" s="31">
        <f>((EH$180/12)*Parts!$M$129)*2+(EH$180/12)*Parts!$M$130</f>
        <v>87.477333333333348</v>
      </c>
      <c r="EI189" s="31">
        <f>((EI$180/12)*Parts!$M$129)*2+(EI$180/12)*Parts!$M$130</f>
        <v>88.106666666666669</v>
      </c>
      <c r="EJ189" s="31">
        <f>((EJ$180/12)*Parts!$M$129)*2+(EJ$180/12)*Parts!$M$130</f>
        <v>88.736000000000018</v>
      </c>
      <c r="EK189" s="31">
        <f>((EK$180/12)*Parts!$M$129)*2+(EK$180/12)*Parts!$M$130</f>
        <v>89.365333333333353</v>
      </c>
      <c r="EL189" s="31">
        <f>((EL$180/12)*Parts!$M$129)*2+(EL$180/12)*Parts!$M$130</f>
        <v>89.99466666666666</v>
      </c>
      <c r="EM189" s="31">
        <f>((EM$180/12)*Parts!$M$129)*2+(EM$180/12)*Parts!$M$130</f>
        <v>90.624000000000009</v>
      </c>
      <c r="EN189" s="31">
        <f>((EN$180/12)*Parts!$M$129)*2+(EN$180/12)*Parts!$M$130</f>
        <v>91.253333333333359</v>
      </c>
      <c r="EO189" s="31">
        <f>((EO$180/12)*Parts!$M$129)*2+(EO$180/12)*Parts!$M$130</f>
        <v>91.882666666666665</v>
      </c>
      <c r="EP189" s="31">
        <f>((EP$180/12)*Parts!$M$129)*2+(EP$180/12)*Parts!$M$130</f>
        <v>92.512000000000015</v>
      </c>
      <c r="EQ189" s="31">
        <f>((EQ$180/12)*Parts!$M$129)*2+(EQ$180/12)*Parts!$M$130</f>
        <v>93.141333333333364</v>
      </c>
      <c r="ER189" s="31">
        <f>((ER$180/12)*Parts!$M$129)*2+(ER$180/12)*Parts!$M$130</f>
        <v>93.770666666666671</v>
      </c>
      <c r="ES189" s="31">
        <f>((ES$180/12)*Parts!$M$129)*2+(ES$180/12)*Parts!$M$130</f>
        <v>94.4</v>
      </c>
      <c r="ET189" s="31">
        <f>((ET$180/12)*Parts!$M$129)*2+(ET$180/12)*Parts!$M$130</f>
        <v>95.029333333333355</v>
      </c>
      <c r="EU189" s="31">
        <f>((EU$180/12)*Parts!$M$129)*2+(EU$180/12)*Parts!$M$130</f>
        <v>95.658666666666676</v>
      </c>
      <c r="EV189" s="31">
        <f>((EV$180/12)*Parts!$M$129)*2+(EV$180/12)*Parts!$M$130</f>
        <v>96.288000000000011</v>
      </c>
      <c r="EW189" s="31">
        <f>((EW$180/12)*Parts!$M$129)*2+(EW$180/12)*Parts!$M$130</f>
        <v>96.91733333333336</v>
      </c>
      <c r="EX189" s="31">
        <f>((EX$180/12)*Parts!$M$129)*2+(EX$180/12)*Parts!$M$130</f>
        <v>97.546666666666667</v>
      </c>
      <c r="EY189" s="31">
        <f>((EY$180/12)*Parts!$M$129)*2+(EY$180/12)*Parts!$M$130</f>
        <v>98.176000000000016</v>
      </c>
      <c r="EZ189" s="31">
        <f>((EZ$180/12)*Parts!$M$129)*2+(EZ$180/12)*Parts!$M$130</f>
        <v>98.805333333333351</v>
      </c>
      <c r="FA189" s="31">
        <f>((FA$180/12)*Parts!$M$129)*2+(FA$180/12)*Parts!$M$130</f>
        <v>99.434666666666672</v>
      </c>
      <c r="FB189" s="31">
        <f>((FB$180/12)*Parts!$M$129)*2+(FB$180/12)*Parts!$M$130</f>
        <v>100.06400000000001</v>
      </c>
      <c r="FC189" s="31">
        <f>((FC$180/12)*Parts!$M$129)*2+(FC$180/12)*Parts!$M$130</f>
        <v>100.69333333333336</v>
      </c>
      <c r="FD189" s="31">
        <f>((FD$180/12)*Parts!$M$129)*2+(FD$180/12)*Parts!$M$130</f>
        <v>101.32266666666666</v>
      </c>
      <c r="FE189" s="31">
        <f>((FE$180/12)*Parts!$M$129)*2+(FE$180/12)*Parts!$M$130</f>
        <v>101.95200000000001</v>
      </c>
      <c r="FF189" s="31">
        <f>((FF$180/12)*Parts!$M$129)*2+(FF$180/12)*Parts!$M$130</f>
        <v>102.58133333333336</v>
      </c>
      <c r="FG189" s="31">
        <f>((FG$180/12)*Parts!$M$129)*2+(FG$180/12)*Parts!$M$130</f>
        <v>103.21066666666667</v>
      </c>
      <c r="FH189" s="31">
        <f>((FH$180/12)*Parts!$M$129)*2+(FH$180/12)*Parts!$M$130</f>
        <v>103.84000000000002</v>
      </c>
      <c r="FI189" s="31">
        <f>((FI$180/12)*Parts!$M$129)*2+(FI$180/12)*Parts!$M$130</f>
        <v>104.46933333333335</v>
      </c>
      <c r="FJ189" s="31">
        <f>((FJ$180/12)*Parts!$M$129)*2+(FJ$180/12)*Parts!$M$130</f>
        <v>105.09866666666667</v>
      </c>
      <c r="FK189" s="31">
        <f>((FK$180/12)*Parts!$M$129)*2+(FK$180/12)*Parts!$M$130</f>
        <v>105.72800000000001</v>
      </c>
    </row>
    <row r="190" spans="7:167" ht="18.75">
      <c r="G190" s="140"/>
      <c r="H190" s="140"/>
      <c r="I190" s="140">
        <v>34</v>
      </c>
      <c r="J190" s="140">
        <v>26</v>
      </c>
      <c r="K190" s="140"/>
      <c r="L190" s="140"/>
      <c r="M190" s="140"/>
      <c r="N190" s="140">
        <v>24</v>
      </c>
      <c r="O190" s="142" t="s">
        <v>489</v>
      </c>
      <c r="P190" s="140"/>
      <c r="Q190" s="140"/>
      <c r="R190" s="140"/>
      <c r="S190" s="140"/>
      <c r="T190" s="140"/>
      <c r="V190" s="281" t="s">
        <v>480</v>
      </c>
      <c r="W190" s="31">
        <f>((W$180/12)*Parts!$M$129)*3</f>
        <v>17.239800000000002</v>
      </c>
      <c r="X190" s="31">
        <f>((X$180/12)*Parts!$M$129)*3</f>
        <v>17.958125000000003</v>
      </c>
      <c r="Y190" s="31">
        <f>((Y$180/12)*Parts!$M$129)*3</f>
        <v>18.676450000000003</v>
      </c>
      <c r="Z190" s="31">
        <f>((Z$180/12)*Parts!$M$129)*3</f>
        <v>19.394775000000003</v>
      </c>
      <c r="AA190" s="31">
        <f>((AA$180/12)*Parts!$M$129)*3</f>
        <v>20.113100000000003</v>
      </c>
      <c r="AB190" s="31">
        <f>((AB$180/12)*Parts!$M$129)*3</f>
        <v>20.831425000000003</v>
      </c>
      <c r="AC190" s="31">
        <f>((AC$180/12)*Parts!$M$129)*3</f>
        <v>21.549750000000003</v>
      </c>
      <c r="AD190" s="31">
        <f>((AD$180/12)*Parts!$M$129)*3</f>
        <v>22.268075000000003</v>
      </c>
      <c r="AE190" s="31">
        <f>((AE$180/12)*Parts!$M$129)*3</f>
        <v>22.986400000000003</v>
      </c>
      <c r="AF190" s="31">
        <f>((AF$180/12)*Parts!$M$129)*3</f>
        <v>23.704725000000003</v>
      </c>
      <c r="AG190" s="31">
        <f>((AG$180/12)*Parts!$M$129)*3</f>
        <v>24.423050000000007</v>
      </c>
      <c r="AH190" s="31">
        <f>((AH$180/12)*Parts!$M$129)*3</f>
        <v>25.141375</v>
      </c>
      <c r="AI190" s="31">
        <f>((AI$180/12)*Parts!$M$129)*3</f>
        <v>25.859700000000004</v>
      </c>
      <c r="AJ190" s="31">
        <f>((AJ$180/12)*Parts!$M$129)*3</f>
        <v>26.578025000000007</v>
      </c>
      <c r="AK190" s="31">
        <f>((AK$180/12)*Parts!$M$129)*3</f>
        <v>27.29635</v>
      </c>
      <c r="AL190" s="31">
        <f>((AL$180/12)*Parts!$M$129)*3</f>
        <v>28.014675000000004</v>
      </c>
      <c r="AM190" s="31">
        <f>((AM$180/12)*Parts!$M$129)*3</f>
        <v>28.733000000000008</v>
      </c>
      <c r="AN190" s="31">
        <f>((AN$180/12)*Parts!$M$129)*3</f>
        <v>29.451325000000001</v>
      </c>
      <c r="AO190" s="31">
        <f>((AO$180/12)*Parts!$M$129)*3</f>
        <v>30.169650000000004</v>
      </c>
      <c r="AP190" s="31">
        <f>((AP$180/12)*Parts!$M$129)*3</f>
        <v>30.887975000000008</v>
      </c>
      <c r="AQ190" s="31">
        <f>((AQ$180/12)*Parts!$M$129)*3</f>
        <v>31.606300000000001</v>
      </c>
      <c r="AR190" s="31">
        <f>((AR$180/12)*Parts!$M$129)*3</f>
        <v>32.324625000000005</v>
      </c>
      <c r="AS190" s="31">
        <f>((AS$180/12)*Parts!$M$129)*3</f>
        <v>33.042950000000005</v>
      </c>
      <c r="AT190" s="31">
        <f>((AT$180/12)*Parts!$M$129)*3</f>
        <v>33.761274999999998</v>
      </c>
      <c r="AU190" s="31">
        <f>((AU$180/12)*Parts!$M$129)*3</f>
        <v>34.479600000000005</v>
      </c>
      <c r="AV190" s="31">
        <f>((AV$180/12)*Parts!$M$129)*3</f>
        <v>35.197925000000005</v>
      </c>
      <c r="AW190" s="31">
        <f>((AW$180/12)*Parts!$M$129)*3</f>
        <v>35.916250000000005</v>
      </c>
      <c r="AX190" s="31">
        <f>((AX$180/12)*Parts!$M$129)*3</f>
        <v>36.634575000000005</v>
      </c>
      <c r="AY190" s="31">
        <f>((AY$180/12)*Parts!$M$129)*3</f>
        <v>37.352900000000005</v>
      </c>
      <c r="AZ190" s="31">
        <f>((AZ$180/12)*Parts!$M$129)*3</f>
        <v>38.071225000000005</v>
      </c>
      <c r="BA190" s="31">
        <f>((BA$180/12)*Parts!$M$129)*3</f>
        <v>38.789550000000006</v>
      </c>
      <c r="BB190" s="31">
        <f>((BB$180/12)*Parts!$M$129)*3</f>
        <v>39.507875000000006</v>
      </c>
      <c r="BC190" s="31">
        <f>((BC$180/12)*Parts!$M$129)*3</f>
        <v>40.226200000000006</v>
      </c>
      <c r="BD190" s="31">
        <f>((BD$180/12)*Parts!$M$129)*3</f>
        <v>40.944525000000006</v>
      </c>
      <c r="BE190" s="31">
        <f>((BE$180/12)*Parts!$M$129)*3</f>
        <v>41.662850000000006</v>
      </c>
      <c r="BF190" s="31">
        <f>((BF$180/12)*Parts!$M$129)*3</f>
        <v>42.381175000000006</v>
      </c>
      <c r="BG190" s="31">
        <f>((BG$180/12)*Parts!$M$129)*3</f>
        <v>43.099500000000006</v>
      </c>
      <c r="BH190" s="31">
        <f>((BH$180/12)*Parts!$M$129)*3</f>
        <v>43.817825000000006</v>
      </c>
      <c r="BI190" s="31">
        <f>((BI$180/12)*Parts!$M$129)*3</f>
        <v>44.536150000000006</v>
      </c>
      <c r="BJ190" s="31">
        <f>((BJ$180/12)*Parts!$M$129)*3</f>
        <v>45.254475000000006</v>
      </c>
      <c r="BK190" s="31">
        <f>((BK$180/12)*Parts!$M$129)*3</f>
        <v>45.972800000000007</v>
      </c>
      <c r="BL190" s="31">
        <f>((BL$180/12)*Parts!$M$129)*3</f>
        <v>46.691125000000007</v>
      </c>
      <c r="BM190" s="31">
        <f>((BM$180/12)*Parts!$M$129)*3</f>
        <v>47.409450000000007</v>
      </c>
      <c r="BN190" s="31">
        <f>((BN$180/12)*Parts!$M$129)*3</f>
        <v>48.127775</v>
      </c>
      <c r="BO190" s="31">
        <f>((BO$180/12)*Parts!$M$129)*3</f>
        <v>48.846100000000014</v>
      </c>
      <c r="BP190" s="31">
        <f>((BP$180/12)*Parts!$M$129)*3</f>
        <v>49.564425000000007</v>
      </c>
      <c r="BQ190" s="31">
        <f>((BQ$180/12)*Parts!$M$129)*3</f>
        <v>50.28275</v>
      </c>
      <c r="BR190" s="31">
        <f>((BR$180/12)*Parts!$M$129)*3</f>
        <v>51.001075000000014</v>
      </c>
      <c r="BS190" s="31">
        <f>((BS$180/12)*Parts!$M$129)*3</f>
        <v>51.719400000000007</v>
      </c>
      <c r="BT190" s="31">
        <f>((BT$180/12)*Parts!$M$129)*3</f>
        <v>52.437725</v>
      </c>
      <c r="BU190" s="31">
        <f>((BU$180/12)*Parts!$M$129)*3</f>
        <v>53.156050000000015</v>
      </c>
      <c r="BV190" s="31">
        <f>((BV$180/12)*Parts!$M$129)*3</f>
        <v>53.874375000000008</v>
      </c>
      <c r="BW190" s="31">
        <f>((BW$180/12)*Parts!$M$129)*3</f>
        <v>54.592700000000001</v>
      </c>
      <c r="BX190" s="31">
        <f>((BX$180/12)*Parts!$M$129)*3</f>
        <v>55.311025000000015</v>
      </c>
      <c r="BY190" s="31">
        <f>((BY$180/12)*Parts!$M$129)*3</f>
        <v>56.029350000000008</v>
      </c>
      <c r="BZ190" s="31">
        <f>((BZ$180/12)*Parts!$M$129)*3</f>
        <v>56.747675000000001</v>
      </c>
      <c r="CA190" s="31">
        <f>((CA$180/12)*Parts!$M$129)*3</f>
        <v>57.466000000000015</v>
      </c>
      <c r="CB190" s="31">
        <f>((CB$180/12)*Parts!$M$129)*3</f>
        <v>58.184325000000008</v>
      </c>
      <c r="CC190" s="31">
        <f>((CC$180/12)*Parts!$M$129)*3</f>
        <v>58.902650000000001</v>
      </c>
      <c r="CD190" s="31">
        <f>((CD$180/12)*Parts!$M$129)*3</f>
        <v>59.620975000000016</v>
      </c>
      <c r="CE190" s="31">
        <f>((CE$180/12)*Parts!$M$129)*3</f>
        <v>60.339300000000009</v>
      </c>
      <c r="CF190" s="31">
        <f>((CF$180/12)*Parts!$M$129)*3</f>
        <v>61.057625000000002</v>
      </c>
      <c r="CG190" s="31">
        <f>((CG$180/12)*Parts!$M$129)*3</f>
        <v>61.775950000000016</v>
      </c>
      <c r="CH190" s="31">
        <f>((CH$180/12)*Parts!$M$129)*3</f>
        <v>62.494275000000009</v>
      </c>
      <c r="CI190" s="31">
        <f>((CI$180/12)*Parts!$M$129)*3</f>
        <v>63.212600000000002</v>
      </c>
      <c r="CJ190" s="31">
        <f>((CJ$180/12)*Parts!$M$129)*3</f>
        <v>63.930925000000016</v>
      </c>
      <c r="CK190" s="31">
        <f>((CK$180/12)*Parts!$M$129)*3</f>
        <v>64.649250000000009</v>
      </c>
      <c r="CL190" s="31">
        <f>((CL$180/12)*Parts!$M$129)*3</f>
        <v>65.367575000000002</v>
      </c>
      <c r="CM190" s="31">
        <f>((CM$180/12)*Parts!$M$129)*3</f>
        <v>66.085900000000009</v>
      </c>
      <c r="CN190" s="31">
        <f>((CN$180/12)*Parts!$M$129)*3</f>
        <v>66.804225000000002</v>
      </c>
      <c r="CO190" s="31">
        <f>((CO$180/12)*Parts!$M$129)*3</f>
        <v>67.522549999999995</v>
      </c>
      <c r="CP190" s="31">
        <f>((CP$180/12)*Parts!$M$129)*3</f>
        <v>68.240875000000017</v>
      </c>
      <c r="CQ190" s="31">
        <f>((CQ$180/12)*Parts!$M$129)*3</f>
        <v>68.95920000000001</v>
      </c>
      <c r="CR190" s="31">
        <f>((CR$180/12)*Parts!$M$129)*3</f>
        <v>69.677525000000017</v>
      </c>
      <c r="CS190" s="31">
        <f>((CS$180/12)*Parts!$M$129)*3</f>
        <v>70.39585000000001</v>
      </c>
      <c r="CT190" s="31">
        <f>((CT$180/12)*Parts!$M$129)*3</f>
        <v>71.114175000000017</v>
      </c>
      <c r="CU190" s="31">
        <f>((CU$180/12)*Parts!$M$129)*3</f>
        <v>71.83250000000001</v>
      </c>
      <c r="CV190" s="31">
        <f>((CV$180/12)*Parts!$M$129)*3</f>
        <v>72.550825000000003</v>
      </c>
      <c r="CW190" s="31">
        <f>((CW$180/12)*Parts!$M$129)*3</f>
        <v>73.26915000000001</v>
      </c>
      <c r="CX190" s="31">
        <f>((CX$180/12)*Parts!$M$129)*3</f>
        <v>73.987475000000018</v>
      </c>
      <c r="CY190" s="31">
        <f>((CY$180/12)*Parts!$M$129)*3</f>
        <v>74.705800000000011</v>
      </c>
      <c r="CZ190" s="31">
        <f>((CZ$180/12)*Parts!$M$129)*3</f>
        <v>75.424125000000004</v>
      </c>
      <c r="DA190" s="31">
        <f>((DA$180/12)*Parts!$M$129)*3</f>
        <v>76.142450000000011</v>
      </c>
      <c r="DB190" s="31">
        <f>((DB$180/12)*Parts!$M$129)*3</f>
        <v>76.860775000000004</v>
      </c>
      <c r="DC190" s="31">
        <f>((DC$180/12)*Parts!$M$129)*3</f>
        <v>77.579100000000011</v>
      </c>
      <c r="DD190" s="31">
        <f>((DD$180/12)*Parts!$M$129)*3</f>
        <v>78.297425000000018</v>
      </c>
      <c r="DE190" s="31">
        <f>((DE$180/12)*Parts!$M$129)*3</f>
        <v>79.015750000000011</v>
      </c>
      <c r="DF190" s="31">
        <f>((DF$180/12)*Parts!$M$129)*3</f>
        <v>79.734075000000018</v>
      </c>
      <c r="DG190" s="31">
        <f>((DG$180/12)*Parts!$M$129)*3</f>
        <v>80.452400000000011</v>
      </c>
      <c r="DH190" s="31">
        <f>((DH$180/12)*Parts!$M$129)*3</f>
        <v>81.170725000000004</v>
      </c>
      <c r="DI190" s="31">
        <f>((DI$180/12)*Parts!$M$129)*3</f>
        <v>81.889050000000012</v>
      </c>
      <c r="DJ190" s="31">
        <f>((DJ$180/12)*Parts!$M$129)*3</f>
        <v>82.607375000000019</v>
      </c>
      <c r="DK190" s="31">
        <f>((DK$180/12)*Parts!$M$129)*3</f>
        <v>83.325700000000012</v>
      </c>
      <c r="DL190" s="31">
        <f>((DL$180/12)*Parts!$M$129)*3</f>
        <v>84.044025000000005</v>
      </c>
      <c r="DM190" s="31">
        <f>((DM$180/12)*Parts!$M$129)*3</f>
        <v>84.762350000000012</v>
      </c>
      <c r="DN190" s="31">
        <f>((DN$180/12)*Parts!$M$129)*3</f>
        <v>85.480675000000005</v>
      </c>
      <c r="DO190" s="31">
        <f>((DO$180/12)*Parts!$M$129)*3</f>
        <v>86.199000000000012</v>
      </c>
      <c r="DP190" s="31">
        <f>((DP$180/12)*Parts!$M$129)*3</f>
        <v>86.917325000000019</v>
      </c>
      <c r="DQ190" s="31">
        <f>((DQ$180/12)*Parts!$M$129)*3</f>
        <v>87.635650000000012</v>
      </c>
      <c r="DR190" s="31">
        <f>((DR$180/12)*Parts!$M$129)*3</f>
        <v>88.35397500000002</v>
      </c>
      <c r="DS190" s="31">
        <f>((DS$180/12)*Parts!$M$129)*3</f>
        <v>89.072300000000013</v>
      </c>
      <c r="DT190" s="31">
        <f>((DT$180/12)*Parts!$M$129)*3</f>
        <v>89.790625000000006</v>
      </c>
      <c r="DU190" s="31">
        <f>((DU$180/12)*Parts!$M$129)*3</f>
        <v>90.508950000000013</v>
      </c>
      <c r="DV190" s="31">
        <f>((DV$180/12)*Parts!$M$129)*3</f>
        <v>91.22727500000002</v>
      </c>
      <c r="DW190" s="31">
        <f>((DW$180/12)*Parts!$M$129)*3</f>
        <v>91.945600000000013</v>
      </c>
      <c r="DX190" s="31">
        <f>((DX$180/12)*Parts!$M$129)*3</f>
        <v>92.663925000000006</v>
      </c>
      <c r="DY190" s="31">
        <f>((DY$180/12)*Parts!$M$129)*3</f>
        <v>93.382250000000013</v>
      </c>
      <c r="DZ190" s="31">
        <f>((DZ$180/12)*Parts!$M$129)*3</f>
        <v>94.100575000000006</v>
      </c>
      <c r="EA190" s="31">
        <f>((EA$180/12)*Parts!$M$129)*3</f>
        <v>94.818900000000014</v>
      </c>
      <c r="EB190" s="31">
        <f>((EB$180/12)*Parts!$M$129)*3</f>
        <v>95.537225000000021</v>
      </c>
      <c r="EC190" s="31">
        <f>((EC$180/12)*Parts!$M$129)*3</f>
        <v>96.255549999999999</v>
      </c>
      <c r="ED190" s="31">
        <f>((ED$180/12)*Parts!$M$129)*3</f>
        <v>96.973875000000021</v>
      </c>
      <c r="EE190" s="31">
        <f>((EE$180/12)*Parts!$M$129)*3</f>
        <v>97.692200000000028</v>
      </c>
      <c r="EF190" s="31">
        <f>((EF$180/12)*Parts!$M$129)*3</f>
        <v>98.410525000000007</v>
      </c>
      <c r="EG190" s="31">
        <f>((EG$180/12)*Parts!$M$129)*3</f>
        <v>99.128850000000014</v>
      </c>
      <c r="EH190" s="31">
        <f>((EH$180/12)*Parts!$M$129)*3</f>
        <v>99.847175000000021</v>
      </c>
      <c r="EI190" s="31">
        <f>((EI$180/12)*Parts!$M$129)*3</f>
        <v>100.5655</v>
      </c>
      <c r="EJ190" s="31">
        <f>((EJ$180/12)*Parts!$M$129)*3</f>
        <v>101.28382500000001</v>
      </c>
      <c r="EK190" s="31">
        <f>((EK$180/12)*Parts!$M$129)*3</f>
        <v>102.00215000000003</v>
      </c>
      <c r="EL190" s="31">
        <f>((EL$180/12)*Parts!$M$129)*3</f>
        <v>102.72047499999999</v>
      </c>
      <c r="EM190" s="31">
        <f>((EM$180/12)*Parts!$M$129)*3</f>
        <v>103.43880000000001</v>
      </c>
      <c r="EN190" s="31">
        <f>((EN$180/12)*Parts!$M$129)*3</f>
        <v>104.15712500000004</v>
      </c>
      <c r="EO190" s="31">
        <f>((EO$180/12)*Parts!$M$129)*3</f>
        <v>104.87545</v>
      </c>
      <c r="EP190" s="31">
        <f>((EP$180/12)*Parts!$M$129)*3</f>
        <v>105.59377500000002</v>
      </c>
      <c r="EQ190" s="31">
        <f>((EQ$180/12)*Parts!$M$129)*3</f>
        <v>106.31210000000003</v>
      </c>
      <c r="ER190" s="31">
        <f>((ER$180/12)*Parts!$M$129)*3</f>
        <v>107.03042500000001</v>
      </c>
      <c r="ES190" s="31">
        <f>((ES$180/12)*Parts!$M$129)*3</f>
        <v>107.74875000000002</v>
      </c>
      <c r="ET190" s="31">
        <f>((ET$180/12)*Parts!$M$129)*3</f>
        <v>108.46707500000002</v>
      </c>
      <c r="EU190" s="31">
        <f>((EU$180/12)*Parts!$M$129)*3</f>
        <v>109.1854</v>
      </c>
      <c r="EV190" s="31">
        <f>((EV$180/12)*Parts!$M$129)*3</f>
        <v>109.90372500000001</v>
      </c>
      <c r="EW190" s="31">
        <f>((EW$180/12)*Parts!$M$129)*3</f>
        <v>110.62205000000003</v>
      </c>
      <c r="EX190" s="31">
        <f>((EX$180/12)*Parts!$M$129)*3</f>
        <v>111.34037499999999</v>
      </c>
      <c r="EY190" s="31">
        <f>((EY$180/12)*Parts!$M$129)*3</f>
        <v>112.05870000000002</v>
      </c>
      <c r="EZ190" s="31">
        <f>((EZ$180/12)*Parts!$M$129)*3</f>
        <v>112.77702500000004</v>
      </c>
      <c r="FA190" s="31">
        <f>((FA$180/12)*Parts!$M$129)*3</f>
        <v>113.49535</v>
      </c>
      <c r="FB190" s="31">
        <f>((FB$180/12)*Parts!$M$129)*3</f>
        <v>114.21367500000002</v>
      </c>
      <c r="FC190" s="31">
        <f>((FC$180/12)*Parts!$M$129)*3</f>
        <v>114.93200000000003</v>
      </c>
      <c r="FD190" s="31">
        <f>((FD$180/12)*Parts!$M$129)*3</f>
        <v>115.65032500000001</v>
      </c>
      <c r="FE190" s="31">
        <f>((FE$180/12)*Parts!$M$129)*3</f>
        <v>116.36865000000002</v>
      </c>
      <c r="FF190" s="31">
        <f>((FF$180/12)*Parts!$M$129)*3</f>
        <v>117.08697500000002</v>
      </c>
      <c r="FG190" s="31">
        <f>((FG$180/12)*Parts!$M$129)*3</f>
        <v>117.8053</v>
      </c>
      <c r="FH190" s="31">
        <f>((FH$180/12)*Parts!$M$129)*3</f>
        <v>118.52362500000001</v>
      </c>
      <c r="FI190" s="31">
        <f>((FI$180/12)*Parts!$M$129)*3</f>
        <v>119.24195000000003</v>
      </c>
      <c r="FJ190" s="31">
        <f>((FJ$180/12)*Parts!$M$129)*3</f>
        <v>119.960275</v>
      </c>
      <c r="FK190" s="31">
        <f>((FK$180/12)*Parts!$M$129)*3</f>
        <v>120.67860000000002</v>
      </c>
    </row>
    <row r="191" spans="7:167" ht="18.75">
      <c r="G191" s="140"/>
      <c r="H191" s="140"/>
      <c r="I191" s="140">
        <v>35</v>
      </c>
      <c r="J191" s="140">
        <v>26.5</v>
      </c>
      <c r="K191" s="140"/>
      <c r="L191" s="140"/>
      <c r="M191" s="140"/>
      <c r="N191" s="140">
        <v>25</v>
      </c>
      <c r="O191" s="142" t="s">
        <v>490</v>
      </c>
      <c r="P191" s="140"/>
      <c r="Q191" s="140"/>
      <c r="R191" s="140"/>
      <c r="S191" s="140"/>
      <c r="T191" s="140"/>
      <c r="V191" s="281" t="s">
        <v>481</v>
      </c>
      <c r="W191" s="31">
        <f>((W$180/12)*Parts!$M$130)*4</f>
        <v>14.443200000000001</v>
      </c>
      <c r="X191" s="31">
        <f>((X$180/12)*Parts!$M$130)*4</f>
        <v>15.045000000000002</v>
      </c>
      <c r="Y191" s="31">
        <f>((Y$180/12)*Parts!$M$130)*4</f>
        <v>15.646800000000001</v>
      </c>
      <c r="Z191" s="31">
        <f>((Z$180/12)*Parts!$M$130)*4</f>
        <v>16.2486</v>
      </c>
      <c r="AA191" s="31">
        <f>((AA$180/12)*Parts!$M$130)*4</f>
        <v>16.8504</v>
      </c>
      <c r="AB191" s="31">
        <f>((AB$180/12)*Parts!$M$130)*4</f>
        <v>17.452200000000001</v>
      </c>
      <c r="AC191" s="31">
        <f>((AC$180/12)*Parts!$M$130)*4</f>
        <v>18.054000000000002</v>
      </c>
      <c r="AD191" s="31">
        <f>((AD$180/12)*Parts!$M$130)*4</f>
        <v>18.655800000000003</v>
      </c>
      <c r="AE191" s="31">
        <f>((AE$180/12)*Parts!$M$130)*4</f>
        <v>19.2576</v>
      </c>
      <c r="AF191" s="31">
        <f>((AF$180/12)*Parts!$M$130)*4</f>
        <v>19.859400000000001</v>
      </c>
      <c r="AG191" s="31">
        <f>((AG$180/12)*Parts!$M$130)*4</f>
        <v>20.461200000000002</v>
      </c>
      <c r="AH191" s="31">
        <f>((AH$180/12)*Parts!$M$130)*4</f>
        <v>21.062999999999999</v>
      </c>
      <c r="AI191" s="31">
        <f>((AI$180/12)*Parts!$M$130)*4</f>
        <v>21.6648</v>
      </c>
      <c r="AJ191" s="31">
        <f>((AJ$180/12)*Parts!$M$130)*4</f>
        <v>22.266600000000004</v>
      </c>
      <c r="AK191" s="31">
        <f>((AK$180/12)*Parts!$M$130)*4</f>
        <v>22.868400000000001</v>
      </c>
      <c r="AL191" s="31">
        <f>((AL$180/12)*Parts!$M$130)*4</f>
        <v>23.470200000000002</v>
      </c>
      <c r="AM191" s="31">
        <f>((AM$180/12)*Parts!$M$130)*4</f>
        <v>24.072000000000003</v>
      </c>
      <c r="AN191" s="31">
        <f>((AN$180/12)*Parts!$M$130)*4</f>
        <v>24.6738</v>
      </c>
      <c r="AO191" s="31">
        <f>((AO$180/12)*Parts!$M$130)*4</f>
        <v>25.275600000000001</v>
      </c>
      <c r="AP191" s="31">
        <f>((AP$180/12)*Parts!$M$130)*4</f>
        <v>25.877400000000002</v>
      </c>
      <c r="AQ191" s="31">
        <f>((AQ$180/12)*Parts!$M$130)*4</f>
        <v>26.479200000000002</v>
      </c>
      <c r="AR191" s="31">
        <f>((AR$180/12)*Parts!$M$130)*4</f>
        <v>27.081000000000003</v>
      </c>
      <c r="AS191" s="31">
        <f>((AS$180/12)*Parts!$M$130)*4</f>
        <v>27.682800000000004</v>
      </c>
      <c r="AT191" s="31">
        <f>((AT$180/12)*Parts!$M$130)*4</f>
        <v>28.284600000000001</v>
      </c>
      <c r="AU191" s="31">
        <f>((AU$180/12)*Parts!$M$130)*4</f>
        <v>28.886400000000002</v>
      </c>
      <c r="AV191" s="31">
        <f>((AV$180/12)*Parts!$M$130)*4</f>
        <v>29.488199999999999</v>
      </c>
      <c r="AW191" s="31">
        <f>((AW$180/12)*Parts!$M$130)*4</f>
        <v>30.090000000000003</v>
      </c>
      <c r="AX191" s="31">
        <f>((AX$180/12)*Parts!$M$130)*4</f>
        <v>30.691800000000001</v>
      </c>
      <c r="AY191" s="31">
        <f>((AY$180/12)*Parts!$M$130)*4</f>
        <v>31.293600000000001</v>
      </c>
      <c r="AZ191" s="31">
        <f>((AZ$180/12)*Parts!$M$130)*4</f>
        <v>31.895400000000006</v>
      </c>
      <c r="BA191" s="31">
        <f>((BA$180/12)*Parts!$M$130)*4</f>
        <v>32.497199999999999</v>
      </c>
      <c r="BB191" s="31">
        <f>((BB$180/12)*Parts!$M$130)*4</f>
        <v>33.098999999999997</v>
      </c>
      <c r="BC191" s="31">
        <f>((BC$180/12)*Parts!$M$130)*4</f>
        <v>33.700800000000001</v>
      </c>
      <c r="BD191" s="31">
        <f>((BD$180/12)*Parts!$M$130)*4</f>
        <v>34.302600000000005</v>
      </c>
      <c r="BE191" s="31">
        <f>((BE$180/12)*Parts!$M$130)*4</f>
        <v>34.904400000000003</v>
      </c>
      <c r="BF191" s="31">
        <f>((BF$180/12)*Parts!$M$130)*4</f>
        <v>35.506200000000007</v>
      </c>
      <c r="BG191" s="31">
        <f>((BG$180/12)*Parts!$M$130)*4</f>
        <v>36.108000000000004</v>
      </c>
      <c r="BH191" s="31">
        <f>((BH$180/12)*Parts!$M$130)*4</f>
        <v>36.709800000000001</v>
      </c>
      <c r="BI191" s="31">
        <f>((BI$180/12)*Parts!$M$130)*4</f>
        <v>37.311600000000006</v>
      </c>
      <c r="BJ191" s="31">
        <f>((BJ$180/12)*Parts!$M$130)*4</f>
        <v>37.913400000000003</v>
      </c>
      <c r="BK191" s="31">
        <f>((BK$180/12)*Parts!$M$130)*4</f>
        <v>38.5152</v>
      </c>
      <c r="BL191" s="31">
        <f>((BL$180/12)*Parts!$M$130)*4</f>
        <v>39.117000000000004</v>
      </c>
      <c r="BM191" s="31">
        <f>((BM$180/12)*Parts!$M$130)*4</f>
        <v>39.718800000000002</v>
      </c>
      <c r="BN191" s="31">
        <f>((BN$180/12)*Parts!$M$130)*4</f>
        <v>40.320599999999999</v>
      </c>
      <c r="BO191" s="31">
        <f>((BO$180/12)*Parts!$M$130)*4</f>
        <v>40.922400000000003</v>
      </c>
      <c r="BP191" s="31">
        <f>((BP$180/12)*Parts!$M$130)*4</f>
        <v>41.5242</v>
      </c>
      <c r="BQ191" s="31">
        <f>((BQ$180/12)*Parts!$M$130)*4</f>
        <v>42.125999999999998</v>
      </c>
      <c r="BR191" s="31">
        <f>((BR$180/12)*Parts!$M$130)*4</f>
        <v>42.727800000000002</v>
      </c>
      <c r="BS191" s="31">
        <f>((BS$180/12)*Parts!$M$130)*4</f>
        <v>43.329599999999999</v>
      </c>
      <c r="BT191" s="31">
        <f>((BT$180/12)*Parts!$M$130)*4</f>
        <v>43.931400000000004</v>
      </c>
      <c r="BU191" s="31">
        <f>((BU$180/12)*Parts!$M$130)*4</f>
        <v>44.533200000000008</v>
      </c>
      <c r="BV191" s="31">
        <f>((BV$180/12)*Parts!$M$130)*4</f>
        <v>45.135000000000005</v>
      </c>
      <c r="BW191" s="31">
        <f>((BW$180/12)*Parts!$M$130)*4</f>
        <v>45.736800000000002</v>
      </c>
      <c r="BX191" s="31">
        <f>((BX$180/12)*Parts!$M$130)*4</f>
        <v>46.338600000000007</v>
      </c>
      <c r="BY191" s="31">
        <f>((BY$180/12)*Parts!$M$130)*4</f>
        <v>46.940400000000004</v>
      </c>
      <c r="BZ191" s="31">
        <f>((BZ$180/12)*Parts!$M$130)*4</f>
        <v>47.542200000000001</v>
      </c>
      <c r="CA191" s="31">
        <f>((CA$180/12)*Parts!$M$130)*4</f>
        <v>48.144000000000005</v>
      </c>
      <c r="CB191" s="31">
        <f>((CB$180/12)*Parts!$M$130)*4</f>
        <v>48.745800000000003</v>
      </c>
      <c r="CC191" s="31">
        <f>((CC$180/12)*Parts!$M$130)*4</f>
        <v>49.3476</v>
      </c>
      <c r="CD191" s="31">
        <f>((CD$180/12)*Parts!$M$130)*4</f>
        <v>49.949400000000004</v>
      </c>
      <c r="CE191" s="31">
        <f>((CE$180/12)*Parts!$M$130)*4</f>
        <v>50.551200000000001</v>
      </c>
      <c r="CF191" s="31">
        <f>((CF$180/12)*Parts!$M$130)*4</f>
        <v>51.152999999999999</v>
      </c>
      <c r="CG191" s="31">
        <f>((CG$180/12)*Parts!$M$130)*4</f>
        <v>51.754800000000003</v>
      </c>
      <c r="CH191" s="31">
        <f>((CH$180/12)*Parts!$M$130)*4</f>
        <v>52.3566</v>
      </c>
      <c r="CI191" s="31">
        <f>((CI$180/12)*Parts!$M$130)*4</f>
        <v>52.958400000000005</v>
      </c>
      <c r="CJ191" s="31">
        <f>((CJ$180/12)*Parts!$M$130)*4</f>
        <v>53.560200000000009</v>
      </c>
      <c r="CK191" s="31">
        <f>((CK$180/12)*Parts!$M$130)*4</f>
        <v>54.162000000000006</v>
      </c>
      <c r="CL191" s="31">
        <f>((CL$180/12)*Parts!$M$130)*4</f>
        <v>54.763800000000003</v>
      </c>
      <c r="CM191" s="31">
        <f>((CM$180/12)*Parts!$M$130)*4</f>
        <v>55.365600000000008</v>
      </c>
      <c r="CN191" s="31">
        <f>((CN$180/12)*Parts!$M$130)*4</f>
        <v>55.967400000000005</v>
      </c>
      <c r="CO191" s="31">
        <f>((CO$180/12)*Parts!$M$130)*4</f>
        <v>56.569200000000002</v>
      </c>
      <c r="CP191" s="31">
        <f>((CP$180/12)*Parts!$M$130)*4</f>
        <v>57.171000000000006</v>
      </c>
      <c r="CQ191" s="31">
        <f>((CQ$180/12)*Parts!$M$130)*4</f>
        <v>57.772800000000004</v>
      </c>
      <c r="CR191" s="31">
        <f>((CR$180/12)*Parts!$M$130)*4</f>
        <v>58.374600000000008</v>
      </c>
      <c r="CS191" s="31">
        <f>((CS$180/12)*Parts!$M$130)*4</f>
        <v>58.976399999999998</v>
      </c>
      <c r="CT191" s="31">
        <f>((CT$180/12)*Parts!$M$130)*4</f>
        <v>59.578200000000002</v>
      </c>
      <c r="CU191" s="31">
        <f>((CU$180/12)*Parts!$M$130)*4</f>
        <v>60.180000000000007</v>
      </c>
      <c r="CV191" s="31">
        <f>((CV$180/12)*Parts!$M$130)*4</f>
        <v>60.781799999999997</v>
      </c>
      <c r="CW191" s="31">
        <f>((CW$180/12)*Parts!$M$130)*4</f>
        <v>61.383600000000001</v>
      </c>
      <c r="CX191" s="31">
        <f>((CX$180/12)*Parts!$M$130)*4</f>
        <v>61.985400000000006</v>
      </c>
      <c r="CY191" s="31">
        <f>((CY$180/12)*Parts!$M$130)*4</f>
        <v>62.587200000000003</v>
      </c>
      <c r="CZ191" s="31">
        <f>((CZ$180/12)*Parts!$M$130)*4</f>
        <v>63.189000000000007</v>
      </c>
      <c r="DA191" s="31">
        <f>((DA$180/12)*Parts!$M$130)*4</f>
        <v>63.790800000000011</v>
      </c>
      <c r="DB191" s="31">
        <f>((DB$180/12)*Parts!$M$130)*4</f>
        <v>64.392600000000002</v>
      </c>
      <c r="DC191" s="31">
        <f>((DC$180/12)*Parts!$M$130)*4</f>
        <v>64.994399999999999</v>
      </c>
      <c r="DD191" s="31">
        <f>((DD$180/12)*Parts!$M$130)*4</f>
        <v>65.59620000000001</v>
      </c>
      <c r="DE191" s="31">
        <f>((DE$180/12)*Parts!$M$130)*4</f>
        <v>66.197999999999993</v>
      </c>
      <c r="DF191" s="31">
        <f>((DF$180/12)*Parts!$M$130)*4</f>
        <v>66.799800000000005</v>
      </c>
      <c r="DG191" s="31">
        <f>((DG$180/12)*Parts!$M$130)*4</f>
        <v>67.401600000000002</v>
      </c>
      <c r="DH191" s="31">
        <f>((DH$180/12)*Parts!$M$130)*4</f>
        <v>68.003399999999999</v>
      </c>
      <c r="DI191" s="31">
        <f>((DI$180/12)*Parts!$M$130)*4</f>
        <v>68.605200000000011</v>
      </c>
      <c r="DJ191" s="31">
        <f>((DJ$180/12)*Parts!$M$130)*4</f>
        <v>69.207000000000008</v>
      </c>
      <c r="DK191" s="31">
        <f>((DK$180/12)*Parts!$M$130)*4</f>
        <v>69.808800000000005</v>
      </c>
      <c r="DL191" s="31">
        <f>((DL$180/12)*Parts!$M$130)*4</f>
        <v>70.410600000000002</v>
      </c>
      <c r="DM191" s="31">
        <f>((DM$180/12)*Parts!$M$130)*4</f>
        <v>71.012400000000014</v>
      </c>
      <c r="DN191" s="31">
        <f>((DN$180/12)*Parts!$M$130)*4</f>
        <v>71.614199999999997</v>
      </c>
      <c r="DO191" s="31">
        <f>((DO$180/12)*Parts!$M$130)*4</f>
        <v>72.216000000000008</v>
      </c>
      <c r="DP191" s="31">
        <f>((DP$180/12)*Parts!$M$130)*4</f>
        <v>72.817800000000005</v>
      </c>
      <c r="DQ191" s="31">
        <f>((DQ$180/12)*Parts!$M$130)*4</f>
        <v>73.419600000000003</v>
      </c>
      <c r="DR191" s="31">
        <f>((DR$180/12)*Parts!$M$130)*4</f>
        <v>74.0214</v>
      </c>
      <c r="DS191" s="31">
        <f>((DS$180/12)*Parts!$M$130)*4</f>
        <v>74.623200000000011</v>
      </c>
      <c r="DT191" s="31">
        <f>((DT$180/12)*Parts!$M$130)*4</f>
        <v>75.224999999999994</v>
      </c>
      <c r="DU191" s="31">
        <f>((DU$180/12)*Parts!$M$130)*4</f>
        <v>75.826800000000006</v>
      </c>
      <c r="DV191" s="31">
        <f>((DV$180/12)*Parts!$M$130)*4</f>
        <v>76.428600000000003</v>
      </c>
      <c r="DW191" s="31">
        <f>((DW$180/12)*Parts!$M$130)*4</f>
        <v>77.0304</v>
      </c>
      <c r="DX191" s="31">
        <f>((DX$180/12)*Parts!$M$130)*4</f>
        <v>77.632200000000012</v>
      </c>
      <c r="DY191" s="31">
        <f>((DY$180/12)*Parts!$M$130)*4</f>
        <v>78.234000000000009</v>
      </c>
      <c r="DZ191" s="31">
        <f>((DZ$180/12)*Parts!$M$130)*4</f>
        <v>78.835800000000006</v>
      </c>
      <c r="EA191" s="31">
        <f>((EA$180/12)*Parts!$M$130)*4</f>
        <v>79.437600000000003</v>
      </c>
      <c r="EB191" s="31">
        <f>((EB$180/12)*Parts!$M$130)*4</f>
        <v>80.039400000000015</v>
      </c>
      <c r="EC191" s="31">
        <f>((EC$180/12)*Parts!$M$130)*4</f>
        <v>80.641199999999998</v>
      </c>
      <c r="ED191" s="31">
        <f>((ED$180/12)*Parts!$M$130)*4</f>
        <v>81.243000000000009</v>
      </c>
      <c r="EE191" s="31">
        <f>((EE$180/12)*Parts!$M$130)*4</f>
        <v>81.844800000000006</v>
      </c>
      <c r="EF191" s="31">
        <f>((EF$180/12)*Parts!$M$130)*4</f>
        <v>82.446600000000004</v>
      </c>
      <c r="EG191" s="31">
        <f>((EG$180/12)*Parts!$M$130)*4</f>
        <v>83.048400000000001</v>
      </c>
      <c r="EH191" s="31">
        <f>((EH$180/12)*Parts!$M$130)*4</f>
        <v>83.650200000000012</v>
      </c>
      <c r="EI191" s="31">
        <f>((EI$180/12)*Parts!$M$130)*4</f>
        <v>84.251999999999995</v>
      </c>
      <c r="EJ191" s="31">
        <f>((EJ$180/12)*Parts!$M$130)*4</f>
        <v>84.853800000000007</v>
      </c>
      <c r="EK191" s="31">
        <f>((EK$180/12)*Parts!$M$130)*4</f>
        <v>85.455600000000004</v>
      </c>
      <c r="EL191" s="31">
        <f>((EL$180/12)*Parts!$M$130)*4</f>
        <v>86.057400000000001</v>
      </c>
      <c r="EM191" s="31">
        <f>((EM$180/12)*Parts!$M$130)*4</f>
        <v>86.659199999999998</v>
      </c>
      <c r="EN191" s="31">
        <f>((EN$180/12)*Parts!$M$130)*4</f>
        <v>87.26100000000001</v>
      </c>
      <c r="EO191" s="31">
        <f>((EO$180/12)*Parts!$M$130)*4</f>
        <v>87.862800000000007</v>
      </c>
      <c r="EP191" s="31">
        <f>((EP$180/12)*Parts!$M$130)*4</f>
        <v>88.464600000000004</v>
      </c>
      <c r="EQ191" s="31">
        <f>((EQ$180/12)*Parts!$M$130)*4</f>
        <v>89.066400000000016</v>
      </c>
      <c r="ER191" s="31">
        <f>((ER$180/12)*Parts!$M$130)*4</f>
        <v>89.668199999999999</v>
      </c>
      <c r="ES191" s="31">
        <f>((ES$180/12)*Parts!$M$130)*4</f>
        <v>90.27000000000001</v>
      </c>
      <c r="ET191" s="31">
        <f>((ET$180/12)*Parts!$M$130)*4</f>
        <v>90.871800000000007</v>
      </c>
      <c r="EU191" s="31">
        <f>((EU$180/12)*Parts!$M$130)*4</f>
        <v>91.473600000000005</v>
      </c>
      <c r="EV191" s="31">
        <f>((EV$180/12)*Parts!$M$130)*4</f>
        <v>92.075400000000002</v>
      </c>
      <c r="EW191" s="31">
        <f>((EW$180/12)*Parts!$M$130)*4</f>
        <v>92.677200000000013</v>
      </c>
      <c r="EX191" s="31">
        <f>((EX$180/12)*Parts!$M$130)*4</f>
        <v>93.278999999999996</v>
      </c>
      <c r="EY191" s="31">
        <f>((EY$180/12)*Parts!$M$130)*4</f>
        <v>93.880800000000008</v>
      </c>
      <c r="EZ191" s="31">
        <f>((EZ$180/12)*Parts!$M$130)*4</f>
        <v>94.482600000000005</v>
      </c>
      <c r="FA191" s="31">
        <f>((FA$180/12)*Parts!$M$130)*4</f>
        <v>95.084400000000002</v>
      </c>
      <c r="FB191" s="31">
        <f>((FB$180/12)*Parts!$M$130)*4</f>
        <v>95.686199999999999</v>
      </c>
      <c r="FC191" s="31">
        <f>((FC$180/12)*Parts!$M$130)*4</f>
        <v>96.288000000000011</v>
      </c>
      <c r="FD191" s="31">
        <f>((FD$180/12)*Parts!$M$130)*4</f>
        <v>96.889800000000008</v>
      </c>
      <c r="FE191" s="31">
        <f>((FE$180/12)*Parts!$M$130)*4</f>
        <v>97.491600000000005</v>
      </c>
      <c r="FF191" s="31">
        <f>((FF$180/12)*Parts!$M$130)*4</f>
        <v>98.093400000000017</v>
      </c>
      <c r="FG191" s="31">
        <f>((FG$180/12)*Parts!$M$130)*4</f>
        <v>98.6952</v>
      </c>
      <c r="FH191" s="31">
        <f>((FH$180/12)*Parts!$M$130)*4</f>
        <v>99.297000000000011</v>
      </c>
      <c r="FI191" s="31">
        <f>((FI$180/12)*Parts!$M$130)*4</f>
        <v>99.898800000000008</v>
      </c>
      <c r="FJ191" s="31">
        <f>((FJ$180/12)*Parts!$M$130)*4</f>
        <v>100.50060000000001</v>
      </c>
      <c r="FK191" s="31">
        <f>((FK$180/12)*Parts!$M$130)*4</f>
        <v>101.1024</v>
      </c>
    </row>
    <row r="192" spans="7:167" ht="18.75">
      <c r="G192" s="140"/>
      <c r="H192" s="140"/>
      <c r="I192" s="140">
        <v>36</v>
      </c>
      <c r="J192" s="140">
        <v>27</v>
      </c>
      <c r="K192" s="140"/>
      <c r="L192" s="140"/>
      <c r="M192" s="140"/>
      <c r="N192" s="140"/>
      <c r="O192" s="142"/>
      <c r="P192" s="140"/>
      <c r="Q192" s="140"/>
      <c r="R192" s="140"/>
      <c r="S192" s="140"/>
      <c r="T192" s="140"/>
      <c r="V192" s="281" t="s">
        <v>482</v>
      </c>
      <c r="W192" s="31">
        <f>((W$180/12)*Parts!$M$129)*2+(W$180/12)*Parts!$M$128+(W$180/12)*Parts!$M$130</f>
        <v>17.888800000000003</v>
      </c>
      <c r="X192" s="31">
        <f>((X$180/12)*Parts!$M$129)*2+(X$180/12)*Parts!$M$128+(X$180/12)*Parts!$M$130</f>
        <v>18.634166666666669</v>
      </c>
      <c r="Y192" s="31">
        <f>((Y$180/12)*Parts!$M$129)*2+(Y$180/12)*Parts!$M$128+(Y$180/12)*Parts!$M$130</f>
        <v>19.379533333333335</v>
      </c>
      <c r="Z192" s="31">
        <f>((Z$180/12)*Parts!$M$129)*2+(Z$180/12)*Parts!$M$128+(Z$180/12)*Parts!$M$130</f>
        <v>20.1249</v>
      </c>
      <c r="AA192" s="31">
        <f>((AA$180/12)*Parts!$M$129)*2+(AA$180/12)*Parts!$M$128+(AA$180/12)*Parts!$M$130</f>
        <v>20.870266666666673</v>
      </c>
      <c r="AB192" s="31">
        <f>((AB$180/12)*Parts!$M$129)*2+(AB$180/12)*Parts!$M$128+(AB$180/12)*Parts!$M$130</f>
        <v>21.615633333333335</v>
      </c>
      <c r="AC192" s="31">
        <f>((AC$180/12)*Parts!$M$129)*2+(AC$180/12)*Parts!$M$128+(AC$180/12)*Parts!$M$130</f>
        <v>22.361000000000004</v>
      </c>
      <c r="AD192" s="31">
        <f>((AD$180/12)*Parts!$M$129)*2+(AD$180/12)*Parts!$M$128+(AD$180/12)*Parts!$M$130</f>
        <v>23.10636666666667</v>
      </c>
      <c r="AE192" s="31">
        <f>((AE$180/12)*Parts!$M$129)*2+(AE$180/12)*Parts!$M$128+(AE$180/12)*Parts!$M$130</f>
        <v>23.851733333333335</v>
      </c>
      <c r="AF192" s="31">
        <f>((AF$180/12)*Parts!$M$129)*2+(AF$180/12)*Parts!$M$128+(AF$180/12)*Parts!$M$130</f>
        <v>24.597100000000005</v>
      </c>
      <c r="AG192" s="31">
        <f>((AG$180/12)*Parts!$M$129)*2+(AG$180/12)*Parts!$M$128+(AG$180/12)*Parts!$M$130</f>
        <v>25.342466666666674</v>
      </c>
      <c r="AH192" s="31">
        <f>((AH$180/12)*Parts!$M$129)*2+(AH$180/12)*Parts!$M$128+(AH$180/12)*Parts!$M$130</f>
        <v>26.087833333333332</v>
      </c>
      <c r="AI192" s="31">
        <f>((AI$180/12)*Parts!$M$129)*2+(AI$180/12)*Parts!$M$128+(AI$180/12)*Parts!$M$130</f>
        <v>26.833200000000001</v>
      </c>
      <c r="AJ192" s="31">
        <f>((AJ$180/12)*Parts!$M$129)*2+(AJ$180/12)*Parts!$M$128+(AJ$180/12)*Parts!$M$130</f>
        <v>27.578566666666674</v>
      </c>
      <c r="AK192" s="31">
        <f>((AK$180/12)*Parts!$M$129)*2+(AK$180/12)*Parts!$M$128+(AK$180/12)*Parts!$M$130</f>
        <v>28.323933333333336</v>
      </c>
      <c r="AL192" s="31">
        <f>((AL$180/12)*Parts!$M$129)*2+(AL$180/12)*Parts!$M$128+(AL$180/12)*Parts!$M$130</f>
        <v>29.069300000000005</v>
      </c>
      <c r="AM192" s="31">
        <f>((AM$180/12)*Parts!$M$129)*2+(AM$180/12)*Parts!$M$128+(AM$180/12)*Parts!$M$130</f>
        <v>29.814666666666675</v>
      </c>
      <c r="AN192" s="31">
        <f>((AN$180/12)*Parts!$M$129)*2+(AN$180/12)*Parts!$M$128+(AN$180/12)*Parts!$M$130</f>
        <v>30.560033333333333</v>
      </c>
      <c r="AO192" s="31">
        <f>((AO$180/12)*Parts!$M$129)*2+(AO$180/12)*Parts!$M$128+(AO$180/12)*Parts!$M$130</f>
        <v>31.305400000000002</v>
      </c>
      <c r="AP192" s="31">
        <f>((AP$180/12)*Parts!$M$129)*2+(AP$180/12)*Parts!$M$128+(AP$180/12)*Parts!$M$130</f>
        <v>32.050766666666675</v>
      </c>
      <c r="AQ192" s="31">
        <f>((AQ$180/12)*Parts!$M$129)*2+(AQ$180/12)*Parts!$M$128+(AQ$180/12)*Parts!$M$130</f>
        <v>32.79613333333333</v>
      </c>
      <c r="AR192" s="31">
        <f>((AR$180/12)*Parts!$M$129)*2+(AR$180/12)*Parts!$M$128+(AR$180/12)*Parts!$M$130</f>
        <v>33.541499999999999</v>
      </c>
      <c r="AS192" s="31">
        <f>((AS$180/12)*Parts!$M$129)*2+(AS$180/12)*Parts!$M$128+(AS$180/12)*Parts!$M$130</f>
        <v>34.286866666666675</v>
      </c>
      <c r="AT192" s="31">
        <f>((AT$180/12)*Parts!$M$129)*2+(AT$180/12)*Parts!$M$128+(AT$180/12)*Parts!$M$130</f>
        <v>35.032233333333338</v>
      </c>
      <c r="AU192" s="31">
        <f>((AU$180/12)*Parts!$M$129)*2+(AU$180/12)*Parts!$M$128+(AU$180/12)*Parts!$M$130</f>
        <v>35.777600000000007</v>
      </c>
      <c r="AV192" s="31">
        <f>((AV$180/12)*Parts!$M$129)*2+(AV$180/12)*Parts!$M$128+(AV$180/12)*Parts!$M$130</f>
        <v>36.522966666666669</v>
      </c>
      <c r="AW192" s="31">
        <f>((AW$180/12)*Parts!$M$129)*2+(AW$180/12)*Parts!$M$128+(AW$180/12)*Parts!$M$130</f>
        <v>37.268333333333338</v>
      </c>
      <c r="AX192" s="31">
        <f>((AX$180/12)*Parts!$M$129)*2+(AX$180/12)*Parts!$M$128+(AX$180/12)*Parts!$M$130</f>
        <v>38.0137</v>
      </c>
      <c r="AY192" s="31">
        <f>((AY$180/12)*Parts!$M$129)*2+(AY$180/12)*Parts!$M$128+(AY$180/12)*Parts!$M$130</f>
        <v>38.759066666666669</v>
      </c>
      <c r="AZ192" s="31">
        <f>((AZ$180/12)*Parts!$M$129)*2+(AZ$180/12)*Parts!$M$128+(AZ$180/12)*Parts!$M$130</f>
        <v>39.504433333333338</v>
      </c>
      <c r="BA192" s="31">
        <f>((BA$180/12)*Parts!$M$129)*2+(BA$180/12)*Parts!$M$128+(BA$180/12)*Parts!$M$130</f>
        <v>40.2498</v>
      </c>
      <c r="BB192" s="31">
        <f>((BB$180/12)*Parts!$M$129)*2+(BB$180/12)*Parts!$M$128+(BB$180/12)*Parts!$M$130</f>
        <v>40.99516666666667</v>
      </c>
      <c r="BC192" s="31">
        <f>((BC$180/12)*Parts!$M$129)*2+(BC$180/12)*Parts!$M$128+(BC$180/12)*Parts!$M$130</f>
        <v>41.740533333333346</v>
      </c>
      <c r="BD192" s="31">
        <f>((BD$180/12)*Parts!$M$129)*2+(BD$180/12)*Parts!$M$128+(BD$180/12)*Parts!$M$130</f>
        <v>42.485900000000008</v>
      </c>
      <c r="BE192" s="31">
        <f>((BE$180/12)*Parts!$M$129)*2+(BE$180/12)*Parts!$M$128+(BE$180/12)*Parts!$M$130</f>
        <v>43.23126666666667</v>
      </c>
      <c r="BF192" s="31">
        <f>((BF$180/12)*Parts!$M$129)*2+(BF$180/12)*Parts!$M$128+(BF$180/12)*Parts!$M$130</f>
        <v>43.976633333333339</v>
      </c>
      <c r="BG192" s="31">
        <f>((BG$180/12)*Parts!$M$129)*2+(BG$180/12)*Parts!$M$128+(BG$180/12)*Parts!$M$130</f>
        <v>44.722000000000008</v>
      </c>
      <c r="BH192" s="31">
        <f>((BH$180/12)*Parts!$M$129)*2+(BH$180/12)*Parts!$M$128+(BH$180/12)*Parts!$M$130</f>
        <v>45.46736666666667</v>
      </c>
      <c r="BI192" s="31">
        <f>((BI$180/12)*Parts!$M$129)*2+(BI$180/12)*Parts!$M$128+(BI$180/12)*Parts!$M$130</f>
        <v>46.21273333333334</v>
      </c>
      <c r="BJ192" s="31">
        <f>((BJ$180/12)*Parts!$M$129)*2+(BJ$180/12)*Parts!$M$128+(BJ$180/12)*Parts!$M$130</f>
        <v>46.958100000000002</v>
      </c>
      <c r="BK192" s="31">
        <f>((BK$180/12)*Parts!$M$129)*2+(BK$180/12)*Parts!$M$128+(BK$180/12)*Parts!$M$130</f>
        <v>47.703466666666671</v>
      </c>
      <c r="BL192" s="31">
        <f>((BL$180/12)*Parts!$M$129)*2+(BL$180/12)*Parts!$M$128+(BL$180/12)*Parts!$M$130</f>
        <v>48.44883333333334</v>
      </c>
      <c r="BM192" s="31">
        <f>((BM$180/12)*Parts!$M$129)*2+(BM$180/12)*Parts!$M$128+(BM$180/12)*Parts!$M$130</f>
        <v>49.194200000000009</v>
      </c>
      <c r="BN192" s="31">
        <f>((BN$180/12)*Parts!$M$129)*2+(BN$180/12)*Parts!$M$128+(BN$180/12)*Parts!$M$130</f>
        <v>49.939566666666664</v>
      </c>
      <c r="BO192" s="31">
        <f>((BO$180/12)*Parts!$M$129)*2+(BO$180/12)*Parts!$M$128+(BO$180/12)*Parts!$M$130</f>
        <v>50.684933333333348</v>
      </c>
      <c r="BP192" s="31">
        <f>((BP$180/12)*Parts!$M$129)*2+(BP$180/12)*Parts!$M$128+(BP$180/12)*Parts!$M$130</f>
        <v>51.43030000000001</v>
      </c>
      <c r="BQ192" s="31">
        <f>((BQ$180/12)*Parts!$M$129)*2+(BQ$180/12)*Parts!$M$128+(BQ$180/12)*Parts!$M$130</f>
        <v>52.175666666666665</v>
      </c>
      <c r="BR192" s="31">
        <f>((BR$180/12)*Parts!$M$129)*2+(BR$180/12)*Parts!$M$128+(BR$180/12)*Parts!$M$130</f>
        <v>52.921033333333341</v>
      </c>
      <c r="BS192" s="31">
        <f>((BS$180/12)*Parts!$M$129)*2+(BS$180/12)*Parts!$M$128+(BS$180/12)*Parts!$M$130</f>
        <v>53.666400000000003</v>
      </c>
      <c r="BT192" s="31">
        <f>((BT$180/12)*Parts!$M$129)*2+(BT$180/12)*Parts!$M$128+(BT$180/12)*Parts!$M$130</f>
        <v>54.411766666666665</v>
      </c>
      <c r="BU192" s="31">
        <f>((BU$180/12)*Parts!$M$129)*2+(BU$180/12)*Parts!$M$128+(BU$180/12)*Parts!$M$130</f>
        <v>55.157133333333348</v>
      </c>
      <c r="BV192" s="31">
        <f>((BV$180/12)*Parts!$M$129)*2+(BV$180/12)*Parts!$M$128+(BV$180/12)*Parts!$M$130</f>
        <v>55.902500000000003</v>
      </c>
      <c r="BW192" s="31">
        <f>((BW$180/12)*Parts!$M$129)*2+(BW$180/12)*Parts!$M$128+(BW$180/12)*Parts!$M$130</f>
        <v>56.647866666666673</v>
      </c>
      <c r="BX192" s="31">
        <f>((BX$180/12)*Parts!$M$129)*2+(BX$180/12)*Parts!$M$128+(BX$180/12)*Parts!$M$130</f>
        <v>57.393233333333349</v>
      </c>
      <c r="BY192" s="31">
        <f>((BY$180/12)*Parts!$M$129)*2+(BY$180/12)*Parts!$M$128+(BY$180/12)*Parts!$M$130</f>
        <v>58.138600000000011</v>
      </c>
      <c r="BZ192" s="31">
        <f>((BZ$180/12)*Parts!$M$129)*2+(BZ$180/12)*Parts!$M$128+(BZ$180/12)*Parts!$M$130</f>
        <v>58.883966666666673</v>
      </c>
      <c r="CA192" s="31">
        <f>((CA$180/12)*Parts!$M$129)*2+(CA$180/12)*Parts!$M$128+(CA$180/12)*Parts!$M$130</f>
        <v>59.629333333333349</v>
      </c>
      <c r="CB192" s="31">
        <f>((CB$180/12)*Parts!$M$129)*2+(CB$180/12)*Parts!$M$128+(CB$180/12)*Parts!$M$130</f>
        <v>60.374700000000004</v>
      </c>
      <c r="CC192" s="31">
        <f>((CC$180/12)*Parts!$M$129)*2+(CC$180/12)*Parts!$M$128+(CC$180/12)*Parts!$M$130</f>
        <v>61.120066666666666</v>
      </c>
      <c r="CD192" s="31">
        <f>((CD$180/12)*Parts!$M$129)*2+(CD$180/12)*Parts!$M$128+(CD$180/12)*Parts!$M$130</f>
        <v>61.865433333333343</v>
      </c>
      <c r="CE192" s="31">
        <f>((CE$180/12)*Parts!$M$129)*2+(CE$180/12)*Parts!$M$128+(CE$180/12)*Parts!$M$130</f>
        <v>62.610800000000005</v>
      </c>
      <c r="CF192" s="31">
        <f>((CF$180/12)*Parts!$M$129)*2+(CF$180/12)*Parts!$M$128+(CF$180/12)*Parts!$M$130</f>
        <v>63.356166666666667</v>
      </c>
      <c r="CG192" s="31">
        <f>((CG$180/12)*Parts!$M$129)*2+(CG$180/12)*Parts!$M$128+(CG$180/12)*Parts!$M$130</f>
        <v>64.10153333333335</v>
      </c>
      <c r="CH192" s="31">
        <f>((CH$180/12)*Parts!$M$129)*2+(CH$180/12)*Parts!$M$128+(CH$180/12)*Parts!$M$130</f>
        <v>64.846900000000005</v>
      </c>
      <c r="CI192" s="31">
        <f>((CI$180/12)*Parts!$M$129)*2+(CI$180/12)*Parts!$M$128+(CI$180/12)*Parts!$M$130</f>
        <v>65.59226666666666</v>
      </c>
      <c r="CJ192" s="31">
        <f>((CJ$180/12)*Parts!$M$129)*2+(CJ$180/12)*Parts!$M$128+(CJ$180/12)*Parts!$M$130</f>
        <v>66.337633333333343</v>
      </c>
      <c r="CK192" s="31">
        <f>((CK$180/12)*Parts!$M$129)*2+(CK$180/12)*Parts!$M$128+(CK$180/12)*Parts!$M$130</f>
        <v>67.082999999999998</v>
      </c>
      <c r="CL192" s="31">
        <f>((CL$180/12)*Parts!$M$129)*2+(CL$180/12)*Parts!$M$128+(CL$180/12)*Parts!$M$130</f>
        <v>67.828366666666668</v>
      </c>
      <c r="CM192" s="31">
        <f>((CM$180/12)*Parts!$M$129)*2+(CM$180/12)*Parts!$M$128+(CM$180/12)*Parts!$M$130</f>
        <v>68.573733333333351</v>
      </c>
      <c r="CN192" s="31">
        <f>((CN$180/12)*Parts!$M$129)*2+(CN$180/12)*Parts!$M$128+(CN$180/12)*Parts!$M$130</f>
        <v>69.319100000000006</v>
      </c>
      <c r="CO192" s="31">
        <f>((CO$180/12)*Parts!$M$129)*2+(CO$180/12)*Parts!$M$128+(CO$180/12)*Parts!$M$130</f>
        <v>70.064466666666675</v>
      </c>
      <c r="CP192" s="31">
        <f>((CP$180/12)*Parts!$M$129)*2+(CP$180/12)*Parts!$M$128+(CP$180/12)*Parts!$M$130</f>
        <v>70.809833333333344</v>
      </c>
      <c r="CQ192" s="31">
        <f>((CQ$180/12)*Parts!$M$129)*2+(CQ$180/12)*Parts!$M$128+(CQ$180/12)*Parts!$M$130</f>
        <v>71.555200000000013</v>
      </c>
      <c r="CR192" s="31">
        <f>((CR$180/12)*Parts!$M$129)*2+(CR$180/12)*Parts!$M$128+(CR$180/12)*Parts!$M$130</f>
        <v>72.300566666666683</v>
      </c>
      <c r="CS192" s="31">
        <f>((CS$180/12)*Parts!$M$129)*2+(CS$180/12)*Parts!$M$128+(CS$180/12)*Parts!$M$130</f>
        <v>73.045933333333338</v>
      </c>
      <c r="CT192" s="31">
        <f>((CT$180/12)*Parts!$M$129)*2+(CT$180/12)*Parts!$M$128+(CT$180/12)*Parts!$M$130</f>
        <v>73.791300000000007</v>
      </c>
      <c r="CU192" s="31">
        <f>((CU$180/12)*Parts!$M$129)*2+(CU$180/12)*Parts!$M$128+(CU$180/12)*Parts!$M$130</f>
        <v>74.536666666666676</v>
      </c>
      <c r="CV192" s="31">
        <f>((CV$180/12)*Parts!$M$129)*2+(CV$180/12)*Parts!$M$128+(CV$180/12)*Parts!$M$130</f>
        <v>75.282033333333331</v>
      </c>
      <c r="CW192" s="31">
        <f>((CW$180/12)*Parts!$M$129)*2+(CW$180/12)*Parts!$M$128+(CW$180/12)*Parts!$M$130</f>
        <v>76.0274</v>
      </c>
      <c r="CX192" s="31">
        <f>((CX$180/12)*Parts!$M$129)*2+(CX$180/12)*Parts!$M$128+(CX$180/12)*Parts!$M$130</f>
        <v>76.772766666666683</v>
      </c>
      <c r="CY192" s="31">
        <f>((CY$180/12)*Parts!$M$129)*2+(CY$180/12)*Parts!$M$128+(CY$180/12)*Parts!$M$130</f>
        <v>77.518133333333338</v>
      </c>
      <c r="CZ192" s="31">
        <f>((CZ$180/12)*Parts!$M$129)*2+(CZ$180/12)*Parts!$M$128+(CZ$180/12)*Parts!$M$130</f>
        <v>78.263500000000008</v>
      </c>
      <c r="DA192" s="31">
        <f>((DA$180/12)*Parts!$M$129)*2+(DA$180/12)*Parts!$M$128+(DA$180/12)*Parts!$M$130</f>
        <v>79.008866666666677</v>
      </c>
      <c r="DB192" s="31">
        <f>((DB$180/12)*Parts!$M$129)*2+(DB$180/12)*Parts!$M$128+(DB$180/12)*Parts!$M$130</f>
        <v>79.754233333333346</v>
      </c>
      <c r="DC192" s="31">
        <f>((DC$180/12)*Parts!$M$129)*2+(DC$180/12)*Parts!$M$128+(DC$180/12)*Parts!$M$130</f>
        <v>80.499600000000001</v>
      </c>
      <c r="DD192" s="31">
        <f>((DD$180/12)*Parts!$M$129)*2+(DD$180/12)*Parts!$M$128+(DD$180/12)*Parts!$M$130</f>
        <v>81.244966666666684</v>
      </c>
      <c r="DE192" s="31">
        <f>((DE$180/12)*Parts!$M$129)*2+(DE$180/12)*Parts!$M$128+(DE$180/12)*Parts!$M$130</f>
        <v>81.990333333333339</v>
      </c>
      <c r="DF192" s="31">
        <f>((DF$180/12)*Parts!$M$129)*2+(DF$180/12)*Parts!$M$128+(DF$180/12)*Parts!$M$130</f>
        <v>82.735700000000008</v>
      </c>
      <c r="DG192" s="31">
        <f>((DG$180/12)*Parts!$M$129)*2+(DG$180/12)*Parts!$M$128+(DG$180/12)*Parts!$M$130</f>
        <v>83.481066666666692</v>
      </c>
      <c r="DH192" s="31">
        <f>((DH$180/12)*Parts!$M$129)*2+(DH$180/12)*Parts!$M$128+(DH$180/12)*Parts!$M$130</f>
        <v>84.226433333333333</v>
      </c>
      <c r="DI192" s="31">
        <f>((DI$180/12)*Parts!$M$129)*2+(DI$180/12)*Parts!$M$128+(DI$180/12)*Parts!$M$130</f>
        <v>84.971800000000016</v>
      </c>
      <c r="DJ192" s="31">
        <f>((DJ$180/12)*Parts!$M$129)*2+(DJ$180/12)*Parts!$M$128+(DJ$180/12)*Parts!$M$130</f>
        <v>85.717166666666671</v>
      </c>
      <c r="DK192" s="31">
        <f>((DK$180/12)*Parts!$M$129)*2+(DK$180/12)*Parts!$M$128+(DK$180/12)*Parts!$M$130</f>
        <v>86.46253333333334</v>
      </c>
      <c r="DL192" s="31">
        <f>((DL$180/12)*Parts!$M$129)*2+(DL$180/12)*Parts!$M$128+(DL$180/12)*Parts!$M$130</f>
        <v>87.207900000000009</v>
      </c>
      <c r="DM192" s="31">
        <f>((DM$180/12)*Parts!$M$129)*2+(DM$180/12)*Parts!$M$128+(DM$180/12)*Parts!$M$130</f>
        <v>87.953266666666678</v>
      </c>
      <c r="DN192" s="31">
        <f>((DN$180/12)*Parts!$M$129)*2+(DN$180/12)*Parts!$M$128+(DN$180/12)*Parts!$M$130</f>
        <v>88.698633333333333</v>
      </c>
      <c r="DO192" s="31">
        <f>((DO$180/12)*Parts!$M$129)*2+(DO$180/12)*Parts!$M$128+(DO$180/12)*Parts!$M$130</f>
        <v>89.444000000000017</v>
      </c>
      <c r="DP192" s="31">
        <f>((DP$180/12)*Parts!$M$129)*2+(DP$180/12)*Parts!$M$128+(DP$180/12)*Parts!$M$130</f>
        <v>90.189366666666672</v>
      </c>
      <c r="DQ192" s="31">
        <f>((DQ$180/12)*Parts!$M$129)*2+(DQ$180/12)*Parts!$M$128+(DQ$180/12)*Parts!$M$130</f>
        <v>90.934733333333341</v>
      </c>
      <c r="DR192" s="31">
        <f>((DR$180/12)*Parts!$M$129)*2+(DR$180/12)*Parts!$M$128+(DR$180/12)*Parts!$M$130</f>
        <v>91.68010000000001</v>
      </c>
      <c r="DS192" s="31">
        <f>((DS$180/12)*Parts!$M$129)*2+(DS$180/12)*Parts!$M$128+(DS$180/12)*Parts!$M$130</f>
        <v>92.425466666666679</v>
      </c>
      <c r="DT192" s="31">
        <f>((DT$180/12)*Parts!$M$129)*2+(DT$180/12)*Parts!$M$128+(DT$180/12)*Parts!$M$130</f>
        <v>93.170833333333348</v>
      </c>
      <c r="DU192" s="31">
        <f>((DU$180/12)*Parts!$M$129)*2+(DU$180/12)*Parts!$M$128+(DU$180/12)*Parts!$M$130</f>
        <v>93.916200000000003</v>
      </c>
      <c r="DV192" s="31">
        <f>((DV$180/12)*Parts!$M$129)*2+(DV$180/12)*Parts!$M$128+(DV$180/12)*Parts!$M$130</f>
        <v>94.661566666666687</v>
      </c>
      <c r="DW192" s="31">
        <f>((DW$180/12)*Parts!$M$129)*2+(DW$180/12)*Parts!$M$128+(DW$180/12)*Parts!$M$130</f>
        <v>95.406933333333342</v>
      </c>
      <c r="DX192" s="31">
        <f>((DX$180/12)*Parts!$M$129)*2+(DX$180/12)*Parts!$M$128+(DX$180/12)*Parts!$M$130</f>
        <v>96.152300000000011</v>
      </c>
      <c r="DY192" s="31">
        <f>((DY$180/12)*Parts!$M$129)*2+(DY$180/12)*Parts!$M$128+(DY$180/12)*Parts!$M$130</f>
        <v>96.89766666666668</v>
      </c>
      <c r="DZ192" s="31">
        <f>((DZ$180/12)*Parts!$M$129)*2+(DZ$180/12)*Parts!$M$128+(DZ$180/12)*Parts!$M$130</f>
        <v>97.643033333333349</v>
      </c>
      <c r="EA192" s="31">
        <f>((EA$180/12)*Parts!$M$129)*2+(EA$180/12)*Parts!$M$128+(EA$180/12)*Parts!$M$130</f>
        <v>98.388400000000019</v>
      </c>
      <c r="EB192" s="31">
        <f>((EB$180/12)*Parts!$M$129)*2+(EB$180/12)*Parts!$M$128+(EB$180/12)*Parts!$M$130</f>
        <v>99.133766666666673</v>
      </c>
      <c r="EC192" s="31">
        <f>((EC$180/12)*Parts!$M$129)*2+(EC$180/12)*Parts!$M$128+(EC$180/12)*Parts!$M$130</f>
        <v>99.879133333333328</v>
      </c>
      <c r="ED192" s="31">
        <f>((ED$180/12)*Parts!$M$129)*2+(ED$180/12)*Parts!$M$128+(ED$180/12)*Parts!$M$130</f>
        <v>100.62450000000001</v>
      </c>
      <c r="EE192" s="31">
        <f>((EE$180/12)*Parts!$M$129)*2+(EE$180/12)*Parts!$M$128+(EE$180/12)*Parts!$M$130</f>
        <v>101.3698666666667</v>
      </c>
      <c r="EF192" s="31">
        <f>((EF$180/12)*Parts!$M$129)*2+(EF$180/12)*Parts!$M$128+(EF$180/12)*Parts!$M$130</f>
        <v>102.11523333333334</v>
      </c>
      <c r="EG192" s="31">
        <f>((EG$180/12)*Parts!$M$129)*2+(EG$180/12)*Parts!$M$128+(EG$180/12)*Parts!$M$130</f>
        <v>102.86060000000002</v>
      </c>
      <c r="EH192" s="31">
        <f>((EH$180/12)*Parts!$M$129)*2+(EH$180/12)*Parts!$M$128+(EH$180/12)*Parts!$M$130</f>
        <v>103.60596666666669</v>
      </c>
      <c r="EI192" s="31">
        <f>((EI$180/12)*Parts!$M$129)*2+(EI$180/12)*Parts!$M$128+(EI$180/12)*Parts!$M$130</f>
        <v>104.35133333333333</v>
      </c>
      <c r="EJ192" s="31">
        <f>((EJ$180/12)*Parts!$M$129)*2+(EJ$180/12)*Parts!$M$128+(EJ$180/12)*Parts!$M$130</f>
        <v>105.0967</v>
      </c>
      <c r="EK192" s="31">
        <f>((EK$180/12)*Parts!$M$129)*2+(EK$180/12)*Parts!$M$128+(EK$180/12)*Parts!$M$130</f>
        <v>105.84206666666668</v>
      </c>
      <c r="EL192" s="31">
        <f>((EL$180/12)*Parts!$M$129)*2+(EL$180/12)*Parts!$M$128+(EL$180/12)*Parts!$M$130</f>
        <v>106.58743333333334</v>
      </c>
      <c r="EM192" s="31">
        <f>((EM$180/12)*Parts!$M$129)*2+(EM$180/12)*Parts!$M$128+(EM$180/12)*Parts!$M$130</f>
        <v>107.33280000000001</v>
      </c>
      <c r="EN192" s="31">
        <f>((EN$180/12)*Parts!$M$129)*2+(EN$180/12)*Parts!$M$128+(EN$180/12)*Parts!$M$130</f>
        <v>108.07816666666669</v>
      </c>
      <c r="EO192" s="31">
        <f>((EO$180/12)*Parts!$M$129)*2+(EO$180/12)*Parts!$M$128+(EO$180/12)*Parts!$M$130</f>
        <v>108.82353333333333</v>
      </c>
      <c r="EP192" s="31">
        <f>((EP$180/12)*Parts!$M$129)*2+(EP$180/12)*Parts!$M$128+(EP$180/12)*Parts!$M$130</f>
        <v>109.56890000000001</v>
      </c>
      <c r="EQ192" s="31">
        <f>((EQ$180/12)*Parts!$M$129)*2+(EQ$180/12)*Parts!$M$128+(EQ$180/12)*Parts!$M$130</f>
        <v>110.3142666666667</v>
      </c>
      <c r="ER192" s="31">
        <f>((ER$180/12)*Parts!$M$129)*2+(ER$180/12)*Parts!$M$128+(ER$180/12)*Parts!$M$130</f>
        <v>111.05963333333334</v>
      </c>
      <c r="ES192" s="31">
        <f>((ES$180/12)*Parts!$M$129)*2+(ES$180/12)*Parts!$M$128+(ES$180/12)*Parts!$M$130</f>
        <v>111.80500000000001</v>
      </c>
      <c r="ET192" s="31">
        <f>((ET$180/12)*Parts!$M$129)*2+(ET$180/12)*Parts!$M$128+(ET$180/12)*Parts!$M$130</f>
        <v>112.55036666666669</v>
      </c>
      <c r="EU192" s="31">
        <f>((EU$180/12)*Parts!$M$129)*2+(EU$180/12)*Parts!$M$128+(EU$180/12)*Parts!$M$130</f>
        <v>113.29573333333335</v>
      </c>
      <c r="EV192" s="31">
        <f>((EV$180/12)*Parts!$M$129)*2+(EV$180/12)*Parts!$M$128+(EV$180/12)*Parts!$M$130</f>
        <v>114.04110000000001</v>
      </c>
      <c r="EW192" s="31">
        <f>((EW$180/12)*Parts!$M$129)*2+(EW$180/12)*Parts!$M$128+(EW$180/12)*Parts!$M$130</f>
        <v>114.7864666666667</v>
      </c>
      <c r="EX192" s="31">
        <f>((EX$180/12)*Parts!$M$129)*2+(EX$180/12)*Parts!$M$128+(EX$180/12)*Parts!$M$130</f>
        <v>115.53183333333334</v>
      </c>
      <c r="EY192" s="31">
        <f>((EY$180/12)*Parts!$M$129)*2+(EY$180/12)*Parts!$M$128+(EY$180/12)*Parts!$M$130</f>
        <v>116.27720000000002</v>
      </c>
      <c r="EZ192" s="31">
        <f>((EZ$180/12)*Parts!$M$129)*2+(EZ$180/12)*Parts!$M$128+(EZ$180/12)*Parts!$M$130</f>
        <v>117.02256666666669</v>
      </c>
      <c r="FA192" s="31">
        <f>((FA$180/12)*Parts!$M$129)*2+(FA$180/12)*Parts!$M$128+(FA$180/12)*Parts!$M$130</f>
        <v>117.76793333333335</v>
      </c>
      <c r="FB192" s="31">
        <f>((FB$180/12)*Parts!$M$129)*2+(FB$180/12)*Parts!$M$128+(FB$180/12)*Parts!$M$130</f>
        <v>118.51330000000002</v>
      </c>
      <c r="FC192" s="31">
        <f>((FC$180/12)*Parts!$M$129)*2+(FC$180/12)*Parts!$M$128+(FC$180/12)*Parts!$M$130</f>
        <v>119.2586666666667</v>
      </c>
      <c r="FD192" s="31">
        <f>((FD$180/12)*Parts!$M$129)*2+(FD$180/12)*Parts!$M$128+(FD$180/12)*Parts!$M$130</f>
        <v>120.00403333333333</v>
      </c>
      <c r="FE192" s="31">
        <f>((FE$180/12)*Parts!$M$129)*2+(FE$180/12)*Parts!$M$128+(FE$180/12)*Parts!$M$130</f>
        <v>120.74940000000001</v>
      </c>
      <c r="FF192" s="31">
        <f>((FF$180/12)*Parts!$M$129)*2+(FF$180/12)*Parts!$M$128+(FF$180/12)*Parts!$M$130</f>
        <v>121.49476666666669</v>
      </c>
      <c r="FG192" s="31">
        <f>((FG$180/12)*Parts!$M$129)*2+(FG$180/12)*Parts!$M$128+(FG$180/12)*Parts!$M$130</f>
        <v>122.24013333333333</v>
      </c>
      <c r="FH192" s="31">
        <f>((FH$180/12)*Parts!$M$129)*2+(FH$180/12)*Parts!$M$128+(FH$180/12)*Parts!$M$130</f>
        <v>122.98550000000002</v>
      </c>
      <c r="FI192" s="31">
        <f>((FI$180/12)*Parts!$M$129)*2+(FI$180/12)*Parts!$M$128+(FI$180/12)*Parts!$M$130</f>
        <v>123.73086666666669</v>
      </c>
      <c r="FJ192" s="31">
        <f>((FJ$180/12)*Parts!$M$129)*2+(FJ$180/12)*Parts!$M$128+(FJ$180/12)*Parts!$M$130</f>
        <v>124.47623333333334</v>
      </c>
      <c r="FK192" s="31">
        <f>((FK$180/12)*Parts!$M$129)*2+(FK$180/12)*Parts!$M$128+(FK$180/12)*Parts!$M$130</f>
        <v>125.22160000000001</v>
      </c>
    </row>
    <row r="193" spans="7:167" ht="18.75">
      <c r="G193" s="140"/>
      <c r="H193" s="140"/>
      <c r="I193" s="140">
        <v>37</v>
      </c>
      <c r="J193" s="140">
        <v>27.5</v>
      </c>
      <c r="K193" s="140"/>
      <c r="L193" s="140"/>
      <c r="M193" s="140"/>
      <c r="N193" s="140"/>
      <c r="O193" s="142"/>
      <c r="P193" s="140"/>
      <c r="Q193" s="140"/>
      <c r="R193" s="140"/>
      <c r="S193" s="140"/>
      <c r="T193" s="140"/>
      <c r="V193" s="281" t="s">
        <v>483</v>
      </c>
      <c r="W193" s="31">
        <f>((W$180/12)*Parts!$M$128)*2+((W$180/12)*Parts!$M$130)*3</f>
        <v>16.402000000000001</v>
      </c>
      <c r="X193" s="31">
        <f>((X$180/12)*Parts!$M$128)*2+((X$180/12)*Parts!$M$130)*3</f>
        <v>17.085416666666667</v>
      </c>
      <c r="Y193" s="31">
        <f>((Y$180/12)*Parts!$M$128)*2+((Y$180/12)*Parts!$M$130)*3</f>
        <v>17.768833333333333</v>
      </c>
      <c r="Z193" s="31">
        <f>((Z$180/12)*Parts!$M$128)*2+((Z$180/12)*Parts!$M$130)*3</f>
        <v>18.452249999999999</v>
      </c>
      <c r="AA193" s="31">
        <f>((AA$180/12)*Parts!$M$128)*2+((AA$180/12)*Parts!$M$130)*3</f>
        <v>19.135666666666669</v>
      </c>
      <c r="AB193" s="31">
        <f>((AB$180/12)*Parts!$M$128)*2+((AB$180/12)*Parts!$M$130)*3</f>
        <v>19.819083333333332</v>
      </c>
      <c r="AC193" s="31">
        <f>((AC$180/12)*Parts!$M$128)*2+((AC$180/12)*Parts!$M$130)*3</f>
        <v>20.502500000000001</v>
      </c>
      <c r="AD193" s="31">
        <f>((AD$180/12)*Parts!$M$128)*2+((AD$180/12)*Parts!$M$130)*3</f>
        <v>21.185916666666671</v>
      </c>
      <c r="AE193" s="31">
        <f>((AE$180/12)*Parts!$M$128)*2+((AE$180/12)*Parts!$M$130)*3</f>
        <v>21.869333333333334</v>
      </c>
      <c r="AF193" s="31">
        <f>((AF$180/12)*Parts!$M$128)*2+((AF$180/12)*Parts!$M$130)*3</f>
        <v>22.552750000000003</v>
      </c>
      <c r="AG193" s="31">
        <f>((AG$180/12)*Parts!$M$128)*2+((AG$180/12)*Parts!$M$130)*3</f>
        <v>23.236166666666669</v>
      </c>
      <c r="AH193" s="31">
        <f>((AH$180/12)*Parts!$M$128)*2+((AH$180/12)*Parts!$M$130)*3</f>
        <v>23.919583333333332</v>
      </c>
      <c r="AI193" s="31">
        <f>((AI$180/12)*Parts!$M$128)*2+((AI$180/12)*Parts!$M$130)*3</f>
        <v>24.603000000000002</v>
      </c>
      <c r="AJ193" s="31">
        <f>((AJ$180/12)*Parts!$M$128)*2+((AJ$180/12)*Parts!$M$130)*3</f>
        <v>25.286416666666668</v>
      </c>
      <c r="AK193" s="31">
        <f>((AK$180/12)*Parts!$M$128)*2+((AK$180/12)*Parts!$M$130)*3</f>
        <v>25.969833333333334</v>
      </c>
      <c r="AL193" s="31">
        <f>((AL$180/12)*Parts!$M$128)*2+((AL$180/12)*Parts!$M$130)*3</f>
        <v>26.65325</v>
      </c>
      <c r="AM193" s="31">
        <f>((AM$180/12)*Parts!$M$128)*2+((AM$180/12)*Parts!$M$130)*3</f>
        <v>27.33666666666667</v>
      </c>
      <c r="AN193" s="31">
        <f>((AN$180/12)*Parts!$M$128)*2+((AN$180/12)*Parts!$M$130)*3</f>
        <v>28.020083333333332</v>
      </c>
      <c r="AO193" s="31">
        <f>((AO$180/12)*Parts!$M$128)*2+((AO$180/12)*Parts!$M$130)*3</f>
        <v>28.703500000000002</v>
      </c>
      <c r="AP193" s="31">
        <f>((AP$180/12)*Parts!$M$128)*2+((AP$180/12)*Parts!$M$130)*3</f>
        <v>29.386916666666671</v>
      </c>
      <c r="AQ193" s="31">
        <f>((AQ$180/12)*Parts!$M$128)*2+((AQ$180/12)*Parts!$M$130)*3</f>
        <v>30.070333333333334</v>
      </c>
      <c r="AR193" s="31">
        <f>((AR$180/12)*Parts!$M$128)*2+((AR$180/12)*Parts!$M$130)*3</f>
        <v>30.753750000000004</v>
      </c>
      <c r="AS193" s="31">
        <f>((AS$180/12)*Parts!$M$128)*2+((AS$180/12)*Parts!$M$130)*3</f>
        <v>31.43716666666667</v>
      </c>
      <c r="AT193" s="31">
        <f>((AT$180/12)*Parts!$M$128)*2+((AT$180/12)*Parts!$M$130)*3</f>
        <v>32.120583333333336</v>
      </c>
      <c r="AU193" s="31">
        <f>((AU$180/12)*Parts!$M$128)*2+((AU$180/12)*Parts!$M$130)*3</f>
        <v>32.804000000000002</v>
      </c>
      <c r="AV193" s="31">
        <f>((AV$180/12)*Parts!$M$128)*2+((AV$180/12)*Parts!$M$130)*3</f>
        <v>33.487416666666661</v>
      </c>
      <c r="AW193" s="31">
        <f>((AW$180/12)*Parts!$M$128)*2+((AW$180/12)*Parts!$M$130)*3</f>
        <v>34.170833333333334</v>
      </c>
      <c r="AX193" s="31">
        <f>((AX$180/12)*Parts!$M$128)*2+((AX$180/12)*Parts!$M$130)*3</f>
        <v>34.85425</v>
      </c>
      <c r="AY193" s="31">
        <f>((AY$180/12)*Parts!$M$128)*2+((AY$180/12)*Parts!$M$130)*3</f>
        <v>35.537666666666667</v>
      </c>
      <c r="AZ193" s="31">
        <f>((AZ$180/12)*Parts!$M$128)*2+((AZ$180/12)*Parts!$M$130)*3</f>
        <v>36.22108333333334</v>
      </c>
      <c r="BA193" s="31">
        <f>((BA$180/12)*Parts!$M$128)*2+((BA$180/12)*Parts!$M$130)*3</f>
        <v>36.904499999999999</v>
      </c>
      <c r="BB193" s="31">
        <f>((BB$180/12)*Parts!$M$128)*2+((BB$180/12)*Parts!$M$130)*3</f>
        <v>37.587916666666665</v>
      </c>
      <c r="BC193" s="31">
        <f>((BC$180/12)*Parts!$M$128)*2+((BC$180/12)*Parts!$M$130)*3</f>
        <v>38.271333333333338</v>
      </c>
      <c r="BD193" s="31">
        <f>((BD$180/12)*Parts!$M$128)*2+((BD$180/12)*Parts!$M$130)*3</f>
        <v>38.954750000000004</v>
      </c>
      <c r="BE193" s="31">
        <f>((BE$180/12)*Parts!$M$128)*2+((BE$180/12)*Parts!$M$130)*3</f>
        <v>39.638166666666663</v>
      </c>
      <c r="BF193" s="31">
        <f>((BF$180/12)*Parts!$M$128)*2+((BF$180/12)*Parts!$M$130)*3</f>
        <v>40.321583333333336</v>
      </c>
      <c r="BG193" s="31">
        <f>((BG$180/12)*Parts!$M$128)*2+((BG$180/12)*Parts!$M$130)*3</f>
        <v>41.005000000000003</v>
      </c>
      <c r="BH193" s="31">
        <f>((BH$180/12)*Parts!$M$128)*2+((BH$180/12)*Parts!$M$130)*3</f>
        <v>41.688416666666669</v>
      </c>
      <c r="BI193" s="31">
        <f>((BI$180/12)*Parts!$M$128)*2+((BI$180/12)*Parts!$M$130)*3</f>
        <v>42.371833333333342</v>
      </c>
      <c r="BJ193" s="31">
        <f>((BJ$180/12)*Parts!$M$128)*2+((BJ$180/12)*Parts!$M$130)*3</f>
        <v>43.055250000000001</v>
      </c>
      <c r="BK193" s="31">
        <f>((BK$180/12)*Parts!$M$128)*2+((BK$180/12)*Parts!$M$130)*3</f>
        <v>43.738666666666667</v>
      </c>
      <c r="BL193" s="31">
        <f>((BL$180/12)*Parts!$M$128)*2+((BL$180/12)*Parts!$M$130)*3</f>
        <v>44.42208333333334</v>
      </c>
      <c r="BM193" s="31">
        <f>((BM$180/12)*Parts!$M$128)*2+((BM$180/12)*Parts!$M$130)*3</f>
        <v>45.105500000000006</v>
      </c>
      <c r="BN193" s="31">
        <f>((BN$180/12)*Parts!$M$128)*2+((BN$180/12)*Parts!$M$130)*3</f>
        <v>45.788916666666665</v>
      </c>
      <c r="BO193" s="31">
        <f>((BO$180/12)*Parts!$M$128)*2+((BO$180/12)*Parts!$M$130)*3</f>
        <v>46.472333333333339</v>
      </c>
      <c r="BP193" s="31">
        <f>((BP$180/12)*Parts!$M$128)*2+((BP$180/12)*Parts!$M$130)*3</f>
        <v>47.155749999999998</v>
      </c>
      <c r="BQ193" s="31">
        <f>((BQ$180/12)*Parts!$M$128)*2+((BQ$180/12)*Parts!$M$130)*3</f>
        <v>47.839166666666664</v>
      </c>
      <c r="BR193" s="31">
        <f>((BR$180/12)*Parts!$M$128)*2+((BR$180/12)*Parts!$M$130)*3</f>
        <v>48.522583333333337</v>
      </c>
      <c r="BS193" s="31">
        <f>((BS$180/12)*Parts!$M$128)*2+((BS$180/12)*Parts!$M$130)*3</f>
        <v>49.206000000000003</v>
      </c>
      <c r="BT193" s="31">
        <f>((BT$180/12)*Parts!$M$128)*2+((BT$180/12)*Parts!$M$130)*3</f>
        <v>49.889416666666676</v>
      </c>
      <c r="BU193" s="31">
        <f>((BU$180/12)*Parts!$M$128)*2+((BU$180/12)*Parts!$M$130)*3</f>
        <v>50.572833333333335</v>
      </c>
      <c r="BV193" s="31">
        <f>((BV$180/12)*Parts!$M$128)*2+((BV$180/12)*Parts!$M$130)*3</f>
        <v>51.256250000000009</v>
      </c>
      <c r="BW193" s="31">
        <f>((BW$180/12)*Parts!$M$128)*2+((BW$180/12)*Parts!$M$130)*3</f>
        <v>51.939666666666668</v>
      </c>
      <c r="BX193" s="31">
        <f>((BX$180/12)*Parts!$M$128)*2+((BX$180/12)*Parts!$M$130)*3</f>
        <v>52.623083333333341</v>
      </c>
      <c r="BY193" s="31">
        <f>((BY$180/12)*Parts!$M$128)*2+((BY$180/12)*Parts!$M$130)*3</f>
        <v>53.3065</v>
      </c>
      <c r="BZ193" s="31">
        <f>((BZ$180/12)*Parts!$M$128)*2+((BZ$180/12)*Parts!$M$130)*3</f>
        <v>53.989916666666666</v>
      </c>
      <c r="CA193" s="31">
        <f>((CA$180/12)*Parts!$M$128)*2+((CA$180/12)*Parts!$M$130)*3</f>
        <v>54.673333333333339</v>
      </c>
      <c r="CB193" s="31">
        <f>((CB$180/12)*Parts!$M$128)*2+((CB$180/12)*Parts!$M$130)*3</f>
        <v>55.356750000000005</v>
      </c>
      <c r="CC193" s="31">
        <f>((CC$180/12)*Parts!$M$128)*2+((CC$180/12)*Parts!$M$130)*3</f>
        <v>56.040166666666664</v>
      </c>
      <c r="CD193" s="31">
        <f>((CD$180/12)*Parts!$M$128)*2+((CD$180/12)*Parts!$M$130)*3</f>
        <v>56.723583333333337</v>
      </c>
      <c r="CE193" s="31">
        <f>((CE$180/12)*Parts!$M$128)*2+((CE$180/12)*Parts!$M$130)*3</f>
        <v>57.407000000000004</v>
      </c>
      <c r="CF193" s="31">
        <f>((CF$180/12)*Parts!$M$128)*2+((CF$180/12)*Parts!$M$130)*3</f>
        <v>58.09041666666667</v>
      </c>
      <c r="CG193" s="31">
        <f>((CG$180/12)*Parts!$M$128)*2+((CG$180/12)*Parts!$M$130)*3</f>
        <v>58.773833333333343</v>
      </c>
      <c r="CH193" s="31">
        <f>((CH$180/12)*Parts!$M$128)*2+((CH$180/12)*Parts!$M$130)*3</f>
        <v>59.457250000000002</v>
      </c>
      <c r="CI193" s="31">
        <f>((CI$180/12)*Parts!$M$128)*2+((CI$180/12)*Parts!$M$130)*3</f>
        <v>60.140666666666668</v>
      </c>
      <c r="CJ193" s="31">
        <f>((CJ$180/12)*Parts!$M$128)*2+((CJ$180/12)*Parts!$M$130)*3</f>
        <v>60.824083333333341</v>
      </c>
      <c r="CK193" s="31">
        <f>((CK$180/12)*Parts!$M$128)*2+((CK$180/12)*Parts!$M$130)*3</f>
        <v>61.507500000000007</v>
      </c>
      <c r="CL193" s="31">
        <f>((CL$180/12)*Parts!$M$128)*2+((CL$180/12)*Parts!$M$130)*3</f>
        <v>62.190916666666666</v>
      </c>
      <c r="CM193" s="31">
        <f>((CM$180/12)*Parts!$M$128)*2+((CM$180/12)*Parts!$M$130)*3</f>
        <v>62.87433333333334</v>
      </c>
      <c r="CN193" s="31">
        <f>((CN$180/12)*Parts!$M$128)*2+((CN$180/12)*Parts!$M$130)*3</f>
        <v>63.557750000000006</v>
      </c>
      <c r="CO193" s="31">
        <f>((CO$180/12)*Parts!$M$128)*2+((CO$180/12)*Parts!$M$130)*3</f>
        <v>64.241166666666672</v>
      </c>
      <c r="CP193" s="31">
        <f>((CP$180/12)*Parts!$M$128)*2+((CP$180/12)*Parts!$M$130)*3</f>
        <v>64.924583333333345</v>
      </c>
      <c r="CQ193" s="31">
        <f>((CQ$180/12)*Parts!$M$128)*2+((CQ$180/12)*Parts!$M$130)*3</f>
        <v>65.608000000000004</v>
      </c>
      <c r="CR193" s="31">
        <f>((CR$180/12)*Parts!$M$128)*2+((CR$180/12)*Parts!$M$130)*3</f>
        <v>66.291416666666677</v>
      </c>
      <c r="CS193" s="31">
        <f>((CS$180/12)*Parts!$M$128)*2+((CS$180/12)*Parts!$M$130)*3</f>
        <v>66.974833333333322</v>
      </c>
      <c r="CT193" s="31">
        <f>((CT$180/12)*Parts!$M$128)*2+((CT$180/12)*Parts!$M$130)*3</f>
        <v>67.65825000000001</v>
      </c>
      <c r="CU193" s="31">
        <f>((CU$180/12)*Parts!$M$128)*2+((CU$180/12)*Parts!$M$130)*3</f>
        <v>68.341666666666669</v>
      </c>
      <c r="CV193" s="31">
        <f>((CV$180/12)*Parts!$M$128)*2+((CV$180/12)*Parts!$M$130)*3</f>
        <v>69.025083333333328</v>
      </c>
      <c r="CW193" s="31">
        <f>((CW$180/12)*Parts!$M$128)*2+((CW$180/12)*Parts!$M$130)*3</f>
        <v>69.708500000000001</v>
      </c>
      <c r="CX193" s="31">
        <f>((CX$180/12)*Parts!$M$128)*2+((CX$180/12)*Parts!$M$130)*3</f>
        <v>70.391916666666674</v>
      </c>
      <c r="CY193" s="31">
        <f>((CY$180/12)*Parts!$M$128)*2+((CY$180/12)*Parts!$M$130)*3</f>
        <v>71.075333333333333</v>
      </c>
      <c r="CZ193" s="31">
        <f>((CZ$180/12)*Parts!$M$128)*2+((CZ$180/12)*Parts!$M$130)*3</f>
        <v>71.758750000000006</v>
      </c>
      <c r="DA193" s="31">
        <f>((DA$180/12)*Parts!$M$128)*2+((DA$180/12)*Parts!$M$130)*3</f>
        <v>72.442166666666679</v>
      </c>
      <c r="DB193" s="31">
        <f>((DB$180/12)*Parts!$M$128)*2+((DB$180/12)*Parts!$M$130)*3</f>
        <v>73.125583333333338</v>
      </c>
      <c r="DC193" s="31">
        <f>((DC$180/12)*Parts!$M$128)*2+((DC$180/12)*Parts!$M$130)*3</f>
        <v>73.808999999999997</v>
      </c>
      <c r="DD193" s="31">
        <f>((DD$180/12)*Parts!$M$128)*2+((DD$180/12)*Parts!$M$130)*3</f>
        <v>74.492416666666685</v>
      </c>
      <c r="DE193" s="31">
        <f>((DE$180/12)*Parts!$M$128)*2+((DE$180/12)*Parts!$M$130)*3</f>
        <v>75.17583333333333</v>
      </c>
      <c r="DF193" s="31">
        <f>((DF$180/12)*Parts!$M$128)*2+((DF$180/12)*Parts!$M$130)*3</f>
        <v>75.859250000000003</v>
      </c>
      <c r="DG193" s="31">
        <f>((DG$180/12)*Parts!$M$128)*2+((DG$180/12)*Parts!$M$130)*3</f>
        <v>76.542666666666676</v>
      </c>
      <c r="DH193" s="31">
        <f>((DH$180/12)*Parts!$M$128)*2+((DH$180/12)*Parts!$M$130)*3</f>
        <v>77.226083333333335</v>
      </c>
      <c r="DI193" s="31">
        <f>((DI$180/12)*Parts!$M$128)*2+((DI$180/12)*Parts!$M$130)*3</f>
        <v>77.909500000000008</v>
      </c>
      <c r="DJ193" s="31">
        <f>((DJ$180/12)*Parts!$M$128)*2+((DJ$180/12)*Parts!$M$130)*3</f>
        <v>78.592916666666682</v>
      </c>
      <c r="DK193" s="31">
        <f>((DK$180/12)*Parts!$M$128)*2+((DK$180/12)*Parts!$M$130)*3</f>
        <v>79.276333333333326</v>
      </c>
      <c r="DL193" s="31">
        <f>((DL$180/12)*Parts!$M$128)*2+((DL$180/12)*Parts!$M$130)*3</f>
        <v>79.959750000000014</v>
      </c>
      <c r="DM193" s="31">
        <f>((DM$180/12)*Parts!$M$128)*2+((DM$180/12)*Parts!$M$130)*3</f>
        <v>80.643166666666673</v>
      </c>
      <c r="DN193" s="31">
        <f>((DN$180/12)*Parts!$M$128)*2+((DN$180/12)*Parts!$M$130)*3</f>
        <v>81.326583333333332</v>
      </c>
      <c r="DO193" s="31">
        <f>((DO$180/12)*Parts!$M$128)*2+((DO$180/12)*Parts!$M$130)*3</f>
        <v>82.01</v>
      </c>
      <c r="DP193" s="31">
        <f>((DP$180/12)*Parts!$M$128)*2+((DP$180/12)*Parts!$M$130)*3</f>
        <v>82.693416666666678</v>
      </c>
      <c r="DQ193" s="31">
        <f>((DQ$180/12)*Parts!$M$128)*2+((DQ$180/12)*Parts!$M$130)*3</f>
        <v>83.376833333333337</v>
      </c>
      <c r="DR193" s="31">
        <f>((DR$180/12)*Parts!$M$128)*2+((DR$180/12)*Parts!$M$130)*3</f>
        <v>84.060249999999996</v>
      </c>
      <c r="DS193" s="31">
        <f>((DS$180/12)*Parts!$M$128)*2+((DS$180/12)*Parts!$M$130)*3</f>
        <v>84.743666666666684</v>
      </c>
      <c r="DT193" s="31">
        <f>((DT$180/12)*Parts!$M$128)*2+((DT$180/12)*Parts!$M$130)*3</f>
        <v>85.427083333333329</v>
      </c>
      <c r="DU193" s="31">
        <f>((DU$180/12)*Parts!$M$128)*2+((DU$180/12)*Parts!$M$130)*3</f>
        <v>86.110500000000002</v>
      </c>
      <c r="DV193" s="31">
        <f>((DV$180/12)*Parts!$M$128)*2+((DV$180/12)*Parts!$M$130)*3</f>
        <v>86.793916666666661</v>
      </c>
      <c r="DW193" s="31">
        <f>((DW$180/12)*Parts!$M$128)*2+((DW$180/12)*Parts!$M$130)*3</f>
        <v>87.477333333333334</v>
      </c>
      <c r="DX193" s="31">
        <f>((DX$180/12)*Parts!$M$128)*2+((DX$180/12)*Parts!$M$130)*3</f>
        <v>88.160750000000007</v>
      </c>
      <c r="DY193" s="31">
        <f>((DY$180/12)*Parts!$M$128)*2+((DY$180/12)*Parts!$M$130)*3</f>
        <v>88.84416666666668</v>
      </c>
      <c r="DZ193" s="31">
        <f>((DZ$180/12)*Parts!$M$128)*2+((DZ$180/12)*Parts!$M$130)*3</f>
        <v>89.52758333333334</v>
      </c>
      <c r="EA193" s="31">
        <f>((EA$180/12)*Parts!$M$128)*2+((EA$180/12)*Parts!$M$130)*3</f>
        <v>90.211000000000013</v>
      </c>
      <c r="EB193" s="31">
        <f>((EB$180/12)*Parts!$M$128)*2+((EB$180/12)*Parts!$M$130)*3</f>
        <v>90.894416666666686</v>
      </c>
      <c r="EC193" s="31">
        <f>((EC$180/12)*Parts!$M$128)*2+((EC$180/12)*Parts!$M$130)*3</f>
        <v>91.577833333333331</v>
      </c>
      <c r="ED193" s="31">
        <f>((ED$180/12)*Parts!$M$128)*2+((ED$180/12)*Parts!$M$130)*3</f>
        <v>92.261250000000018</v>
      </c>
      <c r="EE193" s="31">
        <f>((EE$180/12)*Parts!$M$128)*2+((EE$180/12)*Parts!$M$130)*3</f>
        <v>92.944666666666677</v>
      </c>
      <c r="EF193" s="31">
        <f>((EF$180/12)*Parts!$M$128)*2+((EF$180/12)*Parts!$M$130)*3</f>
        <v>93.628083333333336</v>
      </c>
      <c r="EG193" s="31">
        <f>((EG$180/12)*Parts!$M$128)*2+((EG$180/12)*Parts!$M$130)*3</f>
        <v>94.311499999999995</v>
      </c>
      <c r="EH193" s="31">
        <f>((EH$180/12)*Parts!$M$128)*2+((EH$180/12)*Parts!$M$130)*3</f>
        <v>94.994916666666683</v>
      </c>
      <c r="EI193" s="31">
        <f>((EI$180/12)*Parts!$M$128)*2+((EI$180/12)*Parts!$M$130)*3</f>
        <v>95.678333333333327</v>
      </c>
      <c r="EJ193" s="31">
        <f>((EJ$180/12)*Parts!$M$128)*2+((EJ$180/12)*Parts!$M$130)*3</f>
        <v>96.361750000000001</v>
      </c>
      <c r="EK193" s="31">
        <f>((EK$180/12)*Parts!$M$128)*2+((EK$180/12)*Parts!$M$130)*3</f>
        <v>97.045166666666674</v>
      </c>
      <c r="EL193" s="31">
        <f>((EL$180/12)*Parts!$M$128)*2+((EL$180/12)*Parts!$M$130)*3</f>
        <v>97.728583333333319</v>
      </c>
      <c r="EM193" s="31">
        <f>((EM$180/12)*Parts!$M$128)*2+((EM$180/12)*Parts!$M$130)*3</f>
        <v>98.412000000000006</v>
      </c>
      <c r="EN193" s="31">
        <f>((EN$180/12)*Parts!$M$128)*2+((EN$180/12)*Parts!$M$130)*3</f>
        <v>99.095416666666665</v>
      </c>
      <c r="EO193" s="31">
        <f>((EO$180/12)*Parts!$M$128)*2+((EO$180/12)*Parts!$M$130)*3</f>
        <v>99.778833333333353</v>
      </c>
      <c r="EP193" s="31">
        <f>((EP$180/12)*Parts!$M$128)*2+((EP$180/12)*Parts!$M$130)*3</f>
        <v>100.46225000000001</v>
      </c>
      <c r="EQ193" s="31">
        <f>((EQ$180/12)*Parts!$M$128)*2+((EQ$180/12)*Parts!$M$130)*3</f>
        <v>101.14566666666667</v>
      </c>
      <c r="ER193" s="31">
        <f>((ER$180/12)*Parts!$M$128)*2+((ER$180/12)*Parts!$M$130)*3</f>
        <v>101.82908333333333</v>
      </c>
      <c r="ES193" s="31">
        <f>((ES$180/12)*Parts!$M$128)*2+((ES$180/12)*Parts!$M$130)*3</f>
        <v>102.51250000000002</v>
      </c>
      <c r="ET193" s="31">
        <f>((ET$180/12)*Parts!$M$128)*2+((ET$180/12)*Parts!$M$130)*3</f>
        <v>103.19591666666668</v>
      </c>
      <c r="EU193" s="31">
        <f>((EU$180/12)*Parts!$M$128)*2+((EU$180/12)*Parts!$M$130)*3</f>
        <v>103.87933333333334</v>
      </c>
      <c r="EV193" s="31">
        <f>((EV$180/12)*Parts!$M$128)*2+((EV$180/12)*Parts!$M$130)*3</f>
        <v>104.56274999999999</v>
      </c>
      <c r="EW193" s="31">
        <f>((EW$180/12)*Parts!$M$128)*2+((EW$180/12)*Parts!$M$130)*3</f>
        <v>105.24616666666668</v>
      </c>
      <c r="EX193" s="31">
        <f>((EX$180/12)*Parts!$M$128)*2+((EX$180/12)*Parts!$M$130)*3</f>
        <v>105.92958333333334</v>
      </c>
      <c r="EY193" s="31">
        <f>((EY$180/12)*Parts!$M$128)*2+((EY$180/12)*Parts!$M$130)*3</f>
        <v>106.613</v>
      </c>
      <c r="EZ193" s="31">
        <f>((EZ$180/12)*Parts!$M$128)*2+((EZ$180/12)*Parts!$M$130)*3</f>
        <v>107.29641666666669</v>
      </c>
      <c r="FA193" s="31">
        <f>((FA$180/12)*Parts!$M$128)*2+((FA$180/12)*Parts!$M$130)*3</f>
        <v>107.97983333333333</v>
      </c>
      <c r="FB193" s="31">
        <f>((FB$180/12)*Parts!$M$128)*2+((FB$180/12)*Parts!$M$130)*3</f>
        <v>108.66325000000001</v>
      </c>
      <c r="FC193" s="31">
        <f>((FC$180/12)*Parts!$M$128)*2+((FC$180/12)*Parts!$M$130)*3</f>
        <v>109.34666666666668</v>
      </c>
      <c r="FD193" s="31">
        <f>((FD$180/12)*Parts!$M$128)*2+((FD$180/12)*Parts!$M$130)*3</f>
        <v>110.03008333333332</v>
      </c>
      <c r="FE193" s="31">
        <f>((FE$180/12)*Parts!$M$128)*2+((FE$180/12)*Parts!$M$130)*3</f>
        <v>110.71350000000001</v>
      </c>
      <c r="FF193" s="31">
        <f>((FF$180/12)*Parts!$M$128)*2+((FF$180/12)*Parts!$M$130)*3</f>
        <v>111.39691666666667</v>
      </c>
      <c r="FG193" s="31">
        <f>((FG$180/12)*Parts!$M$128)*2+((FG$180/12)*Parts!$M$130)*3</f>
        <v>112.08033333333333</v>
      </c>
      <c r="FH193" s="31">
        <f>((FH$180/12)*Parts!$M$128)*2+((FH$180/12)*Parts!$M$130)*3</f>
        <v>112.76375000000002</v>
      </c>
      <c r="FI193" s="31">
        <f>((FI$180/12)*Parts!$M$128)*2+((FI$180/12)*Parts!$M$130)*3</f>
        <v>113.44716666666667</v>
      </c>
      <c r="FJ193" s="31">
        <f>((FJ$180/12)*Parts!$M$128)*2+((FJ$180/12)*Parts!$M$130)*3</f>
        <v>114.13058333333333</v>
      </c>
      <c r="FK193" s="31">
        <f>((FK$180/12)*Parts!$M$128)*2+((FK$180/12)*Parts!$M$130)*3</f>
        <v>114.81400000000001</v>
      </c>
    </row>
    <row r="194" spans="7:167" ht="18.75">
      <c r="G194" s="140"/>
      <c r="H194" s="140"/>
      <c r="I194" s="140">
        <v>38</v>
      </c>
      <c r="J194" s="140">
        <v>28</v>
      </c>
      <c r="K194" s="140"/>
      <c r="L194" s="140"/>
      <c r="M194" s="140"/>
      <c r="N194" s="140"/>
      <c r="O194" s="142"/>
      <c r="P194" s="140"/>
      <c r="Q194" s="140"/>
      <c r="R194" s="140"/>
      <c r="S194" s="140"/>
      <c r="T194" s="140"/>
      <c r="V194" s="142" t="s">
        <v>484</v>
      </c>
      <c r="W194" s="31">
        <f>((W$180/12)*Parts!$M$129)*3+(W$180/12)*Parts!$M$130</f>
        <v>20.850600000000004</v>
      </c>
      <c r="X194" s="31">
        <f>((X$180/12)*Parts!$M$129)*3+(X$180/12)*Parts!$M$130</f>
        <v>21.719375000000003</v>
      </c>
      <c r="Y194" s="31">
        <f>((Y$180/12)*Parts!$M$129)*3+(Y$180/12)*Parts!$M$130</f>
        <v>22.588150000000002</v>
      </c>
      <c r="Z194" s="31">
        <f>((Z$180/12)*Parts!$M$129)*3+(Z$180/12)*Parts!$M$130</f>
        <v>23.456925000000002</v>
      </c>
      <c r="AA194" s="31">
        <f>((AA$180/12)*Parts!$M$129)*3+(AA$180/12)*Parts!$M$130</f>
        <v>24.325700000000005</v>
      </c>
      <c r="AB194" s="31">
        <f>((AB$180/12)*Parts!$M$129)*3+(AB$180/12)*Parts!$M$130</f>
        <v>25.194475000000004</v>
      </c>
      <c r="AC194" s="31">
        <f>((AC$180/12)*Parts!$M$129)*3+(AC$180/12)*Parts!$M$130</f>
        <v>26.063250000000004</v>
      </c>
      <c r="AD194" s="31">
        <f>((AD$180/12)*Parts!$M$129)*3+(AD$180/12)*Parts!$M$130</f>
        <v>26.932025000000003</v>
      </c>
      <c r="AE194" s="31">
        <f>((AE$180/12)*Parts!$M$129)*3+(AE$180/12)*Parts!$M$130</f>
        <v>27.800800000000002</v>
      </c>
      <c r="AF194" s="31">
        <f>((AF$180/12)*Parts!$M$129)*3+(AF$180/12)*Parts!$M$130</f>
        <v>28.669575000000002</v>
      </c>
      <c r="AG194" s="31">
        <f>((AG$180/12)*Parts!$M$129)*3+(AG$180/12)*Parts!$M$130</f>
        <v>29.538350000000008</v>
      </c>
      <c r="AH194" s="31">
        <f>((AH$180/12)*Parts!$M$129)*3+(AH$180/12)*Parts!$M$130</f>
        <v>30.407125000000001</v>
      </c>
      <c r="AI194" s="31">
        <f>((AI$180/12)*Parts!$M$129)*3+(AI$180/12)*Parts!$M$130</f>
        <v>31.275900000000004</v>
      </c>
      <c r="AJ194" s="31">
        <f>((AJ$180/12)*Parts!$M$129)*3+(AJ$180/12)*Parts!$M$130</f>
        <v>32.144675000000007</v>
      </c>
      <c r="AK194" s="31">
        <f>((AK$180/12)*Parts!$M$129)*3+(AK$180/12)*Parts!$M$130</f>
        <v>33.013449999999999</v>
      </c>
      <c r="AL194" s="31">
        <f>((AL$180/12)*Parts!$M$129)*3+(AL$180/12)*Parts!$M$130</f>
        <v>33.882225000000005</v>
      </c>
      <c r="AM194" s="31">
        <f>((AM$180/12)*Parts!$M$129)*3+(AM$180/12)*Parts!$M$130</f>
        <v>34.751000000000005</v>
      </c>
      <c r="AN194" s="31">
        <f>((AN$180/12)*Parts!$M$129)*3+(AN$180/12)*Parts!$M$130</f>
        <v>35.619775000000004</v>
      </c>
      <c r="AO194" s="31">
        <f>((AO$180/12)*Parts!$M$129)*3+(AO$180/12)*Parts!$M$130</f>
        <v>36.488550000000004</v>
      </c>
      <c r="AP194" s="31">
        <f>((AP$180/12)*Parts!$M$129)*3+(AP$180/12)*Parts!$M$130</f>
        <v>37.35732500000001</v>
      </c>
      <c r="AQ194" s="31">
        <f>((AQ$180/12)*Parts!$M$129)*3+(AQ$180/12)*Parts!$M$130</f>
        <v>38.226100000000002</v>
      </c>
      <c r="AR194" s="31">
        <f>((AR$180/12)*Parts!$M$129)*3+(AR$180/12)*Parts!$M$130</f>
        <v>39.094875000000002</v>
      </c>
      <c r="AS194" s="31">
        <f>((AS$180/12)*Parts!$M$129)*3+(AS$180/12)*Parts!$M$130</f>
        <v>39.963650000000008</v>
      </c>
      <c r="AT194" s="31">
        <f>((AT$180/12)*Parts!$M$129)*3+(AT$180/12)*Parts!$M$130</f>
        <v>40.832425000000001</v>
      </c>
      <c r="AU194" s="31">
        <f>((AU$180/12)*Parts!$M$129)*3+(AU$180/12)*Parts!$M$130</f>
        <v>41.701200000000007</v>
      </c>
      <c r="AV194" s="31">
        <f>((AV$180/12)*Parts!$M$129)*3+(AV$180/12)*Parts!$M$130</f>
        <v>42.569975000000007</v>
      </c>
      <c r="AW194" s="31">
        <f>((AW$180/12)*Parts!$M$129)*3+(AW$180/12)*Parts!$M$130</f>
        <v>43.438750000000006</v>
      </c>
      <c r="AX194" s="31">
        <f>((AX$180/12)*Parts!$M$129)*3+(AX$180/12)*Parts!$M$130</f>
        <v>44.307525000000005</v>
      </c>
      <c r="AY194" s="31">
        <f>((AY$180/12)*Parts!$M$129)*3+(AY$180/12)*Parts!$M$130</f>
        <v>45.176300000000005</v>
      </c>
      <c r="AZ194" s="31">
        <f>((AZ$180/12)*Parts!$M$129)*3+(AZ$180/12)*Parts!$M$130</f>
        <v>46.045075000000004</v>
      </c>
      <c r="BA194" s="31">
        <f>((BA$180/12)*Parts!$M$129)*3+(BA$180/12)*Parts!$M$130</f>
        <v>46.913850000000004</v>
      </c>
      <c r="BB194" s="31">
        <f>((BB$180/12)*Parts!$M$129)*3+(BB$180/12)*Parts!$M$130</f>
        <v>47.782625000000003</v>
      </c>
      <c r="BC194" s="31">
        <f>((BC$180/12)*Parts!$M$129)*3+(BC$180/12)*Parts!$M$130</f>
        <v>48.65140000000001</v>
      </c>
      <c r="BD194" s="31">
        <f>((BD$180/12)*Parts!$M$129)*3+(BD$180/12)*Parts!$M$130</f>
        <v>49.520175000000009</v>
      </c>
      <c r="BE194" s="31">
        <f>((BE$180/12)*Parts!$M$129)*3+(BE$180/12)*Parts!$M$130</f>
        <v>50.388950000000008</v>
      </c>
      <c r="BF194" s="31">
        <f>((BF$180/12)*Parts!$M$129)*3+(BF$180/12)*Parts!$M$130</f>
        <v>51.257725000000008</v>
      </c>
      <c r="BG194" s="31">
        <f>((BG$180/12)*Parts!$M$129)*3+(BG$180/12)*Parts!$M$130</f>
        <v>52.126500000000007</v>
      </c>
      <c r="BH194" s="31">
        <f>((BH$180/12)*Parts!$M$129)*3+(BH$180/12)*Parts!$M$130</f>
        <v>52.995275000000007</v>
      </c>
      <c r="BI194" s="31">
        <f>((BI$180/12)*Parts!$M$129)*3+(BI$180/12)*Parts!$M$130</f>
        <v>53.864050000000006</v>
      </c>
      <c r="BJ194" s="31">
        <f>((BJ$180/12)*Parts!$M$129)*3+(BJ$180/12)*Parts!$M$130</f>
        <v>54.732825000000005</v>
      </c>
      <c r="BK194" s="31">
        <f>((BK$180/12)*Parts!$M$129)*3+(BK$180/12)*Parts!$M$130</f>
        <v>55.601600000000005</v>
      </c>
      <c r="BL194" s="31">
        <f>((BL$180/12)*Parts!$M$129)*3+(BL$180/12)*Parts!$M$130</f>
        <v>56.470375000000004</v>
      </c>
      <c r="BM194" s="31">
        <f>((BM$180/12)*Parts!$M$129)*3+(BM$180/12)*Parts!$M$130</f>
        <v>57.339150000000004</v>
      </c>
      <c r="BN194" s="31">
        <f>((BN$180/12)*Parts!$M$129)*3+(BN$180/12)*Parts!$M$130</f>
        <v>58.207925000000003</v>
      </c>
      <c r="BO194" s="31">
        <f>((BO$180/12)*Parts!$M$129)*3+(BO$180/12)*Parts!$M$130</f>
        <v>59.076700000000017</v>
      </c>
      <c r="BP194" s="31">
        <f>((BP$180/12)*Parts!$M$129)*3+(BP$180/12)*Parts!$M$130</f>
        <v>59.945475000000009</v>
      </c>
      <c r="BQ194" s="31">
        <f>((BQ$180/12)*Parts!$M$129)*3+(BQ$180/12)*Parts!$M$130</f>
        <v>60.814250000000001</v>
      </c>
      <c r="BR194" s="31">
        <f>((BR$180/12)*Parts!$M$129)*3+(BR$180/12)*Parts!$M$130</f>
        <v>61.683025000000015</v>
      </c>
      <c r="BS194" s="31">
        <f>((BS$180/12)*Parts!$M$129)*3+(BS$180/12)*Parts!$M$130</f>
        <v>62.551800000000007</v>
      </c>
      <c r="BT194" s="31">
        <f>((BT$180/12)*Parts!$M$129)*3+(BT$180/12)*Parts!$M$130</f>
        <v>63.420574999999999</v>
      </c>
      <c r="BU194" s="31">
        <f>((BU$180/12)*Parts!$M$129)*3+(BU$180/12)*Parts!$M$130</f>
        <v>64.289350000000013</v>
      </c>
      <c r="BV194" s="31">
        <f>((BV$180/12)*Parts!$M$129)*3+(BV$180/12)*Parts!$M$130</f>
        <v>65.158125000000013</v>
      </c>
      <c r="BW194" s="31">
        <f>((BW$180/12)*Parts!$M$129)*3+(BW$180/12)*Parts!$M$130</f>
        <v>66.026899999999998</v>
      </c>
      <c r="BX194" s="31">
        <f>((BX$180/12)*Parts!$M$129)*3+(BX$180/12)*Parts!$M$130</f>
        <v>66.895675000000011</v>
      </c>
      <c r="BY194" s="31">
        <f>((BY$180/12)*Parts!$M$129)*3+(BY$180/12)*Parts!$M$130</f>
        <v>67.764450000000011</v>
      </c>
      <c r="BZ194" s="31">
        <f>((BZ$180/12)*Parts!$M$129)*3+(BZ$180/12)*Parts!$M$130</f>
        <v>68.633224999999996</v>
      </c>
      <c r="CA194" s="31">
        <f>((CA$180/12)*Parts!$M$129)*3+(CA$180/12)*Parts!$M$130</f>
        <v>69.50200000000001</v>
      </c>
      <c r="CB194" s="31">
        <f>((CB$180/12)*Parts!$M$129)*3+(CB$180/12)*Parts!$M$130</f>
        <v>70.370775000000009</v>
      </c>
      <c r="CC194" s="31">
        <f>((CC$180/12)*Parts!$M$129)*3+(CC$180/12)*Parts!$M$130</f>
        <v>71.239550000000008</v>
      </c>
      <c r="CD194" s="31">
        <f>((CD$180/12)*Parts!$M$129)*3+(CD$180/12)*Parts!$M$130</f>
        <v>72.108325000000022</v>
      </c>
      <c r="CE194" s="31">
        <f>((CE$180/12)*Parts!$M$129)*3+(CE$180/12)*Parts!$M$130</f>
        <v>72.977100000000007</v>
      </c>
      <c r="CF194" s="31">
        <f>((CF$180/12)*Parts!$M$129)*3+(CF$180/12)*Parts!$M$130</f>
        <v>73.845875000000007</v>
      </c>
      <c r="CG194" s="31">
        <f>((CG$180/12)*Parts!$M$129)*3+(CG$180/12)*Parts!$M$130</f>
        <v>74.71465000000002</v>
      </c>
      <c r="CH194" s="31">
        <f>((CH$180/12)*Parts!$M$129)*3+(CH$180/12)*Parts!$M$130</f>
        <v>75.583425000000005</v>
      </c>
      <c r="CI194" s="31">
        <f>((CI$180/12)*Parts!$M$129)*3+(CI$180/12)*Parts!$M$130</f>
        <v>76.452200000000005</v>
      </c>
      <c r="CJ194" s="31">
        <f>((CJ$180/12)*Parts!$M$129)*3+(CJ$180/12)*Parts!$M$130</f>
        <v>77.320975000000018</v>
      </c>
      <c r="CK194" s="31">
        <f>((CK$180/12)*Parts!$M$129)*3+(CK$180/12)*Parts!$M$130</f>
        <v>78.189750000000004</v>
      </c>
      <c r="CL194" s="31">
        <f>((CL$180/12)*Parts!$M$129)*3+(CL$180/12)*Parts!$M$130</f>
        <v>79.058525000000003</v>
      </c>
      <c r="CM194" s="31">
        <f>((CM$180/12)*Parts!$M$129)*3+(CM$180/12)*Parts!$M$130</f>
        <v>79.927300000000017</v>
      </c>
      <c r="CN194" s="31">
        <f>((CN$180/12)*Parts!$M$129)*3+(CN$180/12)*Parts!$M$130</f>
        <v>80.796075000000002</v>
      </c>
      <c r="CO194" s="31">
        <f>((CO$180/12)*Parts!$M$129)*3+(CO$180/12)*Parts!$M$130</f>
        <v>81.664850000000001</v>
      </c>
      <c r="CP194" s="31">
        <f>((CP$180/12)*Parts!$M$129)*3+(CP$180/12)*Parts!$M$130</f>
        <v>82.533625000000015</v>
      </c>
      <c r="CQ194" s="31">
        <f>((CQ$180/12)*Parts!$M$129)*3+(CQ$180/12)*Parts!$M$130</f>
        <v>83.402400000000014</v>
      </c>
      <c r="CR194" s="31">
        <f>((CR$180/12)*Parts!$M$129)*3+(CR$180/12)*Parts!$M$130</f>
        <v>84.271175000000014</v>
      </c>
      <c r="CS194" s="31">
        <f>((CS$180/12)*Parts!$M$129)*3+(CS$180/12)*Parts!$M$130</f>
        <v>85.139950000000013</v>
      </c>
      <c r="CT194" s="31">
        <f>((CT$180/12)*Parts!$M$129)*3+(CT$180/12)*Parts!$M$130</f>
        <v>86.008725000000013</v>
      </c>
      <c r="CU194" s="31">
        <f>((CU$180/12)*Parts!$M$129)*3+(CU$180/12)*Parts!$M$130</f>
        <v>86.877500000000012</v>
      </c>
      <c r="CV194" s="31">
        <f>((CV$180/12)*Parts!$M$129)*3+(CV$180/12)*Parts!$M$130</f>
        <v>87.746274999999997</v>
      </c>
      <c r="CW194" s="31">
        <f>((CW$180/12)*Parts!$M$129)*3+(CW$180/12)*Parts!$M$130</f>
        <v>88.615050000000011</v>
      </c>
      <c r="CX194" s="31">
        <f>((CX$180/12)*Parts!$M$129)*3+(CX$180/12)*Parts!$M$130</f>
        <v>89.483825000000024</v>
      </c>
      <c r="CY194" s="31">
        <f>((CY$180/12)*Parts!$M$129)*3+(CY$180/12)*Parts!$M$130</f>
        <v>90.35260000000001</v>
      </c>
      <c r="CZ194" s="31">
        <f>((CZ$180/12)*Parts!$M$129)*3+(CZ$180/12)*Parts!$M$130</f>
        <v>91.221375000000009</v>
      </c>
      <c r="DA194" s="31">
        <f>((DA$180/12)*Parts!$M$129)*3+(DA$180/12)*Parts!$M$130</f>
        <v>92.090150000000008</v>
      </c>
      <c r="DB194" s="31">
        <f>((DB$180/12)*Parts!$M$129)*3+(DB$180/12)*Parts!$M$130</f>
        <v>92.958925000000008</v>
      </c>
      <c r="DC194" s="31">
        <f>((DC$180/12)*Parts!$M$129)*3+(DC$180/12)*Parts!$M$130</f>
        <v>93.827700000000007</v>
      </c>
      <c r="DD194" s="31">
        <f>((DD$180/12)*Parts!$M$129)*3+(DD$180/12)*Parts!$M$130</f>
        <v>94.696475000000021</v>
      </c>
      <c r="DE194" s="31">
        <f>((DE$180/12)*Parts!$M$129)*3+(DE$180/12)*Parts!$M$130</f>
        <v>95.565250000000006</v>
      </c>
      <c r="DF194" s="31">
        <f>((DF$180/12)*Parts!$M$129)*3+(DF$180/12)*Parts!$M$130</f>
        <v>96.43402500000002</v>
      </c>
      <c r="DG194" s="31">
        <f>((DG$180/12)*Parts!$M$129)*3+(DG$180/12)*Parts!$M$130</f>
        <v>97.302800000000019</v>
      </c>
      <c r="DH194" s="31">
        <f>((DH$180/12)*Parts!$M$129)*3+(DH$180/12)*Parts!$M$130</f>
        <v>98.171575000000004</v>
      </c>
      <c r="DI194" s="31">
        <f>((DI$180/12)*Parts!$M$129)*3+(DI$180/12)*Parts!$M$130</f>
        <v>99.040350000000018</v>
      </c>
      <c r="DJ194" s="31">
        <f>((DJ$180/12)*Parts!$M$129)*3+(DJ$180/12)*Parts!$M$130</f>
        <v>99.909125000000017</v>
      </c>
      <c r="DK194" s="31">
        <f>((DK$180/12)*Parts!$M$129)*3+(DK$180/12)*Parts!$M$130</f>
        <v>100.77790000000002</v>
      </c>
      <c r="DL194" s="31">
        <f>((DL$180/12)*Parts!$M$129)*3+(DL$180/12)*Parts!$M$130</f>
        <v>101.646675</v>
      </c>
      <c r="DM194" s="31">
        <f>((DM$180/12)*Parts!$M$129)*3+(DM$180/12)*Parts!$M$130</f>
        <v>102.51545000000002</v>
      </c>
      <c r="DN194" s="31">
        <f>((DN$180/12)*Parts!$M$129)*3+(DN$180/12)*Parts!$M$130</f>
        <v>103.384225</v>
      </c>
      <c r="DO194" s="31">
        <f>((DO$180/12)*Parts!$M$129)*3+(DO$180/12)*Parts!$M$130</f>
        <v>104.25300000000001</v>
      </c>
      <c r="DP194" s="31">
        <f>((DP$180/12)*Parts!$M$129)*3+(DP$180/12)*Parts!$M$130</f>
        <v>105.12177500000001</v>
      </c>
      <c r="DQ194" s="31">
        <f>((DQ$180/12)*Parts!$M$129)*3+(DQ$180/12)*Parts!$M$130</f>
        <v>105.99055000000001</v>
      </c>
      <c r="DR194" s="31">
        <f>((DR$180/12)*Parts!$M$129)*3+(DR$180/12)*Parts!$M$130</f>
        <v>106.85932500000001</v>
      </c>
      <c r="DS194" s="31">
        <f>((DS$180/12)*Parts!$M$129)*3+(DS$180/12)*Parts!$M$130</f>
        <v>107.72810000000001</v>
      </c>
      <c r="DT194" s="31">
        <f>((DT$180/12)*Parts!$M$129)*3+(DT$180/12)*Parts!$M$130</f>
        <v>108.59687500000001</v>
      </c>
      <c r="DU194" s="31">
        <f>((DU$180/12)*Parts!$M$129)*3+(DU$180/12)*Parts!$M$130</f>
        <v>109.46565000000001</v>
      </c>
      <c r="DV194" s="31">
        <f>((DV$180/12)*Parts!$M$129)*3+(DV$180/12)*Parts!$M$130</f>
        <v>110.33442500000002</v>
      </c>
      <c r="DW194" s="31">
        <f>((DW$180/12)*Parts!$M$129)*3+(DW$180/12)*Parts!$M$130</f>
        <v>111.20320000000001</v>
      </c>
      <c r="DX194" s="31">
        <f>((DX$180/12)*Parts!$M$129)*3+(DX$180/12)*Parts!$M$130</f>
        <v>112.07197500000001</v>
      </c>
      <c r="DY194" s="31">
        <f>((DY$180/12)*Parts!$M$129)*3+(DY$180/12)*Parts!$M$130</f>
        <v>112.94075000000001</v>
      </c>
      <c r="DZ194" s="31">
        <f>((DZ$180/12)*Parts!$M$129)*3+(DZ$180/12)*Parts!$M$130</f>
        <v>113.80952500000001</v>
      </c>
      <c r="EA194" s="31">
        <f>((EA$180/12)*Parts!$M$129)*3+(EA$180/12)*Parts!$M$130</f>
        <v>114.67830000000001</v>
      </c>
      <c r="EB194" s="31">
        <f>((EB$180/12)*Parts!$M$129)*3+(EB$180/12)*Parts!$M$130</f>
        <v>115.54707500000002</v>
      </c>
      <c r="EC194" s="31">
        <f>((EC$180/12)*Parts!$M$129)*3+(EC$180/12)*Parts!$M$130</f>
        <v>116.41585000000001</v>
      </c>
      <c r="ED194" s="31">
        <f>((ED$180/12)*Parts!$M$129)*3+(ED$180/12)*Parts!$M$130</f>
        <v>117.28462500000002</v>
      </c>
      <c r="EE194" s="31">
        <f>((EE$180/12)*Parts!$M$129)*3+(EE$180/12)*Parts!$M$130</f>
        <v>118.15340000000003</v>
      </c>
      <c r="EF194" s="31">
        <f>((EF$180/12)*Parts!$M$129)*3+(EF$180/12)*Parts!$M$130</f>
        <v>119.022175</v>
      </c>
      <c r="EG194" s="31">
        <f>((EG$180/12)*Parts!$M$129)*3+(EG$180/12)*Parts!$M$130</f>
        <v>119.89095000000002</v>
      </c>
      <c r="EH194" s="31">
        <f>((EH$180/12)*Parts!$M$129)*3+(EH$180/12)*Parts!$M$130</f>
        <v>120.75972500000003</v>
      </c>
      <c r="EI194" s="31">
        <f>((EI$180/12)*Parts!$M$129)*3+(EI$180/12)*Parts!$M$130</f>
        <v>121.6285</v>
      </c>
      <c r="EJ194" s="31">
        <f>((EJ$180/12)*Parts!$M$129)*3+(EJ$180/12)*Parts!$M$130</f>
        <v>122.497275</v>
      </c>
      <c r="EK194" s="31">
        <f>((EK$180/12)*Parts!$M$129)*3+(EK$180/12)*Parts!$M$130</f>
        <v>123.36605000000003</v>
      </c>
      <c r="EL194" s="31">
        <f>((EL$180/12)*Parts!$M$129)*3+(EL$180/12)*Parts!$M$130</f>
        <v>124.234825</v>
      </c>
      <c r="EM194" s="31">
        <f>((EM$180/12)*Parts!$M$129)*3+(EM$180/12)*Parts!$M$130</f>
        <v>125.10360000000001</v>
      </c>
      <c r="EN194" s="31">
        <f>((EN$180/12)*Parts!$M$129)*3+(EN$180/12)*Parts!$M$130</f>
        <v>125.97237500000004</v>
      </c>
      <c r="EO194" s="31">
        <f>((EO$180/12)*Parts!$M$129)*3+(EO$180/12)*Parts!$M$130</f>
        <v>126.84115</v>
      </c>
      <c r="EP194" s="31">
        <f>((EP$180/12)*Parts!$M$129)*3+(EP$180/12)*Parts!$M$130</f>
        <v>127.70992500000003</v>
      </c>
      <c r="EQ194" s="31">
        <f>((EQ$180/12)*Parts!$M$129)*3+(EQ$180/12)*Parts!$M$130</f>
        <v>128.57870000000003</v>
      </c>
      <c r="ER194" s="31">
        <f>((ER$180/12)*Parts!$M$129)*3+(ER$180/12)*Parts!$M$130</f>
        <v>129.447475</v>
      </c>
      <c r="ES194" s="31">
        <f>((ES$180/12)*Parts!$M$129)*3+(ES$180/12)*Parts!$M$130</f>
        <v>130.31625000000003</v>
      </c>
      <c r="ET194" s="31">
        <f>((ET$180/12)*Parts!$M$129)*3+(ET$180/12)*Parts!$M$130</f>
        <v>131.18502500000002</v>
      </c>
      <c r="EU194" s="31">
        <f>((EU$180/12)*Parts!$M$129)*3+(EU$180/12)*Parts!$M$130</f>
        <v>132.0538</v>
      </c>
      <c r="EV194" s="31">
        <f>((EV$180/12)*Parts!$M$129)*3+(EV$180/12)*Parts!$M$130</f>
        <v>132.92257499999999</v>
      </c>
      <c r="EW194" s="31">
        <f>((EW$180/12)*Parts!$M$129)*3+(EW$180/12)*Parts!$M$130</f>
        <v>133.79135000000002</v>
      </c>
      <c r="EX194" s="31">
        <f>((EX$180/12)*Parts!$M$129)*3+(EX$180/12)*Parts!$M$130</f>
        <v>134.66012499999999</v>
      </c>
      <c r="EY194" s="31">
        <f>((EY$180/12)*Parts!$M$129)*3+(EY$180/12)*Parts!$M$130</f>
        <v>135.52890000000002</v>
      </c>
      <c r="EZ194" s="31">
        <f>((EZ$180/12)*Parts!$M$129)*3+(EZ$180/12)*Parts!$M$130</f>
        <v>136.39767500000005</v>
      </c>
      <c r="FA194" s="31">
        <f>((FA$180/12)*Parts!$M$129)*3+(FA$180/12)*Parts!$M$130</f>
        <v>137.26644999999999</v>
      </c>
      <c r="FB194" s="31">
        <f>((FB$180/12)*Parts!$M$129)*3+(FB$180/12)*Parts!$M$130</f>
        <v>138.13522500000002</v>
      </c>
      <c r="FC194" s="31">
        <f>((FC$180/12)*Parts!$M$129)*3+(FC$180/12)*Parts!$M$130</f>
        <v>139.00400000000002</v>
      </c>
      <c r="FD194" s="31">
        <f>((FD$180/12)*Parts!$M$129)*3+(FD$180/12)*Parts!$M$130</f>
        <v>139.87277500000002</v>
      </c>
      <c r="FE194" s="31">
        <f>((FE$180/12)*Parts!$M$129)*3+(FE$180/12)*Parts!$M$130</f>
        <v>140.74155000000002</v>
      </c>
      <c r="FF194" s="31">
        <f>((FF$180/12)*Parts!$M$129)*3+(FF$180/12)*Parts!$M$130</f>
        <v>141.61032500000002</v>
      </c>
      <c r="FG194" s="31">
        <f>((FG$180/12)*Parts!$M$129)*3+(FG$180/12)*Parts!$M$130</f>
        <v>142.47910000000002</v>
      </c>
      <c r="FH194" s="31">
        <f>((FH$180/12)*Parts!$M$129)*3+(FH$180/12)*Parts!$M$130</f>
        <v>143.34787500000002</v>
      </c>
      <c r="FI194" s="31">
        <f>((FI$180/12)*Parts!$M$129)*3+(FI$180/12)*Parts!$M$130</f>
        <v>144.21665000000004</v>
      </c>
      <c r="FJ194" s="31">
        <f>((FJ$180/12)*Parts!$M$129)*3+(FJ$180/12)*Parts!$M$130</f>
        <v>145.08542499999999</v>
      </c>
      <c r="FK194" s="31">
        <f>((FK$180/12)*Parts!$M$129)*3+(FK$180/12)*Parts!$M$130</f>
        <v>145.95420000000001</v>
      </c>
    </row>
    <row r="195" spans="7:167" ht="18.75">
      <c r="G195" s="140"/>
      <c r="H195" s="140"/>
      <c r="I195" s="140">
        <v>39</v>
      </c>
      <c r="J195" s="140">
        <v>28.5</v>
      </c>
      <c r="K195" s="140"/>
      <c r="L195" s="140"/>
      <c r="M195" s="140"/>
      <c r="N195" s="140"/>
      <c r="O195" s="142"/>
      <c r="P195" s="140"/>
      <c r="Q195" s="140"/>
      <c r="R195" s="140"/>
      <c r="S195" s="140"/>
      <c r="T195" s="140"/>
      <c r="V195" s="142" t="s">
        <v>485</v>
      </c>
      <c r="W195" s="31">
        <f>((W$180/12)*Parts!$M$129)*4</f>
        <v>22.986400000000003</v>
      </c>
      <c r="X195" s="31">
        <f>((X$180/12)*Parts!$M$129)*4</f>
        <v>23.944166666666671</v>
      </c>
      <c r="Y195" s="31">
        <f>((Y$180/12)*Parts!$M$129)*4</f>
        <v>24.901933333333336</v>
      </c>
      <c r="Z195" s="31">
        <f>((Z$180/12)*Parts!$M$129)*4</f>
        <v>25.859700000000004</v>
      </c>
      <c r="AA195" s="31">
        <f>((AA$180/12)*Parts!$M$129)*4</f>
        <v>26.817466666666672</v>
      </c>
      <c r="AB195" s="31">
        <f>((AB$180/12)*Parts!$M$129)*4</f>
        <v>27.775233333333336</v>
      </c>
      <c r="AC195" s="31">
        <f>((AC$180/12)*Parts!$M$129)*4</f>
        <v>28.733000000000004</v>
      </c>
      <c r="AD195" s="31">
        <f>((AD$180/12)*Parts!$M$129)*4</f>
        <v>29.690766666666672</v>
      </c>
      <c r="AE195" s="31">
        <f>((AE$180/12)*Parts!$M$129)*4</f>
        <v>30.648533333333337</v>
      </c>
      <c r="AF195" s="31">
        <f>((AF$180/12)*Parts!$M$129)*4</f>
        <v>31.606300000000005</v>
      </c>
      <c r="AG195" s="31">
        <f>((AG$180/12)*Parts!$M$129)*4</f>
        <v>32.564066666666676</v>
      </c>
      <c r="AH195" s="31">
        <f>((AH$180/12)*Parts!$M$129)*4</f>
        <v>33.521833333333333</v>
      </c>
      <c r="AI195" s="31">
        <f>((AI$180/12)*Parts!$M$129)*4</f>
        <v>34.479600000000005</v>
      </c>
      <c r="AJ195" s="31">
        <f>((AJ$180/12)*Parts!$M$129)*4</f>
        <v>35.437366666666676</v>
      </c>
      <c r="AK195" s="31">
        <f>((AK$180/12)*Parts!$M$129)*4</f>
        <v>36.395133333333334</v>
      </c>
      <c r="AL195" s="31">
        <f>((AL$180/12)*Parts!$M$129)*4</f>
        <v>37.352900000000005</v>
      </c>
      <c r="AM195" s="31">
        <f>((AM$180/12)*Parts!$M$129)*4</f>
        <v>38.310666666666677</v>
      </c>
      <c r="AN195" s="31">
        <f>((AN$180/12)*Parts!$M$129)*4</f>
        <v>39.268433333333334</v>
      </c>
      <c r="AO195" s="31">
        <f>((AO$180/12)*Parts!$M$129)*4</f>
        <v>40.226200000000006</v>
      </c>
      <c r="AP195" s="31">
        <f>((AP$180/12)*Parts!$M$129)*4</f>
        <v>41.183966666666677</v>
      </c>
      <c r="AQ195" s="31">
        <f>((AQ$180/12)*Parts!$M$129)*4</f>
        <v>42.141733333333335</v>
      </c>
      <c r="AR195" s="31">
        <f>((AR$180/12)*Parts!$M$129)*4</f>
        <v>43.099500000000006</v>
      </c>
      <c r="AS195" s="31">
        <f>((AS$180/12)*Parts!$M$129)*4</f>
        <v>44.057266666666678</v>
      </c>
      <c r="AT195" s="31">
        <f>((AT$180/12)*Parts!$M$129)*4</f>
        <v>45.015033333333335</v>
      </c>
      <c r="AU195" s="31">
        <f>((AU$180/12)*Parts!$M$129)*4</f>
        <v>45.972800000000007</v>
      </c>
      <c r="AV195" s="31">
        <f>((AV$180/12)*Parts!$M$129)*4</f>
        <v>46.930566666666671</v>
      </c>
      <c r="AW195" s="31">
        <f>((AW$180/12)*Parts!$M$129)*4</f>
        <v>47.888333333333343</v>
      </c>
      <c r="AX195" s="31">
        <f>((AX$180/12)*Parts!$M$129)*4</f>
        <v>48.846100000000007</v>
      </c>
      <c r="AY195" s="31">
        <f>((AY$180/12)*Parts!$M$129)*4</f>
        <v>49.803866666666671</v>
      </c>
      <c r="AZ195" s="31">
        <f>((AZ$180/12)*Parts!$M$129)*4</f>
        <v>50.761633333333343</v>
      </c>
      <c r="BA195" s="31">
        <f>((BA$180/12)*Parts!$M$129)*4</f>
        <v>51.719400000000007</v>
      </c>
      <c r="BB195" s="31">
        <f>((BB$180/12)*Parts!$M$129)*4</f>
        <v>52.677166666666672</v>
      </c>
      <c r="BC195" s="31">
        <f>((BC$180/12)*Parts!$M$129)*4</f>
        <v>53.634933333333343</v>
      </c>
      <c r="BD195" s="31">
        <f>((BD$180/12)*Parts!$M$129)*4</f>
        <v>54.592700000000008</v>
      </c>
      <c r="BE195" s="31">
        <f>((BE$180/12)*Parts!$M$129)*4</f>
        <v>55.550466666666672</v>
      </c>
      <c r="BF195" s="31">
        <f>((BF$180/12)*Parts!$M$129)*4</f>
        <v>56.508233333333344</v>
      </c>
      <c r="BG195" s="31">
        <f>((BG$180/12)*Parts!$M$129)*4</f>
        <v>57.466000000000008</v>
      </c>
      <c r="BH195" s="31">
        <f>((BH$180/12)*Parts!$M$129)*4</f>
        <v>58.423766666666673</v>
      </c>
      <c r="BI195" s="31">
        <f>((BI$180/12)*Parts!$M$129)*4</f>
        <v>59.381533333333344</v>
      </c>
      <c r="BJ195" s="31">
        <f>((BJ$180/12)*Parts!$M$129)*4</f>
        <v>60.339300000000009</v>
      </c>
      <c r="BK195" s="31">
        <f>((BK$180/12)*Parts!$M$129)*4</f>
        <v>61.297066666666673</v>
      </c>
      <c r="BL195" s="31">
        <f>((BL$180/12)*Parts!$M$129)*4</f>
        <v>62.254833333333345</v>
      </c>
      <c r="BM195" s="31">
        <f>((BM$180/12)*Parts!$M$129)*4</f>
        <v>63.212600000000009</v>
      </c>
      <c r="BN195" s="31">
        <f>((BN$180/12)*Parts!$M$129)*4</f>
        <v>64.170366666666666</v>
      </c>
      <c r="BO195" s="31">
        <f>((BO$180/12)*Parts!$M$129)*4</f>
        <v>65.128133333333352</v>
      </c>
      <c r="BP195" s="31">
        <f>((BP$180/12)*Parts!$M$129)*4</f>
        <v>66.085900000000009</v>
      </c>
      <c r="BQ195" s="31">
        <f>((BQ$180/12)*Parts!$M$129)*4</f>
        <v>67.043666666666667</v>
      </c>
      <c r="BR195" s="31">
        <f>((BR$180/12)*Parts!$M$129)*4</f>
        <v>68.001433333333352</v>
      </c>
      <c r="BS195" s="31">
        <f>((BS$180/12)*Parts!$M$129)*4</f>
        <v>68.95920000000001</v>
      </c>
      <c r="BT195" s="31">
        <f>((BT$180/12)*Parts!$M$129)*4</f>
        <v>69.916966666666667</v>
      </c>
      <c r="BU195" s="31">
        <f>((BU$180/12)*Parts!$M$129)*4</f>
        <v>70.874733333333353</v>
      </c>
      <c r="BV195" s="31">
        <f>((BV$180/12)*Parts!$M$129)*4</f>
        <v>71.83250000000001</v>
      </c>
      <c r="BW195" s="31">
        <f>((BW$180/12)*Parts!$M$129)*4</f>
        <v>72.790266666666668</v>
      </c>
      <c r="BX195" s="31">
        <f>((BX$180/12)*Parts!$M$129)*4</f>
        <v>73.748033333333353</v>
      </c>
      <c r="BY195" s="31">
        <f>((BY$180/12)*Parts!$M$129)*4</f>
        <v>74.705800000000011</v>
      </c>
      <c r="BZ195" s="31">
        <f>((BZ$180/12)*Parts!$M$129)*4</f>
        <v>75.663566666666668</v>
      </c>
      <c r="CA195" s="31">
        <f>((CA$180/12)*Parts!$M$129)*4</f>
        <v>76.621333333333354</v>
      </c>
      <c r="CB195" s="31">
        <f>((CB$180/12)*Parts!$M$129)*4</f>
        <v>77.579100000000011</v>
      </c>
      <c r="CC195" s="31">
        <f>((CC$180/12)*Parts!$M$129)*4</f>
        <v>78.536866666666668</v>
      </c>
      <c r="CD195" s="31">
        <f>((CD$180/12)*Parts!$M$129)*4</f>
        <v>79.494633333333354</v>
      </c>
      <c r="CE195" s="31">
        <f>((CE$180/12)*Parts!$M$129)*4</f>
        <v>80.452400000000011</v>
      </c>
      <c r="CF195" s="31">
        <f>((CF$180/12)*Parts!$M$129)*4</f>
        <v>81.410166666666669</v>
      </c>
      <c r="CG195" s="31">
        <f>((CG$180/12)*Parts!$M$129)*4</f>
        <v>82.367933333333355</v>
      </c>
      <c r="CH195" s="31">
        <f>((CH$180/12)*Parts!$M$129)*4</f>
        <v>83.325700000000012</v>
      </c>
      <c r="CI195" s="31">
        <f>((CI$180/12)*Parts!$M$129)*4</f>
        <v>84.283466666666669</v>
      </c>
      <c r="CJ195" s="31">
        <f>((CJ$180/12)*Parts!$M$129)*4</f>
        <v>85.241233333333355</v>
      </c>
      <c r="CK195" s="31">
        <f>((CK$180/12)*Parts!$M$129)*4</f>
        <v>86.199000000000012</v>
      </c>
      <c r="CL195" s="31">
        <f>((CL$180/12)*Parts!$M$129)*4</f>
        <v>87.15676666666667</v>
      </c>
      <c r="CM195" s="31">
        <f>((CM$180/12)*Parts!$M$129)*4</f>
        <v>88.114533333333355</v>
      </c>
      <c r="CN195" s="31">
        <f>((CN$180/12)*Parts!$M$129)*4</f>
        <v>89.072300000000013</v>
      </c>
      <c r="CO195" s="31">
        <f>((CO$180/12)*Parts!$M$129)*4</f>
        <v>90.03006666666667</v>
      </c>
      <c r="CP195" s="31">
        <f>((CP$180/12)*Parts!$M$129)*4</f>
        <v>90.987833333333356</v>
      </c>
      <c r="CQ195" s="31">
        <f>((CQ$180/12)*Parts!$M$129)*4</f>
        <v>91.945600000000013</v>
      </c>
      <c r="CR195" s="31">
        <f>((CR$180/12)*Parts!$M$129)*4</f>
        <v>92.903366666666685</v>
      </c>
      <c r="CS195" s="31">
        <f>((CS$180/12)*Parts!$M$129)*4</f>
        <v>93.861133333333342</v>
      </c>
      <c r="CT195" s="31">
        <f>((CT$180/12)*Parts!$M$129)*4</f>
        <v>94.818900000000014</v>
      </c>
      <c r="CU195" s="31">
        <f>((CU$180/12)*Parts!$M$129)*4</f>
        <v>95.776666666666685</v>
      </c>
      <c r="CV195" s="31">
        <f>((CV$180/12)*Parts!$M$129)*4</f>
        <v>96.734433333333342</v>
      </c>
      <c r="CW195" s="31">
        <f>((CW$180/12)*Parts!$M$129)*4</f>
        <v>97.692200000000014</v>
      </c>
      <c r="CX195" s="31">
        <f>((CX$180/12)*Parts!$M$129)*4</f>
        <v>98.649966666666685</v>
      </c>
      <c r="CY195" s="31">
        <f>((CY$180/12)*Parts!$M$129)*4</f>
        <v>99.607733333333343</v>
      </c>
      <c r="CZ195" s="31">
        <f>((CZ$180/12)*Parts!$M$129)*4</f>
        <v>100.56550000000001</v>
      </c>
      <c r="DA195" s="31">
        <f>((DA$180/12)*Parts!$M$129)*4</f>
        <v>101.52326666666669</v>
      </c>
      <c r="DB195" s="31">
        <f>((DB$180/12)*Parts!$M$129)*4</f>
        <v>102.48103333333334</v>
      </c>
      <c r="DC195" s="31">
        <f>((DC$180/12)*Parts!$M$129)*4</f>
        <v>103.43880000000001</v>
      </c>
      <c r="DD195" s="31">
        <f>((DD$180/12)*Parts!$M$129)*4</f>
        <v>104.39656666666669</v>
      </c>
      <c r="DE195" s="31">
        <f>((DE$180/12)*Parts!$M$129)*4</f>
        <v>105.35433333333334</v>
      </c>
      <c r="DF195" s="31">
        <f>((DF$180/12)*Parts!$M$129)*4</f>
        <v>106.31210000000002</v>
      </c>
      <c r="DG195" s="31">
        <f>((DG$180/12)*Parts!$M$129)*4</f>
        <v>107.26986666666669</v>
      </c>
      <c r="DH195" s="31">
        <f>((DH$180/12)*Parts!$M$129)*4</f>
        <v>108.22763333333334</v>
      </c>
      <c r="DI195" s="31">
        <f>((DI$180/12)*Parts!$M$129)*4</f>
        <v>109.18540000000002</v>
      </c>
      <c r="DJ195" s="31">
        <f>((DJ$180/12)*Parts!$M$129)*4</f>
        <v>110.14316666666669</v>
      </c>
      <c r="DK195" s="31">
        <f>((DK$180/12)*Parts!$M$129)*4</f>
        <v>111.10093333333334</v>
      </c>
      <c r="DL195" s="31">
        <f>((DL$180/12)*Parts!$M$129)*4</f>
        <v>112.05870000000002</v>
      </c>
      <c r="DM195" s="31">
        <f>((DM$180/12)*Parts!$M$129)*4</f>
        <v>113.01646666666669</v>
      </c>
      <c r="DN195" s="31">
        <f>((DN$180/12)*Parts!$M$129)*4</f>
        <v>113.97423333333334</v>
      </c>
      <c r="DO195" s="31">
        <f>((DO$180/12)*Parts!$M$129)*4</f>
        <v>114.93200000000002</v>
      </c>
      <c r="DP195" s="31">
        <f>((DP$180/12)*Parts!$M$129)*4</f>
        <v>115.88976666666669</v>
      </c>
      <c r="DQ195" s="31">
        <f>((DQ$180/12)*Parts!$M$129)*4</f>
        <v>116.84753333333335</v>
      </c>
      <c r="DR195" s="31">
        <f>((DR$180/12)*Parts!$M$129)*4</f>
        <v>117.80530000000002</v>
      </c>
      <c r="DS195" s="31">
        <f>((DS$180/12)*Parts!$M$129)*4</f>
        <v>118.76306666666669</v>
      </c>
      <c r="DT195" s="31">
        <f>((DT$180/12)*Parts!$M$129)*4</f>
        <v>119.72083333333335</v>
      </c>
      <c r="DU195" s="31">
        <f>((DU$180/12)*Parts!$M$129)*4</f>
        <v>120.67860000000002</v>
      </c>
      <c r="DV195" s="31">
        <f>((DV$180/12)*Parts!$M$129)*4</f>
        <v>121.63636666666669</v>
      </c>
      <c r="DW195" s="31">
        <f>((DW$180/12)*Parts!$M$129)*4</f>
        <v>122.59413333333335</v>
      </c>
      <c r="DX195" s="31">
        <f>((DX$180/12)*Parts!$M$129)*4</f>
        <v>123.55190000000002</v>
      </c>
      <c r="DY195" s="31">
        <f>((DY$180/12)*Parts!$M$129)*4</f>
        <v>124.50966666666669</v>
      </c>
      <c r="DZ195" s="31">
        <f>((DZ$180/12)*Parts!$M$129)*4</f>
        <v>125.46743333333335</v>
      </c>
      <c r="EA195" s="31">
        <f>((EA$180/12)*Parts!$M$129)*4</f>
        <v>126.42520000000002</v>
      </c>
      <c r="EB195" s="31">
        <f>((EB$180/12)*Parts!$M$129)*4</f>
        <v>127.38296666666669</v>
      </c>
      <c r="EC195" s="31">
        <f>((EC$180/12)*Parts!$M$129)*4</f>
        <v>128.34073333333333</v>
      </c>
      <c r="ED195" s="31">
        <f>((ED$180/12)*Parts!$M$129)*4</f>
        <v>129.29850000000002</v>
      </c>
      <c r="EE195" s="31">
        <f>((EE$180/12)*Parts!$M$129)*4</f>
        <v>130.2562666666667</v>
      </c>
      <c r="EF195" s="31">
        <f>((EF$180/12)*Parts!$M$129)*4</f>
        <v>131.21403333333333</v>
      </c>
      <c r="EG195" s="31">
        <f>((EG$180/12)*Parts!$M$129)*4</f>
        <v>132.17180000000002</v>
      </c>
      <c r="EH195" s="31">
        <f>((EH$180/12)*Parts!$M$129)*4</f>
        <v>133.1295666666667</v>
      </c>
      <c r="EI195" s="31">
        <f>((EI$180/12)*Parts!$M$129)*4</f>
        <v>134.08733333333333</v>
      </c>
      <c r="EJ195" s="31">
        <f>((EJ$180/12)*Parts!$M$129)*4</f>
        <v>135.04510000000002</v>
      </c>
      <c r="EK195" s="31">
        <f>((EK$180/12)*Parts!$M$129)*4</f>
        <v>136.0028666666667</v>
      </c>
      <c r="EL195" s="31">
        <f>((EL$180/12)*Parts!$M$129)*4</f>
        <v>136.96063333333333</v>
      </c>
      <c r="EM195" s="31">
        <f>((EM$180/12)*Parts!$M$129)*4</f>
        <v>137.91840000000002</v>
      </c>
      <c r="EN195" s="31">
        <f>((EN$180/12)*Parts!$M$129)*4</f>
        <v>138.87616666666671</v>
      </c>
      <c r="EO195" s="31">
        <f>((EO$180/12)*Parts!$M$129)*4</f>
        <v>139.83393333333333</v>
      </c>
      <c r="EP195" s="31">
        <f>((EP$180/12)*Parts!$M$129)*4</f>
        <v>140.79170000000002</v>
      </c>
      <c r="EQ195" s="31">
        <f>((EQ$180/12)*Parts!$M$129)*4</f>
        <v>141.74946666666671</v>
      </c>
      <c r="ER195" s="31">
        <f>((ER$180/12)*Parts!$M$129)*4</f>
        <v>142.70723333333333</v>
      </c>
      <c r="ES195" s="31">
        <f>((ES$180/12)*Parts!$M$129)*4</f>
        <v>143.66500000000002</v>
      </c>
      <c r="ET195" s="31">
        <f>((ET$180/12)*Parts!$M$129)*4</f>
        <v>144.62276666666671</v>
      </c>
      <c r="EU195" s="31">
        <f>((EU$180/12)*Parts!$M$129)*4</f>
        <v>145.58053333333334</v>
      </c>
      <c r="EV195" s="31">
        <f>((EV$180/12)*Parts!$M$129)*4</f>
        <v>146.53830000000002</v>
      </c>
      <c r="EW195" s="31">
        <f>((EW$180/12)*Parts!$M$129)*4</f>
        <v>147.49606666666671</v>
      </c>
      <c r="EX195" s="31">
        <f>((EX$180/12)*Parts!$M$129)*4</f>
        <v>148.45383333333334</v>
      </c>
      <c r="EY195" s="31">
        <f>((EY$180/12)*Parts!$M$129)*4</f>
        <v>149.41160000000002</v>
      </c>
      <c r="EZ195" s="31">
        <f>((EZ$180/12)*Parts!$M$129)*4</f>
        <v>150.36936666666671</v>
      </c>
      <c r="FA195" s="31">
        <f>((FA$180/12)*Parts!$M$129)*4</f>
        <v>151.32713333333334</v>
      </c>
      <c r="FB195" s="31">
        <f>((FB$180/12)*Parts!$M$129)*4</f>
        <v>152.28490000000002</v>
      </c>
      <c r="FC195" s="31">
        <f>((FC$180/12)*Parts!$M$129)*4</f>
        <v>153.24266666666671</v>
      </c>
      <c r="FD195" s="31">
        <f>((FD$180/12)*Parts!$M$129)*4</f>
        <v>154.20043333333334</v>
      </c>
      <c r="FE195" s="31">
        <f>((FE$180/12)*Parts!$M$129)*4</f>
        <v>155.15820000000002</v>
      </c>
      <c r="FF195" s="31">
        <f>((FF$180/12)*Parts!$M$129)*4</f>
        <v>156.11596666666671</v>
      </c>
      <c r="FG195" s="31">
        <f>((FG$180/12)*Parts!$M$129)*4</f>
        <v>157.07373333333334</v>
      </c>
      <c r="FH195" s="31">
        <f>((FH$180/12)*Parts!$M$129)*4</f>
        <v>158.03150000000002</v>
      </c>
      <c r="FI195" s="31">
        <f>((FI$180/12)*Parts!$M$129)*4</f>
        <v>158.98926666666671</v>
      </c>
      <c r="FJ195" s="31">
        <f>((FJ$180/12)*Parts!$M$129)*4</f>
        <v>159.94703333333334</v>
      </c>
      <c r="FK195" s="31">
        <f>((FK$180/12)*Parts!$M$129)*4</f>
        <v>160.90480000000002</v>
      </c>
    </row>
    <row r="196" spans="7:167" ht="18.75">
      <c r="G196" s="140"/>
      <c r="H196" s="140"/>
      <c r="I196" s="140">
        <v>40</v>
      </c>
      <c r="J196" s="140">
        <v>29</v>
      </c>
      <c r="K196" s="140"/>
      <c r="L196" s="140"/>
      <c r="M196" s="140"/>
      <c r="N196" s="140"/>
      <c r="O196" s="142"/>
      <c r="P196" s="140"/>
      <c r="Q196" s="140"/>
      <c r="R196" s="140"/>
      <c r="S196" s="140"/>
      <c r="T196" s="140"/>
      <c r="V196" s="142" t="s">
        <v>486</v>
      </c>
      <c r="W196" s="31">
        <f>((W$180/12)*Parts!$M$128)*2+((W$180/12)*Parts!$M$129)*3</f>
        <v>22.809400000000004</v>
      </c>
      <c r="X196" s="31">
        <f>((X$180/12)*Parts!$M$128)*2+((X$180/12)*Parts!$M$129)*3</f>
        <v>23.759791666666672</v>
      </c>
      <c r="Y196" s="31">
        <f>((Y$180/12)*Parts!$M$128)*2+((Y$180/12)*Parts!$M$129)*3</f>
        <v>24.710183333333337</v>
      </c>
      <c r="Z196" s="31">
        <f>((Z$180/12)*Parts!$M$128)*2+((Z$180/12)*Parts!$M$129)*3</f>
        <v>25.660575000000001</v>
      </c>
      <c r="AA196" s="31">
        <f>((AA$180/12)*Parts!$M$128)*2+((AA$180/12)*Parts!$M$129)*3</f>
        <v>26.61096666666667</v>
      </c>
      <c r="AB196" s="31">
        <f>((AB$180/12)*Parts!$M$128)*2+((AB$180/12)*Parts!$M$129)*3</f>
        <v>27.561358333333338</v>
      </c>
      <c r="AC196" s="31">
        <f>((AC$180/12)*Parts!$M$128)*2+((AC$180/12)*Parts!$M$129)*3</f>
        <v>28.511750000000003</v>
      </c>
      <c r="AD196" s="31">
        <f>((AD$180/12)*Parts!$M$128)*2+((AD$180/12)*Parts!$M$129)*3</f>
        <v>29.462141666666671</v>
      </c>
      <c r="AE196" s="31">
        <f>((AE$180/12)*Parts!$M$128)*2+((AE$180/12)*Parts!$M$129)*3</f>
        <v>30.412533333333336</v>
      </c>
      <c r="AF196" s="31">
        <f>((AF$180/12)*Parts!$M$128)*2+((AF$180/12)*Parts!$M$129)*3</f>
        <v>31.362925000000004</v>
      </c>
      <c r="AG196" s="31">
        <f>((AG$180/12)*Parts!$M$128)*2+((AG$180/12)*Parts!$M$129)*3</f>
        <v>32.313316666666672</v>
      </c>
      <c r="AH196" s="31">
        <f>((AH$180/12)*Parts!$M$128)*2+((AH$180/12)*Parts!$M$129)*3</f>
        <v>33.263708333333334</v>
      </c>
      <c r="AI196" s="31">
        <f>((AI$180/12)*Parts!$M$128)*2+((AI$180/12)*Parts!$M$129)*3</f>
        <v>34.214100000000002</v>
      </c>
      <c r="AJ196" s="31">
        <f>((AJ$180/12)*Parts!$M$128)*2+((AJ$180/12)*Parts!$M$129)*3</f>
        <v>35.164491666666677</v>
      </c>
      <c r="AK196" s="31">
        <f>((AK$180/12)*Parts!$M$128)*2+((AK$180/12)*Parts!$M$129)*3</f>
        <v>36.114883333333331</v>
      </c>
      <c r="AL196" s="31">
        <f>((AL$180/12)*Parts!$M$128)*2+((AL$180/12)*Parts!$M$129)*3</f>
        <v>37.065275000000007</v>
      </c>
      <c r="AM196" s="31">
        <f>((AM$180/12)*Parts!$M$128)*2+((AM$180/12)*Parts!$M$129)*3</f>
        <v>38.015666666666675</v>
      </c>
      <c r="AN196" s="31">
        <f>((AN$180/12)*Parts!$M$128)*2+((AN$180/12)*Parts!$M$129)*3</f>
        <v>38.966058333333336</v>
      </c>
      <c r="AO196" s="31">
        <f>((AO$180/12)*Parts!$M$128)*2+((AO$180/12)*Parts!$M$129)*3</f>
        <v>39.916450000000005</v>
      </c>
      <c r="AP196" s="31">
        <f>((AP$180/12)*Parts!$M$128)*2+((AP$180/12)*Parts!$M$129)*3</f>
        <v>40.866841666666673</v>
      </c>
      <c r="AQ196" s="31">
        <f>((AQ$180/12)*Parts!$M$128)*2+((AQ$180/12)*Parts!$M$129)*3</f>
        <v>41.817233333333334</v>
      </c>
      <c r="AR196" s="31">
        <f>((AR$180/12)*Parts!$M$128)*2+((AR$180/12)*Parts!$M$129)*3</f>
        <v>42.76762500000001</v>
      </c>
      <c r="AS196" s="31">
        <f>((AS$180/12)*Parts!$M$128)*2+((AS$180/12)*Parts!$M$129)*3</f>
        <v>43.718016666666671</v>
      </c>
      <c r="AT196" s="31">
        <f>((AT$180/12)*Parts!$M$128)*2+((AT$180/12)*Parts!$M$129)*3</f>
        <v>44.668408333333332</v>
      </c>
      <c r="AU196" s="31">
        <f>((AU$180/12)*Parts!$M$128)*2+((AU$180/12)*Parts!$M$129)*3</f>
        <v>45.618800000000007</v>
      </c>
      <c r="AV196" s="31">
        <f>((AV$180/12)*Parts!$M$128)*2+((AV$180/12)*Parts!$M$129)*3</f>
        <v>46.569191666666669</v>
      </c>
      <c r="AW196" s="31">
        <f>((AW$180/12)*Parts!$M$128)*2+((AW$180/12)*Parts!$M$129)*3</f>
        <v>47.519583333333344</v>
      </c>
      <c r="AX196" s="31">
        <f>((AX$180/12)*Parts!$M$128)*2+((AX$180/12)*Parts!$M$129)*3</f>
        <v>48.469975000000005</v>
      </c>
      <c r="AY196" s="31">
        <f>((AY$180/12)*Parts!$M$128)*2+((AY$180/12)*Parts!$M$129)*3</f>
        <v>49.420366666666673</v>
      </c>
      <c r="AZ196" s="31">
        <f>((AZ$180/12)*Parts!$M$128)*2+((AZ$180/12)*Parts!$M$129)*3</f>
        <v>50.370758333333342</v>
      </c>
      <c r="BA196" s="31">
        <f>((BA$180/12)*Parts!$M$128)*2+((BA$180/12)*Parts!$M$129)*3</f>
        <v>51.321150000000003</v>
      </c>
      <c r="BB196" s="31">
        <f>((BB$180/12)*Parts!$M$128)*2+((BB$180/12)*Parts!$M$129)*3</f>
        <v>52.271541666666671</v>
      </c>
      <c r="BC196" s="31">
        <f>((BC$180/12)*Parts!$M$128)*2+((BC$180/12)*Parts!$M$129)*3</f>
        <v>53.22193333333334</v>
      </c>
      <c r="BD196" s="31">
        <f>((BD$180/12)*Parts!$M$128)*2+((BD$180/12)*Parts!$M$129)*3</f>
        <v>54.172325000000008</v>
      </c>
      <c r="BE196" s="31">
        <f>((BE$180/12)*Parts!$M$128)*2+((BE$180/12)*Parts!$M$129)*3</f>
        <v>55.122716666666676</v>
      </c>
      <c r="BF196" s="31">
        <f>((BF$180/12)*Parts!$M$128)*2+((BF$180/12)*Parts!$M$129)*3</f>
        <v>56.073108333333337</v>
      </c>
      <c r="BG196" s="31">
        <f>((BG$180/12)*Parts!$M$128)*2+((BG$180/12)*Parts!$M$129)*3</f>
        <v>57.023500000000006</v>
      </c>
      <c r="BH196" s="31">
        <f>((BH$180/12)*Parts!$M$128)*2+((BH$180/12)*Parts!$M$129)*3</f>
        <v>57.973891666666674</v>
      </c>
      <c r="BI196" s="31">
        <f>((BI$180/12)*Parts!$M$128)*2+((BI$180/12)*Parts!$M$129)*3</f>
        <v>58.924283333333342</v>
      </c>
      <c r="BJ196" s="31">
        <f>((BJ$180/12)*Parts!$M$128)*2+((BJ$180/12)*Parts!$M$129)*3</f>
        <v>59.874675000000011</v>
      </c>
      <c r="BK196" s="31">
        <f>((BK$180/12)*Parts!$M$128)*2+((BK$180/12)*Parts!$M$129)*3</f>
        <v>60.825066666666672</v>
      </c>
      <c r="BL196" s="31">
        <f>((BL$180/12)*Parts!$M$128)*2+((BL$180/12)*Parts!$M$129)*3</f>
        <v>61.77545833333334</v>
      </c>
      <c r="BM196" s="31">
        <f>((BM$180/12)*Parts!$M$128)*2+((BM$180/12)*Parts!$M$129)*3</f>
        <v>62.725850000000008</v>
      </c>
      <c r="BN196" s="31">
        <f>((BN$180/12)*Parts!$M$128)*2+((BN$180/12)*Parts!$M$129)*3</f>
        <v>63.67624166666667</v>
      </c>
      <c r="BO196" s="31">
        <f>((BO$180/12)*Parts!$M$128)*2+((BO$180/12)*Parts!$M$129)*3</f>
        <v>64.626633333333345</v>
      </c>
      <c r="BP196" s="31">
        <f>((BP$180/12)*Parts!$M$128)*2+((BP$180/12)*Parts!$M$129)*3</f>
        <v>65.577025000000006</v>
      </c>
      <c r="BQ196" s="31">
        <f>((BQ$180/12)*Parts!$M$128)*2+((BQ$180/12)*Parts!$M$129)*3</f>
        <v>66.527416666666667</v>
      </c>
      <c r="BR196" s="31">
        <f>((BR$180/12)*Parts!$M$128)*2+((BR$180/12)*Parts!$M$129)*3</f>
        <v>67.477808333333343</v>
      </c>
      <c r="BS196" s="31">
        <f>((BS$180/12)*Parts!$M$128)*2+((BS$180/12)*Parts!$M$129)*3</f>
        <v>68.428200000000004</v>
      </c>
      <c r="BT196" s="31">
        <f>((BT$180/12)*Parts!$M$128)*2+((BT$180/12)*Parts!$M$129)*3</f>
        <v>69.378591666666665</v>
      </c>
      <c r="BU196" s="31">
        <f>((BU$180/12)*Parts!$M$128)*2+((BU$180/12)*Parts!$M$129)*3</f>
        <v>70.328983333333355</v>
      </c>
      <c r="BV196" s="31">
        <f>((BV$180/12)*Parts!$M$128)*2+((BV$180/12)*Parts!$M$129)*3</f>
        <v>71.279375000000016</v>
      </c>
      <c r="BW196" s="31">
        <f>((BW$180/12)*Parts!$M$128)*2+((BW$180/12)*Parts!$M$129)*3</f>
        <v>72.229766666666663</v>
      </c>
      <c r="BX196" s="31">
        <f>((BX$180/12)*Parts!$M$128)*2+((BX$180/12)*Parts!$M$129)*3</f>
        <v>73.180158333333353</v>
      </c>
      <c r="BY196" s="31">
        <f>((BY$180/12)*Parts!$M$128)*2+((BY$180/12)*Parts!$M$129)*3</f>
        <v>74.130550000000014</v>
      </c>
      <c r="BZ196" s="31">
        <f>((BZ$180/12)*Parts!$M$128)*2+((BZ$180/12)*Parts!$M$129)*3</f>
        <v>75.080941666666661</v>
      </c>
      <c r="CA196" s="31">
        <f>((CA$180/12)*Parts!$M$128)*2+((CA$180/12)*Parts!$M$129)*3</f>
        <v>76.03133333333335</v>
      </c>
      <c r="CB196" s="31">
        <f>((CB$180/12)*Parts!$M$128)*2+((CB$180/12)*Parts!$M$129)*3</f>
        <v>76.981725000000012</v>
      </c>
      <c r="CC196" s="31">
        <f>((CC$180/12)*Parts!$M$128)*2+((CC$180/12)*Parts!$M$129)*3</f>
        <v>77.932116666666673</v>
      </c>
      <c r="CD196" s="31">
        <f>((CD$180/12)*Parts!$M$128)*2+((CD$180/12)*Parts!$M$129)*3</f>
        <v>78.882508333333348</v>
      </c>
      <c r="CE196" s="31">
        <f>((CE$180/12)*Parts!$M$128)*2+((CE$180/12)*Parts!$M$129)*3</f>
        <v>79.832900000000009</v>
      </c>
      <c r="CF196" s="31">
        <f>((CF$180/12)*Parts!$M$128)*2+((CF$180/12)*Parts!$M$129)*3</f>
        <v>80.78329166666667</v>
      </c>
      <c r="CG196" s="31">
        <f>((CG$180/12)*Parts!$M$128)*2+((CG$180/12)*Parts!$M$129)*3</f>
        <v>81.733683333333346</v>
      </c>
      <c r="CH196" s="31">
        <f>((CH$180/12)*Parts!$M$128)*2+((CH$180/12)*Parts!$M$129)*3</f>
        <v>82.684075000000007</v>
      </c>
      <c r="CI196" s="31">
        <f>((CI$180/12)*Parts!$M$128)*2+((CI$180/12)*Parts!$M$129)*3</f>
        <v>83.634466666666668</v>
      </c>
      <c r="CJ196" s="31">
        <f>((CJ$180/12)*Parts!$M$128)*2+((CJ$180/12)*Parts!$M$129)*3</f>
        <v>84.584858333333358</v>
      </c>
      <c r="CK196" s="31">
        <f>((CK$180/12)*Parts!$M$128)*2+((CK$180/12)*Parts!$M$129)*3</f>
        <v>85.535250000000019</v>
      </c>
      <c r="CL196" s="31">
        <f>((CL$180/12)*Parts!$M$128)*2+((CL$180/12)*Parts!$M$129)*3</f>
        <v>86.485641666666666</v>
      </c>
      <c r="CM196" s="31">
        <f>((CM$180/12)*Parts!$M$128)*2+((CM$180/12)*Parts!$M$129)*3</f>
        <v>87.436033333333341</v>
      </c>
      <c r="CN196" s="31">
        <f>((CN$180/12)*Parts!$M$128)*2+((CN$180/12)*Parts!$M$129)*3</f>
        <v>88.386425000000003</v>
      </c>
      <c r="CO196" s="31">
        <f>((CO$180/12)*Parts!$M$128)*2+((CO$180/12)*Parts!$M$129)*3</f>
        <v>89.336816666666664</v>
      </c>
      <c r="CP196" s="31">
        <f>((CP$180/12)*Parts!$M$128)*2+((CP$180/12)*Parts!$M$129)*3</f>
        <v>90.287208333333353</v>
      </c>
      <c r="CQ196" s="31">
        <f>((CQ$180/12)*Parts!$M$128)*2+((CQ$180/12)*Parts!$M$129)*3</f>
        <v>91.237600000000015</v>
      </c>
      <c r="CR196" s="31">
        <f>((CR$180/12)*Parts!$M$128)*2+((CR$180/12)*Parts!$M$129)*3</f>
        <v>92.18799166666669</v>
      </c>
      <c r="CS196" s="31">
        <f>((CS$180/12)*Parts!$M$128)*2+((CS$180/12)*Parts!$M$129)*3</f>
        <v>93.138383333333337</v>
      </c>
      <c r="CT196" s="31">
        <f>((CT$180/12)*Parts!$M$128)*2+((CT$180/12)*Parts!$M$129)*3</f>
        <v>94.088775000000027</v>
      </c>
      <c r="CU196" s="31">
        <f>((CU$180/12)*Parts!$M$128)*2+((CU$180/12)*Parts!$M$129)*3</f>
        <v>95.039166666666688</v>
      </c>
      <c r="CV196" s="31">
        <f>((CV$180/12)*Parts!$M$128)*2+((CV$180/12)*Parts!$M$129)*3</f>
        <v>95.989558333333335</v>
      </c>
      <c r="CW196" s="31">
        <f>((CW$180/12)*Parts!$M$128)*2+((CW$180/12)*Parts!$M$129)*3</f>
        <v>96.93995000000001</v>
      </c>
      <c r="CX196" s="31">
        <f>((CX$180/12)*Parts!$M$128)*2+((CX$180/12)*Parts!$M$129)*3</f>
        <v>97.890341666666686</v>
      </c>
      <c r="CY196" s="31">
        <f>((CY$180/12)*Parts!$M$128)*2+((CY$180/12)*Parts!$M$129)*3</f>
        <v>98.840733333333347</v>
      </c>
      <c r="CZ196" s="31">
        <f>((CZ$180/12)*Parts!$M$128)*2+((CZ$180/12)*Parts!$M$129)*3</f>
        <v>99.791125000000008</v>
      </c>
      <c r="DA196" s="31">
        <f>((DA$180/12)*Parts!$M$128)*2+((DA$180/12)*Parts!$M$129)*3</f>
        <v>100.74151666666668</v>
      </c>
      <c r="DB196" s="31">
        <f>((DB$180/12)*Parts!$M$128)*2+((DB$180/12)*Parts!$M$129)*3</f>
        <v>101.69190833333334</v>
      </c>
      <c r="DC196" s="31">
        <f>((DC$180/12)*Parts!$M$128)*2+((DC$180/12)*Parts!$M$129)*3</f>
        <v>102.64230000000001</v>
      </c>
      <c r="DD196" s="31">
        <f>((DD$180/12)*Parts!$M$128)*2+((DD$180/12)*Parts!$M$129)*3</f>
        <v>103.5926916666667</v>
      </c>
      <c r="DE196" s="31">
        <f>((DE$180/12)*Parts!$M$128)*2+((DE$180/12)*Parts!$M$129)*3</f>
        <v>104.54308333333334</v>
      </c>
      <c r="DF196" s="31">
        <f>((DF$180/12)*Parts!$M$128)*2+((DF$180/12)*Parts!$M$129)*3</f>
        <v>105.49347500000002</v>
      </c>
      <c r="DG196" s="31">
        <f>((DG$180/12)*Parts!$M$128)*2+((DG$180/12)*Parts!$M$129)*3</f>
        <v>106.44386666666668</v>
      </c>
      <c r="DH196" s="31">
        <f>((DH$180/12)*Parts!$M$128)*2+((DH$180/12)*Parts!$M$129)*3</f>
        <v>107.39425833333334</v>
      </c>
      <c r="DI196" s="31">
        <f>((DI$180/12)*Parts!$M$128)*2+((DI$180/12)*Parts!$M$129)*3</f>
        <v>108.34465000000002</v>
      </c>
      <c r="DJ196" s="31">
        <f>((DJ$180/12)*Parts!$M$128)*2+((DJ$180/12)*Parts!$M$129)*3</f>
        <v>109.29504166666669</v>
      </c>
      <c r="DK196" s="31">
        <f>((DK$180/12)*Parts!$M$128)*2+((DK$180/12)*Parts!$M$129)*3</f>
        <v>110.24543333333335</v>
      </c>
      <c r="DL196" s="31">
        <f>((DL$180/12)*Parts!$M$128)*2+((DL$180/12)*Parts!$M$129)*3</f>
        <v>111.19582500000001</v>
      </c>
      <c r="DM196" s="31">
        <f>((DM$180/12)*Parts!$M$128)*2+((DM$180/12)*Parts!$M$129)*3</f>
        <v>112.14621666666667</v>
      </c>
      <c r="DN196" s="31">
        <f>((DN$180/12)*Parts!$M$128)*2+((DN$180/12)*Parts!$M$129)*3</f>
        <v>113.09660833333334</v>
      </c>
      <c r="DO196" s="31">
        <f>((DO$180/12)*Parts!$M$128)*2+((DO$180/12)*Parts!$M$129)*3</f>
        <v>114.04700000000001</v>
      </c>
      <c r="DP196" s="31">
        <f>((DP$180/12)*Parts!$M$128)*2+((DP$180/12)*Parts!$M$129)*3</f>
        <v>114.99739166666669</v>
      </c>
      <c r="DQ196" s="31">
        <f>((DQ$180/12)*Parts!$M$128)*2+((DQ$180/12)*Parts!$M$129)*3</f>
        <v>115.94778333333335</v>
      </c>
      <c r="DR196" s="31">
        <f>((DR$180/12)*Parts!$M$128)*2+((DR$180/12)*Parts!$M$129)*3</f>
        <v>116.89817500000002</v>
      </c>
      <c r="DS196" s="31">
        <f>((DS$180/12)*Parts!$M$128)*2+((DS$180/12)*Parts!$M$129)*3</f>
        <v>117.84856666666668</v>
      </c>
      <c r="DT196" s="31">
        <f>((DT$180/12)*Parts!$M$128)*2+((DT$180/12)*Parts!$M$129)*3</f>
        <v>118.79895833333333</v>
      </c>
      <c r="DU196" s="31">
        <f>((DU$180/12)*Parts!$M$128)*2+((DU$180/12)*Parts!$M$129)*3</f>
        <v>119.74935000000002</v>
      </c>
      <c r="DV196" s="31">
        <f>((DV$180/12)*Parts!$M$128)*2+((DV$180/12)*Parts!$M$129)*3</f>
        <v>120.69974166666668</v>
      </c>
      <c r="DW196" s="31">
        <f>((DW$180/12)*Parts!$M$128)*2+((DW$180/12)*Parts!$M$129)*3</f>
        <v>121.65013333333334</v>
      </c>
      <c r="DX196" s="31">
        <f>((DX$180/12)*Parts!$M$128)*2+((DX$180/12)*Parts!$M$129)*3</f>
        <v>122.600525</v>
      </c>
      <c r="DY196" s="31">
        <f>((DY$180/12)*Parts!$M$128)*2+((DY$180/12)*Parts!$M$129)*3</f>
        <v>123.55091666666668</v>
      </c>
      <c r="DZ196" s="31">
        <f>((DZ$180/12)*Parts!$M$128)*2+((DZ$180/12)*Parts!$M$129)*3</f>
        <v>124.50130833333334</v>
      </c>
      <c r="EA196" s="31">
        <f>((EA$180/12)*Parts!$M$128)*2+((EA$180/12)*Parts!$M$129)*3</f>
        <v>125.45170000000002</v>
      </c>
      <c r="EB196" s="31">
        <f>((EB$180/12)*Parts!$M$128)*2+((EB$180/12)*Parts!$M$129)*3</f>
        <v>126.40209166666669</v>
      </c>
      <c r="EC196" s="31">
        <f>((EC$180/12)*Parts!$M$128)*2+((EC$180/12)*Parts!$M$129)*3</f>
        <v>127.35248333333334</v>
      </c>
      <c r="ED196" s="31">
        <f>((ED$180/12)*Parts!$M$128)*2+((ED$180/12)*Parts!$M$129)*3</f>
        <v>128.30287500000003</v>
      </c>
      <c r="EE196" s="31">
        <f>((EE$180/12)*Parts!$M$128)*2+((EE$180/12)*Parts!$M$129)*3</f>
        <v>129.25326666666669</v>
      </c>
      <c r="EF196" s="31">
        <f>((EF$180/12)*Parts!$M$128)*2+((EF$180/12)*Parts!$M$129)*3</f>
        <v>130.20365833333335</v>
      </c>
      <c r="EG196" s="31">
        <f>((EG$180/12)*Parts!$M$128)*2+((EG$180/12)*Parts!$M$129)*3</f>
        <v>131.15405000000001</v>
      </c>
      <c r="EH196" s="31">
        <f>((EH$180/12)*Parts!$M$128)*2+((EH$180/12)*Parts!$M$129)*3</f>
        <v>132.1044416666667</v>
      </c>
      <c r="EI196" s="31">
        <f>((EI$180/12)*Parts!$M$128)*2+((EI$180/12)*Parts!$M$129)*3</f>
        <v>133.05483333333333</v>
      </c>
      <c r="EJ196" s="31">
        <f>((EJ$180/12)*Parts!$M$128)*2+((EJ$180/12)*Parts!$M$129)*3</f>
        <v>134.005225</v>
      </c>
      <c r="EK196" s="31">
        <f>((EK$180/12)*Parts!$M$128)*2+((EK$180/12)*Parts!$M$129)*3</f>
        <v>134.95561666666669</v>
      </c>
      <c r="EL196" s="31">
        <f>((EL$180/12)*Parts!$M$128)*2+((EL$180/12)*Parts!$M$129)*3</f>
        <v>135.90600833333332</v>
      </c>
      <c r="EM196" s="31">
        <f>((EM$180/12)*Parts!$M$128)*2+((EM$180/12)*Parts!$M$129)*3</f>
        <v>136.85640000000001</v>
      </c>
      <c r="EN196" s="31">
        <f>((EN$180/12)*Parts!$M$128)*2+((EN$180/12)*Parts!$M$129)*3</f>
        <v>137.8067916666667</v>
      </c>
      <c r="EO196" s="31">
        <f>((EO$180/12)*Parts!$M$128)*2+((EO$180/12)*Parts!$M$129)*3</f>
        <v>138.75718333333333</v>
      </c>
      <c r="EP196" s="31">
        <f>((EP$180/12)*Parts!$M$128)*2+((EP$180/12)*Parts!$M$129)*3</f>
        <v>139.70757500000002</v>
      </c>
      <c r="EQ196" s="31">
        <f>((EQ$180/12)*Parts!$M$128)*2+((EQ$180/12)*Parts!$M$129)*3</f>
        <v>140.65796666666671</v>
      </c>
      <c r="ER196" s="31">
        <f>((ER$180/12)*Parts!$M$128)*2+((ER$180/12)*Parts!$M$129)*3</f>
        <v>141.60835833333334</v>
      </c>
      <c r="ES196" s="31">
        <f>((ES$180/12)*Parts!$M$128)*2+((ES$180/12)*Parts!$M$129)*3</f>
        <v>142.55875000000003</v>
      </c>
      <c r="ET196" s="31">
        <f>((ET$180/12)*Parts!$M$128)*2+((ET$180/12)*Parts!$M$129)*3</f>
        <v>143.50914166666669</v>
      </c>
      <c r="EU196" s="31">
        <f>((EU$180/12)*Parts!$M$128)*2+((EU$180/12)*Parts!$M$129)*3</f>
        <v>144.45953333333333</v>
      </c>
      <c r="EV196" s="31">
        <f>((EV$180/12)*Parts!$M$128)*2+((EV$180/12)*Parts!$M$129)*3</f>
        <v>145.40992500000002</v>
      </c>
      <c r="EW196" s="31">
        <f>((EW$180/12)*Parts!$M$128)*2+((EW$180/12)*Parts!$M$129)*3</f>
        <v>146.36031666666671</v>
      </c>
      <c r="EX196" s="31">
        <f>((EX$180/12)*Parts!$M$128)*2+((EX$180/12)*Parts!$M$129)*3</f>
        <v>147.31070833333334</v>
      </c>
      <c r="EY196" s="31">
        <f>((EY$180/12)*Parts!$M$128)*2+((EY$180/12)*Parts!$M$129)*3</f>
        <v>148.26110000000003</v>
      </c>
      <c r="EZ196" s="31">
        <f>((EZ$180/12)*Parts!$M$128)*2+((EZ$180/12)*Parts!$M$129)*3</f>
        <v>149.21149166666672</v>
      </c>
      <c r="FA196" s="31">
        <f>((FA$180/12)*Parts!$M$128)*2+((FA$180/12)*Parts!$M$129)*3</f>
        <v>150.16188333333332</v>
      </c>
      <c r="FB196" s="31">
        <f>((FB$180/12)*Parts!$M$128)*2+((FB$180/12)*Parts!$M$129)*3</f>
        <v>151.11227500000001</v>
      </c>
      <c r="FC196" s="31">
        <f>((FC$180/12)*Parts!$M$128)*2+((FC$180/12)*Parts!$M$129)*3</f>
        <v>152.0626666666667</v>
      </c>
      <c r="FD196" s="31">
        <f>((FD$180/12)*Parts!$M$128)*2+((FD$180/12)*Parts!$M$129)*3</f>
        <v>153.01305833333333</v>
      </c>
      <c r="FE196" s="31">
        <f>((FE$180/12)*Parts!$M$128)*2+((FE$180/12)*Parts!$M$129)*3</f>
        <v>153.96345000000002</v>
      </c>
      <c r="FF196" s="31">
        <f>((FF$180/12)*Parts!$M$128)*2+((FF$180/12)*Parts!$M$129)*3</f>
        <v>154.91384166666668</v>
      </c>
      <c r="FG196" s="31">
        <f>((FG$180/12)*Parts!$M$128)*2+((FG$180/12)*Parts!$M$129)*3</f>
        <v>155.86423333333335</v>
      </c>
      <c r="FH196" s="31">
        <f>((FH$180/12)*Parts!$M$128)*2+((FH$180/12)*Parts!$M$129)*3</f>
        <v>156.81462500000001</v>
      </c>
      <c r="FI196" s="31">
        <f>((FI$180/12)*Parts!$M$128)*2+((FI$180/12)*Parts!$M$129)*3</f>
        <v>157.7650166666667</v>
      </c>
      <c r="FJ196" s="31">
        <f>((FJ$180/12)*Parts!$M$128)*2+((FJ$180/12)*Parts!$M$129)*3</f>
        <v>158.71540833333333</v>
      </c>
      <c r="FK196" s="31">
        <f>((FK$180/12)*Parts!$M$128)*2+((FK$180/12)*Parts!$M$129)*3</f>
        <v>159.66580000000002</v>
      </c>
    </row>
    <row r="197" spans="7:167" ht="18.75">
      <c r="G197" s="140"/>
      <c r="H197" s="140"/>
      <c r="I197" s="140">
        <v>41</v>
      </c>
      <c r="J197" s="140">
        <v>29.5</v>
      </c>
      <c r="K197" s="140"/>
      <c r="L197" s="140"/>
      <c r="M197" s="140"/>
      <c r="N197" s="140"/>
      <c r="O197" s="142"/>
      <c r="P197" s="140"/>
      <c r="Q197" s="140"/>
      <c r="R197" s="140"/>
      <c r="S197" s="140"/>
      <c r="T197" s="140"/>
      <c r="V197" s="142" t="s">
        <v>487</v>
      </c>
      <c r="W197" s="31">
        <f>((W$180/12)*Parts!$M$128)*2+((W$180/12)*Parts!$M$130)*4</f>
        <v>20.012800000000002</v>
      </c>
      <c r="X197" s="31">
        <f>((X$180/12)*Parts!$M$128)*2+((X$180/12)*Parts!$M$130)*4</f>
        <v>20.846666666666671</v>
      </c>
      <c r="Y197" s="31">
        <f>((Y$180/12)*Parts!$M$128)*2+((Y$180/12)*Parts!$M$130)*4</f>
        <v>21.680533333333333</v>
      </c>
      <c r="Z197" s="31">
        <f>((Z$180/12)*Parts!$M$128)*2+((Z$180/12)*Parts!$M$130)*4</f>
        <v>22.514400000000002</v>
      </c>
      <c r="AA197" s="31">
        <f>((AA$180/12)*Parts!$M$128)*2+((AA$180/12)*Parts!$M$130)*4</f>
        <v>23.348266666666667</v>
      </c>
      <c r="AB197" s="31">
        <f>((AB$180/12)*Parts!$M$128)*2+((AB$180/12)*Parts!$M$130)*4</f>
        <v>24.182133333333333</v>
      </c>
      <c r="AC197" s="31">
        <f>((AC$180/12)*Parts!$M$128)*2+((AC$180/12)*Parts!$M$130)*4</f>
        <v>25.016000000000002</v>
      </c>
      <c r="AD197" s="31">
        <f>((AD$180/12)*Parts!$M$128)*2+((AD$180/12)*Parts!$M$130)*4</f>
        <v>25.849866666666671</v>
      </c>
      <c r="AE197" s="31">
        <f>((AE$180/12)*Parts!$M$128)*2+((AE$180/12)*Parts!$M$130)*4</f>
        <v>26.683733333333333</v>
      </c>
      <c r="AF197" s="31">
        <f>((AF$180/12)*Parts!$M$128)*2+((AF$180/12)*Parts!$M$130)*4</f>
        <v>27.517600000000002</v>
      </c>
      <c r="AG197" s="31">
        <f>((AG$180/12)*Parts!$M$128)*2+((AG$180/12)*Parts!$M$130)*4</f>
        <v>28.351466666666667</v>
      </c>
      <c r="AH197" s="31">
        <f>((AH$180/12)*Parts!$M$128)*2+((AH$180/12)*Parts!$M$130)*4</f>
        <v>29.185333333333332</v>
      </c>
      <c r="AI197" s="31">
        <f>((AI$180/12)*Parts!$M$128)*2+((AI$180/12)*Parts!$M$130)*4</f>
        <v>30.019199999999998</v>
      </c>
      <c r="AJ197" s="31">
        <f>((AJ$180/12)*Parts!$M$128)*2+((AJ$180/12)*Parts!$M$130)*4</f>
        <v>30.85306666666667</v>
      </c>
      <c r="AK197" s="31">
        <f>((AK$180/12)*Parts!$M$128)*2+((AK$180/12)*Parts!$M$130)*4</f>
        <v>31.686933333333336</v>
      </c>
      <c r="AL197" s="31">
        <f>((AL$180/12)*Parts!$M$128)*2+((AL$180/12)*Parts!$M$130)*4</f>
        <v>32.520800000000001</v>
      </c>
      <c r="AM197" s="31">
        <f>((AM$180/12)*Parts!$M$128)*2+((AM$180/12)*Parts!$M$130)*4</f>
        <v>33.354666666666674</v>
      </c>
      <c r="AN197" s="31">
        <f>((AN$180/12)*Parts!$M$128)*2+((AN$180/12)*Parts!$M$130)*4</f>
        <v>34.188533333333332</v>
      </c>
      <c r="AO197" s="31">
        <f>((AO$180/12)*Parts!$M$128)*2+((AO$180/12)*Parts!$M$130)*4</f>
        <v>35.022400000000005</v>
      </c>
      <c r="AP197" s="31">
        <f>((AP$180/12)*Parts!$M$128)*2+((AP$180/12)*Parts!$M$130)*4</f>
        <v>35.85626666666667</v>
      </c>
      <c r="AQ197" s="31">
        <f>((AQ$180/12)*Parts!$M$128)*2+((AQ$180/12)*Parts!$M$130)*4</f>
        <v>36.690133333333335</v>
      </c>
      <c r="AR197" s="31">
        <f>((AR$180/12)*Parts!$M$128)*2+((AR$180/12)*Parts!$M$130)*4</f>
        <v>37.524000000000001</v>
      </c>
      <c r="AS197" s="31">
        <f>((AS$180/12)*Parts!$M$128)*2+((AS$180/12)*Parts!$M$130)*4</f>
        <v>38.357866666666673</v>
      </c>
      <c r="AT197" s="31">
        <f>((AT$180/12)*Parts!$M$128)*2+((AT$180/12)*Parts!$M$130)*4</f>
        <v>39.191733333333332</v>
      </c>
      <c r="AU197" s="31">
        <f>((AU$180/12)*Parts!$M$128)*2+((AU$180/12)*Parts!$M$130)*4</f>
        <v>40.025600000000004</v>
      </c>
      <c r="AV197" s="31">
        <f>((AV$180/12)*Parts!$M$128)*2+((AV$180/12)*Parts!$M$130)*4</f>
        <v>40.859466666666663</v>
      </c>
      <c r="AW197" s="31">
        <f>((AW$180/12)*Parts!$M$128)*2+((AW$180/12)*Parts!$M$130)*4</f>
        <v>41.693333333333342</v>
      </c>
      <c r="AX197" s="31">
        <f>((AX$180/12)*Parts!$M$128)*2+((AX$180/12)*Parts!$M$130)*4</f>
        <v>42.527200000000001</v>
      </c>
      <c r="AY197" s="31">
        <f>((AY$180/12)*Parts!$M$128)*2+((AY$180/12)*Parts!$M$130)*4</f>
        <v>43.361066666666666</v>
      </c>
      <c r="AZ197" s="31">
        <f>((AZ$180/12)*Parts!$M$128)*2+((AZ$180/12)*Parts!$M$130)*4</f>
        <v>44.194933333333339</v>
      </c>
      <c r="BA197" s="31">
        <f>((BA$180/12)*Parts!$M$128)*2+((BA$180/12)*Parts!$M$130)*4</f>
        <v>45.028800000000004</v>
      </c>
      <c r="BB197" s="31">
        <f>((BB$180/12)*Parts!$M$128)*2+((BB$180/12)*Parts!$M$130)*4</f>
        <v>45.862666666666662</v>
      </c>
      <c r="BC197" s="31">
        <f>((BC$180/12)*Parts!$M$128)*2+((BC$180/12)*Parts!$M$130)*4</f>
        <v>46.696533333333335</v>
      </c>
      <c r="BD197" s="31">
        <f>((BD$180/12)*Parts!$M$128)*2+((BD$180/12)*Parts!$M$130)*4</f>
        <v>47.530400000000007</v>
      </c>
      <c r="BE197" s="31">
        <f>((BE$180/12)*Parts!$M$128)*2+((BE$180/12)*Parts!$M$130)*4</f>
        <v>48.364266666666666</v>
      </c>
      <c r="BF197" s="31">
        <f>((BF$180/12)*Parts!$M$128)*2+((BF$180/12)*Parts!$M$130)*4</f>
        <v>49.198133333333345</v>
      </c>
      <c r="BG197" s="31">
        <f>((BG$180/12)*Parts!$M$128)*2+((BG$180/12)*Parts!$M$130)*4</f>
        <v>50.032000000000004</v>
      </c>
      <c r="BH197" s="31">
        <f>((BH$180/12)*Parts!$M$128)*2+((BH$180/12)*Parts!$M$130)*4</f>
        <v>50.865866666666669</v>
      </c>
      <c r="BI197" s="31">
        <f>((BI$180/12)*Parts!$M$128)*2+((BI$180/12)*Parts!$M$130)*4</f>
        <v>51.699733333333342</v>
      </c>
      <c r="BJ197" s="31">
        <f>((BJ$180/12)*Parts!$M$128)*2+((BJ$180/12)*Parts!$M$130)*4</f>
        <v>52.533600000000007</v>
      </c>
      <c r="BK197" s="31">
        <f>((BK$180/12)*Parts!$M$128)*2+((BK$180/12)*Parts!$M$130)*4</f>
        <v>53.367466666666665</v>
      </c>
      <c r="BL197" s="31">
        <f>((BL$180/12)*Parts!$M$128)*2+((BL$180/12)*Parts!$M$130)*4</f>
        <v>54.201333333333338</v>
      </c>
      <c r="BM197" s="31">
        <f>((BM$180/12)*Parts!$M$128)*2+((BM$180/12)*Parts!$M$130)*4</f>
        <v>55.035200000000003</v>
      </c>
      <c r="BN197" s="31">
        <f>((BN$180/12)*Parts!$M$128)*2+((BN$180/12)*Parts!$M$130)*4</f>
        <v>55.869066666666669</v>
      </c>
      <c r="BO197" s="31">
        <f>((BO$180/12)*Parts!$M$128)*2+((BO$180/12)*Parts!$M$130)*4</f>
        <v>56.702933333333334</v>
      </c>
      <c r="BP197" s="31">
        <f>((BP$180/12)*Parts!$M$128)*2+((BP$180/12)*Parts!$M$130)*4</f>
        <v>57.536799999999999</v>
      </c>
      <c r="BQ197" s="31">
        <f>((BQ$180/12)*Parts!$M$128)*2+((BQ$180/12)*Parts!$M$130)*4</f>
        <v>58.370666666666665</v>
      </c>
      <c r="BR197" s="31">
        <f>((BR$180/12)*Parts!$M$128)*2+((BR$180/12)*Parts!$M$130)*4</f>
        <v>59.204533333333337</v>
      </c>
      <c r="BS197" s="31">
        <f>((BS$180/12)*Parts!$M$128)*2+((BS$180/12)*Parts!$M$130)*4</f>
        <v>60.038399999999996</v>
      </c>
      <c r="BT197" s="31">
        <f>((BT$180/12)*Parts!$M$128)*2+((BT$180/12)*Parts!$M$130)*4</f>
        <v>60.872266666666675</v>
      </c>
      <c r="BU197" s="31">
        <f>((BU$180/12)*Parts!$M$128)*2+((BU$180/12)*Parts!$M$130)*4</f>
        <v>61.706133333333341</v>
      </c>
      <c r="BV197" s="31">
        <f>((BV$180/12)*Parts!$M$128)*2+((BV$180/12)*Parts!$M$130)*4</f>
        <v>62.540000000000006</v>
      </c>
      <c r="BW197" s="31">
        <f>((BW$180/12)*Parts!$M$128)*2+((BW$180/12)*Parts!$M$130)*4</f>
        <v>63.373866666666672</v>
      </c>
      <c r="BX197" s="31">
        <f>((BX$180/12)*Parts!$M$128)*2+((BX$180/12)*Parts!$M$130)*4</f>
        <v>64.207733333333337</v>
      </c>
      <c r="BY197" s="31">
        <f>((BY$180/12)*Parts!$M$128)*2+((BY$180/12)*Parts!$M$130)*4</f>
        <v>65.041600000000003</v>
      </c>
      <c r="BZ197" s="31">
        <f>((BZ$180/12)*Parts!$M$128)*2+((BZ$180/12)*Parts!$M$130)*4</f>
        <v>65.875466666666668</v>
      </c>
      <c r="CA197" s="31">
        <f>((CA$180/12)*Parts!$M$128)*2+((CA$180/12)*Parts!$M$130)*4</f>
        <v>66.709333333333348</v>
      </c>
      <c r="CB197" s="31">
        <f>((CB$180/12)*Parts!$M$128)*2+((CB$180/12)*Parts!$M$130)*4</f>
        <v>67.543199999999999</v>
      </c>
      <c r="CC197" s="31">
        <f>((CC$180/12)*Parts!$M$128)*2+((CC$180/12)*Parts!$M$130)*4</f>
        <v>68.377066666666664</v>
      </c>
      <c r="CD197" s="31">
        <f>((CD$180/12)*Parts!$M$128)*2+((CD$180/12)*Parts!$M$130)*4</f>
        <v>69.210933333333344</v>
      </c>
      <c r="CE197" s="31">
        <f>((CE$180/12)*Parts!$M$128)*2+((CE$180/12)*Parts!$M$130)*4</f>
        <v>70.044800000000009</v>
      </c>
      <c r="CF197" s="31">
        <f>((CF$180/12)*Parts!$M$128)*2+((CF$180/12)*Parts!$M$130)*4</f>
        <v>70.87866666666666</v>
      </c>
      <c r="CG197" s="31">
        <f>((CG$180/12)*Parts!$M$128)*2+((CG$180/12)*Parts!$M$130)*4</f>
        <v>71.71253333333334</v>
      </c>
      <c r="CH197" s="31">
        <f>((CH$180/12)*Parts!$M$128)*2+((CH$180/12)*Parts!$M$130)*4</f>
        <v>72.546400000000006</v>
      </c>
      <c r="CI197" s="31">
        <f>((CI$180/12)*Parts!$M$128)*2+((CI$180/12)*Parts!$M$130)*4</f>
        <v>73.380266666666671</v>
      </c>
      <c r="CJ197" s="31">
        <f>((CJ$180/12)*Parts!$M$128)*2+((CJ$180/12)*Parts!$M$130)*4</f>
        <v>74.214133333333336</v>
      </c>
      <c r="CK197" s="31">
        <f>((CK$180/12)*Parts!$M$128)*2+((CK$180/12)*Parts!$M$130)*4</f>
        <v>75.048000000000002</v>
      </c>
      <c r="CL197" s="31">
        <f>((CL$180/12)*Parts!$M$128)*2+((CL$180/12)*Parts!$M$130)*4</f>
        <v>75.881866666666667</v>
      </c>
      <c r="CM197" s="31">
        <f>((CM$180/12)*Parts!$M$128)*2+((CM$180/12)*Parts!$M$130)*4</f>
        <v>76.715733333333347</v>
      </c>
      <c r="CN197" s="31">
        <f>((CN$180/12)*Parts!$M$128)*2+((CN$180/12)*Parts!$M$130)*4</f>
        <v>77.549599999999998</v>
      </c>
      <c r="CO197" s="31">
        <f>((CO$180/12)*Parts!$M$128)*2+((CO$180/12)*Parts!$M$130)*4</f>
        <v>78.383466666666664</v>
      </c>
      <c r="CP197" s="31">
        <f>((CP$180/12)*Parts!$M$128)*2+((CP$180/12)*Parts!$M$130)*4</f>
        <v>79.217333333333343</v>
      </c>
      <c r="CQ197" s="31">
        <f>((CQ$180/12)*Parts!$M$128)*2+((CQ$180/12)*Parts!$M$130)*4</f>
        <v>80.051200000000009</v>
      </c>
      <c r="CR197" s="31">
        <f>((CR$180/12)*Parts!$M$128)*2+((CR$180/12)*Parts!$M$130)*4</f>
        <v>80.885066666666674</v>
      </c>
      <c r="CS197" s="31">
        <f>((CS$180/12)*Parts!$M$128)*2+((CS$180/12)*Parts!$M$130)*4</f>
        <v>81.718933333333325</v>
      </c>
      <c r="CT197" s="31">
        <f>((CT$180/12)*Parts!$M$128)*2+((CT$180/12)*Parts!$M$130)*4</f>
        <v>82.552800000000005</v>
      </c>
      <c r="CU197" s="31">
        <f>((CU$180/12)*Parts!$M$128)*2+((CU$180/12)*Parts!$M$130)*4</f>
        <v>83.386666666666684</v>
      </c>
      <c r="CV197" s="31">
        <f>((CV$180/12)*Parts!$M$128)*2+((CV$180/12)*Parts!$M$130)*4</f>
        <v>84.220533333333321</v>
      </c>
      <c r="CW197" s="31">
        <f>((CW$180/12)*Parts!$M$128)*2+((CW$180/12)*Parts!$M$130)*4</f>
        <v>85.054400000000001</v>
      </c>
      <c r="CX197" s="31">
        <f>((CX$180/12)*Parts!$M$128)*2+((CX$180/12)*Parts!$M$130)*4</f>
        <v>85.888266666666681</v>
      </c>
      <c r="CY197" s="31">
        <f>((CY$180/12)*Parts!$M$128)*2+((CY$180/12)*Parts!$M$130)*4</f>
        <v>86.722133333333332</v>
      </c>
      <c r="CZ197" s="31">
        <f>((CZ$180/12)*Parts!$M$128)*2+((CZ$180/12)*Parts!$M$130)*4</f>
        <v>87.556000000000012</v>
      </c>
      <c r="DA197" s="31">
        <f>((DA$180/12)*Parts!$M$128)*2+((DA$180/12)*Parts!$M$130)*4</f>
        <v>88.389866666666677</v>
      </c>
      <c r="DB197" s="31">
        <f>((DB$180/12)*Parts!$M$128)*2+((DB$180/12)*Parts!$M$130)*4</f>
        <v>89.223733333333342</v>
      </c>
      <c r="DC197" s="31">
        <f>((DC$180/12)*Parts!$M$128)*2+((DC$180/12)*Parts!$M$130)*4</f>
        <v>90.057600000000008</v>
      </c>
      <c r="DD197" s="31">
        <f>((DD$180/12)*Parts!$M$128)*2+((DD$180/12)*Parts!$M$130)*4</f>
        <v>90.891466666666673</v>
      </c>
      <c r="DE197" s="31">
        <f>((DE$180/12)*Parts!$M$128)*2+((DE$180/12)*Parts!$M$130)*4</f>
        <v>91.725333333333325</v>
      </c>
      <c r="DF197" s="31">
        <f>((DF$180/12)*Parts!$M$128)*2+((DF$180/12)*Parts!$M$130)*4</f>
        <v>92.559200000000004</v>
      </c>
      <c r="DG197" s="31">
        <f>((DG$180/12)*Parts!$M$128)*2+((DG$180/12)*Parts!$M$130)*4</f>
        <v>93.39306666666667</v>
      </c>
      <c r="DH197" s="31">
        <f>((DH$180/12)*Parts!$M$128)*2+((DH$180/12)*Parts!$M$130)*4</f>
        <v>94.226933333333335</v>
      </c>
      <c r="DI197" s="31">
        <f>((DI$180/12)*Parts!$M$128)*2+((DI$180/12)*Parts!$M$130)*4</f>
        <v>95.060800000000015</v>
      </c>
      <c r="DJ197" s="31">
        <f>((DJ$180/12)*Parts!$M$128)*2+((DJ$180/12)*Parts!$M$130)*4</f>
        <v>95.89466666666668</v>
      </c>
      <c r="DK197" s="31">
        <f>((DK$180/12)*Parts!$M$128)*2+((DK$180/12)*Parts!$M$130)*4</f>
        <v>96.728533333333331</v>
      </c>
      <c r="DL197" s="31">
        <f>((DL$180/12)*Parts!$M$128)*2+((DL$180/12)*Parts!$M$130)*4</f>
        <v>97.562399999999997</v>
      </c>
      <c r="DM197" s="31">
        <f>((DM$180/12)*Parts!$M$128)*2+((DM$180/12)*Parts!$M$130)*4</f>
        <v>98.396266666666691</v>
      </c>
      <c r="DN197" s="31">
        <f>((DN$180/12)*Parts!$M$128)*2+((DN$180/12)*Parts!$M$130)*4</f>
        <v>99.230133333333328</v>
      </c>
      <c r="DO197" s="31">
        <f>((DO$180/12)*Parts!$M$128)*2+((DO$180/12)*Parts!$M$130)*4</f>
        <v>100.06400000000001</v>
      </c>
      <c r="DP197" s="31">
        <f>((DP$180/12)*Parts!$M$128)*2+((DP$180/12)*Parts!$M$130)*4</f>
        <v>100.89786666666667</v>
      </c>
      <c r="DQ197" s="31">
        <f>((DQ$180/12)*Parts!$M$128)*2+((DQ$180/12)*Parts!$M$130)*4</f>
        <v>101.73173333333334</v>
      </c>
      <c r="DR197" s="31">
        <f>((DR$180/12)*Parts!$M$128)*2+((DR$180/12)*Parts!$M$130)*4</f>
        <v>102.5656</v>
      </c>
      <c r="DS197" s="31">
        <f>((DS$180/12)*Parts!$M$128)*2+((DS$180/12)*Parts!$M$130)*4</f>
        <v>103.39946666666668</v>
      </c>
      <c r="DT197" s="31">
        <f>((DT$180/12)*Parts!$M$128)*2+((DT$180/12)*Parts!$M$130)*4</f>
        <v>104.23333333333332</v>
      </c>
      <c r="DU197" s="31">
        <f>((DU$180/12)*Parts!$M$128)*2+((DU$180/12)*Parts!$M$130)*4</f>
        <v>105.06720000000001</v>
      </c>
      <c r="DV197" s="31">
        <f>((DV$180/12)*Parts!$M$128)*2+((DV$180/12)*Parts!$M$130)*4</f>
        <v>105.90106666666668</v>
      </c>
      <c r="DW197" s="31">
        <f>((DW$180/12)*Parts!$M$128)*2+((DW$180/12)*Parts!$M$130)*4</f>
        <v>106.73493333333333</v>
      </c>
      <c r="DX197" s="31">
        <f>((DX$180/12)*Parts!$M$128)*2+((DX$180/12)*Parts!$M$130)*4</f>
        <v>107.56880000000001</v>
      </c>
      <c r="DY197" s="31">
        <f>((DY$180/12)*Parts!$M$128)*2+((DY$180/12)*Parts!$M$130)*4</f>
        <v>108.40266666666668</v>
      </c>
      <c r="DZ197" s="31">
        <f>((DZ$180/12)*Parts!$M$128)*2+((DZ$180/12)*Parts!$M$130)*4</f>
        <v>109.23653333333334</v>
      </c>
      <c r="EA197" s="31">
        <f>((EA$180/12)*Parts!$M$128)*2+((EA$180/12)*Parts!$M$130)*4</f>
        <v>110.07040000000001</v>
      </c>
      <c r="EB197" s="31">
        <f>((EB$180/12)*Parts!$M$128)*2+((EB$180/12)*Parts!$M$130)*4</f>
        <v>110.90426666666669</v>
      </c>
      <c r="EC197" s="31">
        <f>((EC$180/12)*Parts!$M$128)*2+((EC$180/12)*Parts!$M$130)*4</f>
        <v>111.73813333333334</v>
      </c>
      <c r="ED197" s="31">
        <f>((ED$180/12)*Parts!$M$128)*2+((ED$180/12)*Parts!$M$130)*4</f>
        <v>112.572</v>
      </c>
      <c r="EE197" s="31">
        <f>((EE$180/12)*Parts!$M$128)*2+((EE$180/12)*Parts!$M$130)*4</f>
        <v>113.40586666666667</v>
      </c>
      <c r="EF197" s="31">
        <f>((EF$180/12)*Parts!$M$128)*2+((EF$180/12)*Parts!$M$130)*4</f>
        <v>114.23973333333333</v>
      </c>
      <c r="EG197" s="31">
        <f>((EG$180/12)*Parts!$M$128)*2+((EG$180/12)*Parts!$M$130)*4</f>
        <v>115.0736</v>
      </c>
      <c r="EH197" s="31">
        <f>((EH$180/12)*Parts!$M$128)*2+((EH$180/12)*Parts!$M$130)*4</f>
        <v>115.90746666666669</v>
      </c>
      <c r="EI197" s="31">
        <f>((EI$180/12)*Parts!$M$128)*2+((EI$180/12)*Parts!$M$130)*4</f>
        <v>116.74133333333333</v>
      </c>
      <c r="EJ197" s="31">
        <f>((EJ$180/12)*Parts!$M$128)*2+((EJ$180/12)*Parts!$M$130)*4</f>
        <v>117.57520000000001</v>
      </c>
      <c r="EK197" s="31">
        <f>((EK$180/12)*Parts!$M$128)*2+((EK$180/12)*Parts!$M$130)*4</f>
        <v>118.40906666666667</v>
      </c>
      <c r="EL197" s="31">
        <f>((EL$180/12)*Parts!$M$128)*2+((EL$180/12)*Parts!$M$130)*4</f>
        <v>119.24293333333333</v>
      </c>
      <c r="EM197" s="31">
        <f>((EM$180/12)*Parts!$M$128)*2+((EM$180/12)*Parts!$M$130)*4</f>
        <v>120.07679999999999</v>
      </c>
      <c r="EN197" s="31">
        <f>((EN$180/12)*Parts!$M$128)*2+((EN$180/12)*Parts!$M$130)*4</f>
        <v>120.91066666666669</v>
      </c>
      <c r="EO197" s="31">
        <f>((EO$180/12)*Parts!$M$128)*2+((EO$180/12)*Parts!$M$130)*4</f>
        <v>121.74453333333335</v>
      </c>
      <c r="EP197" s="31">
        <f>((EP$180/12)*Parts!$M$128)*2+((EP$180/12)*Parts!$M$130)*4</f>
        <v>122.57840000000002</v>
      </c>
      <c r="EQ197" s="31">
        <f>((EQ$180/12)*Parts!$M$128)*2+((EQ$180/12)*Parts!$M$130)*4</f>
        <v>123.41226666666668</v>
      </c>
      <c r="ER197" s="31">
        <f>((ER$180/12)*Parts!$M$128)*2+((ER$180/12)*Parts!$M$130)*4</f>
        <v>124.24613333333333</v>
      </c>
      <c r="ES197" s="31">
        <f>((ES$180/12)*Parts!$M$128)*2+((ES$180/12)*Parts!$M$130)*4</f>
        <v>125.08000000000001</v>
      </c>
      <c r="ET197" s="31">
        <f>((ET$180/12)*Parts!$M$128)*2+((ET$180/12)*Parts!$M$130)*4</f>
        <v>125.91386666666668</v>
      </c>
      <c r="EU197" s="31">
        <f>((EU$180/12)*Parts!$M$128)*2+((EU$180/12)*Parts!$M$130)*4</f>
        <v>126.74773333333334</v>
      </c>
      <c r="EV197" s="31">
        <f>((EV$180/12)*Parts!$M$128)*2+((EV$180/12)*Parts!$M$130)*4</f>
        <v>127.58160000000001</v>
      </c>
      <c r="EW197" s="31">
        <f>((EW$180/12)*Parts!$M$128)*2+((EW$180/12)*Parts!$M$130)*4</f>
        <v>128.41546666666667</v>
      </c>
      <c r="EX197" s="31">
        <f>((EX$180/12)*Parts!$M$128)*2+((EX$180/12)*Parts!$M$130)*4</f>
        <v>129.24933333333334</v>
      </c>
      <c r="EY197" s="31">
        <f>((EY$180/12)*Parts!$M$128)*2+((EY$180/12)*Parts!$M$130)*4</f>
        <v>130.08320000000001</v>
      </c>
      <c r="EZ197" s="31">
        <f>((EZ$180/12)*Parts!$M$128)*2+((EZ$180/12)*Parts!$M$130)*4</f>
        <v>130.91706666666667</v>
      </c>
      <c r="FA197" s="31">
        <f>((FA$180/12)*Parts!$M$128)*2+((FA$180/12)*Parts!$M$130)*4</f>
        <v>131.75093333333334</v>
      </c>
      <c r="FB197" s="31">
        <f>((FB$180/12)*Parts!$M$128)*2+((FB$180/12)*Parts!$M$130)*4</f>
        <v>132.5848</v>
      </c>
      <c r="FC197" s="31">
        <f>((FC$180/12)*Parts!$M$128)*2+((FC$180/12)*Parts!$M$130)*4</f>
        <v>133.4186666666667</v>
      </c>
      <c r="FD197" s="31">
        <f>((FD$180/12)*Parts!$M$128)*2+((FD$180/12)*Parts!$M$130)*4</f>
        <v>134.25253333333333</v>
      </c>
      <c r="FE197" s="31">
        <f>((FE$180/12)*Parts!$M$128)*2+((FE$180/12)*Parts!$M$130)*4</f>
        <v>135.0864</v>
      </c>
      <c r="FF197" s="31">
        <f>((FF$180/12)*Parts!$M$128)*2+((FF$180/12)*Parts!$M$130)*4</f>
        <v>135.92026666666669</v>
      </c>
      <c r="FG197" s="31">
        <f>((FG$180/12)*Parts!$M$128)*2+((FG$180/12)*Parts!$M$130)*4</f>
        <v>136.75413333333333</v>
      </c>
      <c r="FH197" s="31">
        <f>((FH$180/12)*Parts!$M$128)*2+((FH$180/12)*Parts!$M$130)*4</f>
        <v>137.58800000000002</v>
      </c>
      <c r="FI197" s="31">
        <f>((FI$180/12)*Parts!$M$128)*2+((FI$180/12)*Parts!$M$130)*4</f>
        <v>138.42186666666669</v>
      </c>
      <c r="FJ197" s="31">
        <f>((FJ$180/12)*Parts!$M$128)*2+((FJ$180/12)*Parts!$M$130)*4</f>
        <v>139.25573333333335</v>
      </c>
      <c r="FK197" s="31">
        <f>((FK$180/12)*Parts!$M$128)*2+((FK$180/12)*Parts!$M$130)*4</f>
        <v>140.08960000000002</v>
      </c>
    </row>
    <row r="198" spans="7:167" ht="18.75">
      <c r="G198" s="140"/>
      <c r="H198" s="140"/>
      <c r="I198" s="140">
        <v>42</v>
      </c>
      <c r="J198" s="140">
        <v>30</v>
      </c>
      <c r="K198" s="140"/>
      <c r="L198" s="140"/>
      <c r="M198" s="140"/>
      <c r="N198" s="140"/>
      <c r="O198" s="142"/>
      <c r="P198" s="140"/>
      <c r="Q198" s="140"/>
      <c r="R198" s="140"/>
      <c r="S198" s="140"/>
      <c r="T198" s="140"/>
      <c r="V198" s="281" t="s">
        <v>488</v>
      </c>
      <c r="W198" s="31">
        <f>((W$180/12)*Parts!$M$129)*3+((W$180/12)*Parts!$M$130)*2</f>
        <v>24.461400000000005</v>
      </c>
      <c r="X198" s="31">
        <f>((X$180/12)*Parts!$M$129)*3+((X$180/12)*Parts!$M$130)*2</f>
        <v>25.480625000000003</v>
      </c>
      <c r="Y198" s="31">
        <f>((Y$180/12)*Parts!$M$129)*3+((Y$180/12)*Parts!$M$130)*2</f>
        <v>26.499850000000002</v>
      </c>
      <c r="Z198" s="31">
        <f>((Z$180/12)*Parts!$M$129)*3+((Z$180/12)*Parts!$M$130)*2</f>
        <v>27.519075000000001</v>
      </c>
      <c r="AA198" s="31">
        <f>((AA$180/12)*Parts!$M$129)*3+((AA$180/12)*Parts!$M$130)*2</f>
        <v>28.538300000000003</v>
      </c>
      <c r="AB198" s="31">
        <f>((AB$180/12)*Parts!$M$129)*3+((AB$180/12)*Parts!$M$130)*2</f>
        <v>29.557525000000005</v>
      </c>
      <c r="AC198" s="31">
        <f>((AC$180/12)*Parts!$M$129)*3+((AC$180/12)*Parts!$M$130)*2</f>
        <v>30.576750000000004</v>
      </c>
      <c r="AD198" s="31">
        <f>((AD$180/12)*Parts!$M$129)*3+((AD$180/12)*Parts!$M$130)*2</f>
        <v>31.595975000000003</v>
      </c>
      <c r="AE198" s="31">
        <f>((AE$180/12)*Parts!$M$129)*3+((AE$180/12)*Parts!$M$130)*2</f>
        <v>32.615200000000002</v>
      </c>
      <c r="AF198" s="31">
        <f>((AF$180/12)*Parts!$M$129)*3+((AF$180/12)*Parts!$M$130)*2</f>
        <v>33.634425000000007</v>
      </c>
      <c r="AG198" s="31">
        <f>((AG$180/12)*Parts!$M$129)*3+((AG$180/12)*Parts!$M$130)*2</f>
        <v>34.653650000000006</v>
      </c>
      <c r="AH198" s="31">
        <f>((AH$180/12)*Parts!$M$129)*3+((AH$180/12)*Parts!$M$130)*2</f>
        <v>35.672874999999998</v>
      </c>
      <c r="AI198" s="31">
        <f>((AI$180/12)*Parts!$M$129)*3+((AI$180/12)*Parts!$M$130)*2</f>
        <v>36.692100000000003</v>
      </c>
      <c r="AJ198" s="31">
        <f>((AJ$180/12)*Parts!$M$129)*3+((AJ$180/12)*Parts!$M$130)*2</f>
        <v>37.711325000000009</v>
      </c>
      <c r="AK198" s="31">
        <f>((AK$180/12)*Parts!$M$129)*3+((AK$180/12)*Parts!$M$130)*2</f>
        <v>38.730550000000001</v>
      </c>
      <c r="AL198" s="31">
        <f>((AL$180/12)*Parts!$M$129)*3+((AL$180/12)*Parts!$M$130)*2</f>
        <v>39.749775000000007</v>
      </c>
      <c r="AM198" s="31">
        <f>((AM$180/12)*Parts!$M$129)*3+((AM$180/12)*Parts!$M$130)*2</f>
        <v>40.769000000000005</v>
      </c>
      <c r="AN198" s="31">
        <f>((AN$180/12)*Parts!$M$129)*3+((AN$180/12)*Parts!$M$130)*2</f>
        <v>41.788224999999997</v>
      </c>
      <c r="AO198" s="31">
        <f>((AO$180/12)*Parts!$M$129)*3+((AO$180/12)*Parts!$M$130)*2</f>
        <v>42.807450000000003</v>
      </c>
      <c r="AP198" s="31">
        <f>((AP$180/12)*Parts!$M$129)*3+((AP$180/12)*Parts!$M$130)*2</f>
        <v>43.826675000000009</v>
      </c>
      <c r="AQ198" s="31">
        <f>((AQ$180/12)*Parts!$M$129)*3+((AQ$180/12)*Parts!$M$130)*2</f>
        <v>44.8459</v>
      </c>
      <c r="AR198" s="31">
        <f>((AR$180/12)*Parts!$M$129)*3+((AR$180/12)*Parts!$M$130)*2</f>
        <v>45.865125000000006</v>
      </c>
      <c r="AS198" s="31">
        <f>((AS$180/12)*Parts!$M$129)*3+((AS$180/12)*Parts!$M$130)*2</f>
        <v>46.884350000000005</v>
      </c>
      <c r="AT198" s="31">
        <f>((AT$180/12)*Parts!$M$129)*3+((AT$180/12)*Parts!$M$130)*2</f>
        <v>47.903574999999996</v>
      </c>
      <c r="AU198" s="31">
        <f>((AU$180/12)*Parts!$M$129)*3+((AU$180/12)*Parts!$M$130)*2</f>
        <v>48.922800000000009</v>
      </c>
      <c r="AV198" s="31">
        <f>((AV$180/12)*Parts!$M$129)*3+((AV$180/12)*Parts!$M$130)*2</f>
        <v>49.942025000000001</v>
      </c>
      <c r="AW198" s="31">
        <f>((AW$180/12)*Parts!$M$129)*3+((AW$180/12)*Parts!$M$130)*2</f>
        <v>50.961250000000007</v>
      </c>
      <c r="AX198" s="31">
        <f>((AX$180/12)*Parts!$M$129)*3+((AX$180/12)*Parts!$M$130)*2</f>
        <v>51.980475000000006</v>
      </c>
      <c r="AY198" s="31">
        <f>((AY$180/12)*Parts!$M$129)*3+((AY$180/12)*Parts!$M$130)*2</f>
        <v>52.999700000000004</v>
      </c>
      <c r="AZ198" s="31">
        <f>((AZ$180/12)*Parts!$M$129)*3+((AZ$180/12)*Parts!$M$130)*2</f>
        <v>54.01892500000001</v>
      </c>
      <c r="BA198" s="31">
        <f>((BA$180/12)*Parts!$M$129)*3+((BA$180/12)*Parts!$M$130)*2</f>
        <v>55.038150000000002</v>
      </c>
      <c r="BB198" s="31">
        <f>((BB$180/12)*Parts!$M$129)*3+((BB$180/12)*Parts!$M$130)*2</f>
        <v>56.057375000000008</v>
      </c>
      <c r="BC198" s="31">
        <f>((BC$180/12)*Parts!$M$129)*3+((BC$180/12)*Parts!$M$130)*2</f>
        <v>57.076600000000006</v>
      </c>
      <c r="BD198" s="31">
        <f>((BD$180/12)*Parts!$M$129)*3+((BD$180/12)*Parts!$M$130)*2</f>
        <v>58.095825000000005</v>
      </c>
      <c r="BE198" s="31">
        <f>((BE$180/12)*Parts!$M$129)*3+((BE$180/12)*Parts!$M$130)*2</f>
        <v>59.115050000000011</v>
      </c>
      <c r="BF198" s="31">
        <f>((BF$180/12)*Parts!$M$129)*3+((BF$180/12)*Parts!$M$130)*2</f>
        <v>60.134275000000009</v>
      </c>
      <c r="BG198" s="31">
        <f>((BG$180/12)*Parts!$M$129)*3+((BG$180/12)*Parts!$M$130)*2</f>
        <v>61.153500000000008</v>
      </c>
      <c r="BH198" s="31">
        <f>((BH$180/12)*Parts!$M$129)*3+((BH$180/12)*Parts!$M$130)*2</f>
        <v>62.172725000000007</v>
      </c>
      <c r="BI198" s="31">
        <f>((BI$180/12)*Parts!$M$129)*3+((BI$180/12)*Parts!$M$130)*2</f>
        <v>63.191950000000006</v>
      </c>
      <c r="BJ198" s="31">
        <f>((BJ$180/12)*Parts!$M$129)*3+((BJ$180/12)*Parts!$M$130)*2</f>
        <v>64.211175000000011</v>
      </c>
      <c r="BK198" s="31">
        <f>((BK$180/12)*Parts!$M$129)*3+((BK$180/12)*Parts!$M$130)*2</f>
        <v>65.230400000000003</v>
      </c>
      <c r="BL198" s="31">
        <f>((BL$180/12)*Parts!$M$129)*3+((BL$180/12)*Parts!$M$130)*2</f>
        <v>66.249625000000009</v>
      </c>
      <c r="BM198" s="31">
        <f>((BM$180/12)*Parts!$M$129)*3+((BM$180/12)*Parts!$M$130)*2</f>
        <v>67.268850000000015</v>
      </c>
      <c r="BN198" s="31">
        <f>((BN$180/12)*Parts!$M$129)*3+((BN$180/12)*Parts!$M$130)*2</f>
        <v>68.288074999999992</v>
      </c>
      <c r="BO198" s="31">
        <f>((BO$180/12)*Parts!$M$129)*3+((BO$180/12)*Parts!$M$130)*2</f>
        <v>69.307300000000012</v>
      </c>
      <c r="BP198" s="31">
        <f>((BP$180/12)*Parts!$M$129)*3+((BP$180/12)*Parts!$M$130)*2</f>
        <v>70.326525000000004</v>
      </c>
      <c r="BQ198" s="31">
        <f>((BQ$180/12)*Parts!$M$129)*3+((BQ$180/12)*Parts!$M$130)*2</f>
        <v>71.345749999999995</v>
      </c>
      <c r="BR198" s="31">
        <f>((BR$180/12)*Parts!$M$129)*3+((BR$180/12)*Parts!$M$130)*2</f>
        <v>72.364975000000015</v>
      </c>
      <c r="BS198" s="31">
        <f>((BS$180/12)*Parts!$M$129)*3+((BS$180/12)*Parts!$M$130)*2</f>
        <v>73.384200000000007</v>
      </c>
      <c r="BT198" s="31">
        <f>((BT$180/12)*Parts!$M$129)*3+((BT$180/12)*Parts!$M$130)*2</f>
        <v>74.403424999999999</v>
      </c>
      <c r="BU198" s="31">
        <f>((BU$180/12)*Parts!$M$129)*3+((BU$180/12)*Parts!$M$130)*2</f>
        <v>75.422650000000019</v>
      </c>
      <c r="BV198" s="31">
        <f>((BV$180/12)*Parts!$M$129)*3+((BV$180/12)*Parts!$M$130)*2</f>
        <v>76.44187500000001</v>
      </c>
      <c r="BW198" s="31">
        <f>((BW$180/12)*Parts!$M$129)*3+((BW$180/12)*Parts!$M$130)*2</f>
        <v>77.461100000000002</v>
      </c>
      <c r="BX198" s="31">
        <f>((BX$180/12)*Parts!$M$129)*3+((BX$180/12)*Parts!$M$130)*2</f>
        <v>78.480325000000022</v>
      </c>
      <c r="BY198" s="31">
        <f>((BY$180/12)*Parts!$M$129)*3+((BY$180/12)*Parts!$M$130)*2</f>
        <v>79.499550000000013</v>
      </c>
      <c r="BZ198" s="31">
        <f>((BZ$180/12)*Parts!$M$129)*3+((BZ$180/12)*Parts!$M$130)*2</f>
        <v>80.518775000000005</v>
      </c>
      <c r="CA198" s="31">
        <f>((CA$180/12)*Parts!$M$129)*3+((CA$180/12)*Parts!$M$130)*2</f>
        <v>81.538000000000011</v>
      </c>
      <c r="CB198" s="31">
        <f>((CB$180/12)*Parts!$M$129)*3+((CB$180/12)*Parts!$M$130)*2</f>
        <v>82.557225000000017</v>
      </c>
      <c r="CC198" s="31">
        <f>((CC$180/12)*Parts!$M$129)*3+((CC$180/12)*Parts!$M$130)*2</f>
        <v>83.576449999999994</v>
      </c>
      <c r="CD198" s="31">
        <f>((CD$180/12)*Parts!$M$129)*3+((CD$180/12)*Parts!$M$130)*2</f>
        <v>84.595675000000014</v>
      </c>
      <c r="CE198" s="31">
        <f>((CE$180/12)*Parts!$M$129)*3+((CE$180/12)*Parts!$M$130)*2</f>
        <v>85.614900000000006</v>
      </c>
      <c r="CF198" s="31">
        <f>((CF$180/12)*Parts!$M$129)*3+((CF$180/12)*Parts!$M$130)*2</f>
        <v>86.634124999999997</v>
      </c>
      <c r="CG198" s="31">
        <f>((CG$180/12)*Parts!$M$129)*3+((CG$180/12)*Parts!$M$130)*2</f>
        <v>87.653350000000017</v>
      </c>
      <c r="CH198" s="31">
        <f>((CH$180/12)*Parts!$M$129)*3+((CH$180/12)*Parts!$M$130)*2</f>
        <v>88.672575000000009</v>
      </c>
      <c r="CI198" s="31">
        <f>((CI$180/12)*Parts!$M$129)*3+((CI$180/12)*Parts!$M$130)*2</f>
        <v>89.691800000000001</v>
      </c>
      <c r="CJ198" s="31">
        <f>((CJ$180/12)*Parts!$M$129)*3+((CJ$180/12)*Parts!$M$130)*2</f>
        <v>90.711025000000021</v>
      </c>
      <c r="CK198" s="31">
        <f>((CK$180/12)*Parts!$M$129)*3+((CK$180/12)*Parts!$M$130)*2</f>
        <v>91.730250000000012</v>
      </c>
      <c r="CL198" s="31">
        <f>((CL$180/12)*Parts!$M$129)*3+((CL$180/12)*Parts!$M$130)*2</f>
        <v>92.749475000000004</v>
      </c>
      <c r="CM198" s="31">
        <f>((CM$180/12)*Parts!$M$129)*3+((CM$180/12)*Parts!$M$130)*2</f>
        <v>93.76870000000001</v>
      </c>
      <c r="CN198" s="31">
        <f>((CN$180/12)*Parts!$M$129)*3+((CN$180/12)*Parts!$M$130)*2</f>
        <v>94.787925000000001</v>
      </c>
      <c r="CO198" s="31">
        <f>((CO$180/12)*Parts!$M$129)*3+((CO$180/12)*Parts!$M$130)*2</f>
        <v>95.807149999999993</v>
      </c>
      <c r="CP198" s="31">
        <f>((CP$180/12)*Parts!$M$129)*3+((CP$180/12)*Parts!$M$130)*2</f>
        <v>96.826375000000013</v>
      </c>
      <c r="CQ198" s="31">
        <f>((CQ$180/12)*Parts!$M$129)*3+((CQ$180/12)*Parts!$M$130)*2</f>
        <v>97.845600000000019</v>
      </c>
      <c r="CR198" s="31">
        <f>((CR$180/12)*Parts!$M$129)*3+((CR$180/12)*Parts!$M$130)*2</f>
        <v>98.864825000000025</v>
      </c>
      <c r="CS198" s="31">
        <f>((CS$180/12)*Parts!$M$129)*3+((CS$180/12)*Parts!$M$130)*2</f>
        <v>99.884050000000002</v>
      </c>
      <c r="CT198" s="31">
        <f>((CT$180/12)*Parts!$M$129)*3+((CT$180/12)*Parts!$M$130)*2</f>
        <v>100.90327500000002</v>
      </c>
      <c r="CU198" s="31">
        <f>((CU$180/12)*Parts!$M$129)*3+((CU$180/12)*Parts!$M$130)*2</f>
        <v>101.92250000000001</v>
      </c>
      <c r="CV198" s="31">
        <f>((CV$180/12)*Parts!$M$129)*3+((CV$180/12)*Parts!$M$130)*2</f>
        <v>102.94172500000001</v>
      </c>
      <c r="CW198" s="31">
        <f>((CW$180/12)*Parts!$M$129)*3+((CW$180/12)*Parts!$M$130)*2</f>
        <v>103.96095000000001</v>
      </c>
      <c r="CX198" s="31">
        <f>((CX$180/12)*Parts!$M$129)*3+((CX$180/12)*Parts!$M$130)*2</f>
        <v>104.98017500000002</v>
      </c>
      <c r="CY198" s="31">
        <f>((CY$180/12)*Parts!$M$129)*3+((CY$180/12)*Parts!$M$130)*2</f>
        <v>105.99940000000001</v>
      </c>
      <c r="CZ198" s="31">
        <f>((CZ$180/12)*Parts!$M$129)*3+((CZ$180/12)*Parts!$M$130)*2</f>
        <v>107.01862500000001</v>
      </c>
      <c r="DA198" s="31">
        <f>((DA$180/12)*Parts!$M$129)*3+((DA$180/12)*Parts!$M$130)*2</f>
        <v>108.03785000000002</v>
      </c>
      <c r="DB198" s="31">
        <f>((DB$180/12)*Parts!$M$129)*3+((DB$180/12)*Parts!$M$130)*2</f>
        <v>109.057075</v>
      </c>
      <c r="DC198" s="31">
        <f>((DC$180/12)*Parts!$M$129)*3+((DC$180/12)*Parts!$M$130)*2</f>
        <v>110.0763</v>
      </c>
      <c r="DD198" s="31">
        <f>((DD$180/12)*Parts!$M$129)*3+((DD$180/12)*Parts!$M$130)*2</f>
        <v>111.09552500000002</v>
      </c>
      <c r="DE198" s="31">
        <f>((DE$180/12)*Parts!$M$129)*3+((DE$180/12)*Parts!$M$130)*2</f>
        <v>112.11475000000002</v>
      </c>
      <c r="DF198" s="31">
        <f>((DF$180/12)*Parts!$M$129)*3+((DF$180/12)*Parts!$M$130)*2</f>
        <v>113.13397500000002</v>
      </c>
      <c r="DG198" s="31">
        <f>((DG$180/12)*Parts!$M$129)*3+((DG$180/12)*Parts!$M$130)*2</f>
        <v>114.15320000000001</v>
      </c>
      <c r="DH198" s="31">
        <f>((DH$180/12)*Parts!$M$129)*3+((DH$180/12)*Parts!$M$130)*2</f>
        <v>115.172425</v>
      </c>
      <c r="DI198" s="31">
        <f>((DI$180/12)*Parts!$M$129)*3+((DI$180/12)*Parts!$M$130)*2</f>
        <v>116.19165000000001</v>
      </c>
      <c r="DJ198" s="31">
        <f>((DJ$180/12)*Parts!$M$129)*3+((DJ$180/12)*Parts!$M$130)*2</f>
        <v>117.21087500000002</v>
      </c>
      <c r="DK198" s="31">
        <f>((DK$180/12)*Parts!$M$129)*3+((DK$180/12)*Parts!$M$130)*2</f>
        <v>118.23010000000002</v>
      </c>
      <c r="DL198" s="31">
        <f>((DL$180/12)*Parts!$M$129)*3+((DL$180/12)*Parts!$M$130)*2</f>
        <v>119.249325</v>
      </c>
      <c r="DM198" s="31">
        <f>((DM$180/12)*Parts!$M$129)*3+((DM$180/12)*Parts!$M$130)*2</f>
        <v>120.26855000000002</v>
      </c>
      <c r="DN198" s="31">
        <f>((DN$180/12)*Parts!$M$129)*3+((DN$180/12)*Parts!$M$130)*2</f>
        <v>121.28777500000001</v>
      </c>
      <c r="DO198" s="31">
        <f>((DO$180/12)*Parts!$M$129)*3+((DO$180/12)*Parts!$M$130)*2</f>
        <v>122.30700000000002</v>
      </c>
      <c r="DP198" s="31">
        <f>((DP$180/12)*Parts!$M$129)*3+((DP$180/12)*Parts!$M$130)*2</f>
        <v>123.32622500000002</v>
      </c>
      <c r="DQ198" s="31">
        <f>((DQ$180/12)*Parts!$M$129)*3+((DQ$180/12)*Parts!$M$130)*2</f>
        <v>124.34545000000001</v>
      </c>
      <c r="DR198" s="31">
        <f>((DR$180/12)*Parts!$M$129)*3+((DR$180/12)*Parts!$M$130)*2</f>
        <v>125.36467500000002</v>
      </c>
      <c r="DS198" s="31">
        <f>((DS$180/12)*Parts!$M$129)*3+((DS$180/12)*Parts!$M$130)*2</f>
        <v>126.38390000000001</v>
      </c>
      <c r="DT198" s="31">
        <f>((DT$180/12)*Parts!$M$129)*3+((DT$180/12)*Parts!$M$130)*2</f>
        <v>127.403125</v>
      </c>
      <c r="DU198" s="31">
        <f>((DU$180/12)*Parts!$M$129)*3+((DU$180/12)*Parts!$M$130)*2</f>
        <v>128.42235000000002</v>
      </c>
      <c r="DV198" s="31">
        <f>((DV$180/12)*Parts!$M$129)*3+((DV$180/12)*Parts!$M$130)*2</f>
        <v>129.44157500000003</v>
      </c>
      <c r="DW198" s="31">
        <f>((DW$180/12)*Parts!$M$129)*3+((DW$180/12)*Parts!$M$130)*2</f>
        <v>130.46080000000001</v>
      </c>
      <c r="DX198" s="31">
        <f>((DX$180/12)*Parts!$M$129)*3+((DX$180/12)*Parts!$M$130)*2</f>
        <v>131.48002500000001</v>
      </c>
      <c r="DY198" s="31">
        <f>((DY$180/12)*Parts!$M$129)*3+((DY$180/12)*Parts!$M$130)*2</f>
        <v>132.49925000000002</v>
      </c>
      <c r="DZ198" s="31">
        <f>((DZ$180/12)*Parts!$M$129)*3+((DZ$180/12)*Parts!$M$130)*2</f>
        <v>133.51847500000002</v>
      </c>
      <c r="EA198" s="31">
        <f>((EA$180/12)*Parts!$M$129)*3+((EA$180/12)*Parts!$M$130)*2</f>
        <v>134.53770000000003</v>
      </c>
      <c r="EB198" s="31">
        <f>((EB$180/12)*Parts!$M$129)*3+((EB$180/12)*Parts!$M$130)*2</f>
        <v>135.55692500000004</v>
      </c>
      <c r="EC198" s="31">
        <f>((EC$180/12)*Parts!$M$129)*3+((EC$180/12)*Parts!$M$130)*2</f>
        <v>136.57614999999998</v>
      </c>
      <c r="ED198" s="31">
        <f>((ED$180/12)*Parts!$M$129)*3+((ED$180/12)*Parts!$M$130)*2</f>
        <v>137.59537500000002</v>
      </c>
      <c r="EE198" s="31">
        <f>((EE$180/12)*Parts!$M$129)*3+((EE$180/12)*Parts!$M$130)*2</f>
        <v>138.61460000000002</v>
      </c>
      <c r="EF198" s="31">
        <f>((EF$180/12)*Parts!$M$129)*3+((EF$180/12)*Parts!$M$130)*2</f>
        <v>139.633825</v>
      </c>
      <c r="EG198" s="31">
        <f>((EG$180/12)*Parts!$M$129)*3+((EG$180/12)*Parts!$M$130)*2</f>
        <v>140.65305000000001</v>
      </c>
      <c r="EH198" s="31">
        <f>((EH$180/12)*Parts!$M$129)*3+((EH$180/12)*Parts!$M$130)*2</f>
        <v>141.67227500000001</v>
      </c>
      <c r="EI198" s="31">
        <f>((EI$180/12)*Parts!$M$129)*3+((EI$180/12)*Parts!$M$130)*2</f>
        <v>142.69149999999999</v>
      </c>
      <c r="EJ198" s="31">
        <f>((EJ$180/12)*Parts!$M$129)*3+((EJ$180/12)*Parts!$M$130)*2</f>
        <v>143.71072500000002</v>
      </c>
      <c r="EK198" s="31">
        <f>((EK$180/12)*Parts!$M$129)*3+((EK$180/12)*Parts!$M$130)*2</f>
        <v>144.72995000000003</v>
      </c>
      <c r="EL198" s="31">
        <f>((EL$180/12)*Parts!$M$129)*3+((EL$180/12)*Parts!$M$130)*2</f>
        <v>145.74917499999998</v>
      </c>
      <c r="EM198" s="31">
        <f>((EM$180/12)*Parts!$M$129)*3+((EM$180/12)*Parts!$M$130)*2</f>
        <v>146.76840000000001</v>
      </c>
      <c r="EN198" s="31">
        <f>((EN$180/12)*Parts!$M$129)*3+((EN$180/12)*Parts!$M$130)*2</f>
        <v>147.78762500000005</v>
      </c>
      <c r="EO198" s="31">
        <f>((EO$180/12)*Parts!$M$129)*3+((EO$180/12)*Parts!$M$130)*2</f>
        <v>148.80685</v>
      </c>
      <c r="EP198" s="31">
        <f>((EP$180/12)*Parts!$M$129)*3+((EP$180/12)*Parts!$M$130)*2</f>
        <v>149.82607500000003</v>
      </c>
      <c r="EQ198" s="31">
        <f>((EQ$180/12)*Parts!$M$129)*3+((EQ$180/12)*Parts!$M$130)*2</f>
        <v>150.84530000000004</v>
      </c>
      <c r="ER198" s="31">
        <f>((ER$180/12)*Parts!$M$129)*3+((ER$180/12)*Parts!$M$130)*2</f>
        <v>151.86452500000001</v>
      </c>
      <c r="ES198" s="31">
        <f>((ES$180/12)*Parts!$M$129)*3+((ES$180/12)*Parts!$M$130)*2</f>
        <v>152.88375000000002</v>
      </c>
      <c r="ET198" s="31">
        <f>((ET$180/12)*Parts!$M$129)*3+((ET$180/12)*Parts!$M$130)*2</f>
        <v>153.90297500000003</v>
      </c>
      <c r="EU198" s="31">
        <f>((EU$180/12)*Parts!$M$129)*3+((EU$180/12)*Parts!$M$130)*2</f>
        <v>154.9222</v>
      </c>
      <c r="EV198" s="31">
        <f>((EV$180/12)*Parts!$M$129)*3+((EV$180/12)*Parts!$M$130)*2</f>
        <v>155.94142500000001</v>
      </c>
      <c r="EW198" s="31">
        <f>((EW$180/12)*Parts!$M$129)*3+((EW$180/12)*Parts!$M$130)*2</f>
        <v>156.96065000000004</v>
      </c>
      <c r="EX198" s="31">
        <f>((EX$180/12)*Parts!$M$129)*3+((EX$180/12)*Parts!$M$130)*2</f>
        <v>157.97987499999999</v>
      </c>
      <c r="EY198" s="31">
        <f>((EY$180/12)*Parts!$M$129)*3+((EY$180/12)*Parts!$M$130)*2</f>
        <v>158.99910000000003</v>
      </c>
      <c r="EZ198" s="31">
        <f>((EZ$180/12)*Parts!$M$129)*3+((EZ$180/12)*Parts!$M$130)*2</f>
        <v>160.01832500000003</v>
      </c>
      <c r="FA198" s="31">
        <f>((FA$180/12)*Parts!$M$129)*3+((FA$180/12)*Parts!$M$130)*2</f>
        <v>161.03755000000001</v>
      </c>
      <c r="FB198" s="31">
        <f>((FB$180/12)*Parts!$M$129)*3+((FB$180/12)*Parts!$M$130)*2</f>
        <v>162.05677500000002</v>
      </c>
      <c r="FC198" s="31">
        <f>((FC$180/12)*Parts!$M$129)*3+((FC$180/12)*Parts!$M$130)*2</f>
        <v>163.07600000000002</v>
      </c>
      <c r="FD198" s="31">
        <f>((FD$180/12)*Parts!$M$129)*3+((FD$180/12)*Parts!$M$130)*2</f>
        <v>164.09522500000003</v>
      </c>
      <c r="FE198" s="31">
        <f>((FE$180/12)*Parts!$M$129)*3+((FE$180/12)*Parts!$M$130)*2</f>
        <v>165.11445000000003</v>
      </c>
      <c r="FF198" s="31">
        <f>((FF$180/12)*Parts!$M$129)*3+((FF$180/12)*Parts!$M$130)*2</f>
        <v>166.13367500000004</v>
      </c>
      <c r="FG198" s="31">
        <f>((FG$180/12)*Parts!$M$129)*3+((FG$180/12)*Parts!$M$130)*2</f>
        <v>167.15289999999999</v>
      </c>
      <c r="FH198" s="31">
        <f>((FH$180/12)*Parts!$M$129)*3+((FH$180/12)*Parts!$M$130)*2</f>
        <v>168.17212500000002</v>
      </c>
      <c r="FI198" s="31">
        <f>((FI$180/12)*Parts!$M$129)*3+((FI$180/12)*Parts!$M$130)*2</f>
        <v>169.19135000000003</v>
      </c>
      <c r="FJ198" s="31">
        <f>((FJ$180/12)*Parts!$M$129)*3+((FJ$180/12)*Parts!$M$130)*2</f>
        <v>170.21057500000001</v>
      </c>
      <c r="FK198" s="31">
        <f>((FK$180/12)*Parts!$M$129)*3+((FK$180/12)*Parts!$M$130)*2</f>
        <v>171.22980000000001</v>
      </c>
    </row>
    <row r="199" spans="7:167" ht="18.75">
      <c r="G199" s="140"/>
      <c r="H199" s="140"/>
      <c r="I199" s="140">
        <v>43</v>
      </c>
      <c r="J199" s="140">
        <v>30.5</v>
      </c>
      <c r="K199" s="140"/>
      <c r="L199" s="140"/>
      <c r="M199" s="140"/>
      <c r="N199" s="142"/>
      <c r="O199" s="142"/>
      <c r="P199" s="140"/>
      <c r="Q199" s="140"/>
      <c r="R199" s="140"/>
      <c r="S199" s="140"/>
      <c r="T199" s="140"/>
      <c r="V199" s="142" t="s">
        <v>489</v>
      </c>
      <c r="W199" s="31">
        <f>((W$180/12)*Parts!$M$129)*4+((W$180/12)*Parts!$M$130)</f>
        <v>26.597200000000004</v>
      </c>
      <c r="X199" s="31">
        <f>((X$180/12)*Parts!$M$129)*4+((X$180/12)*Parts!$M$130)</f>
        <v>27.705416666666672</v>
      </c>
      <c r="Y199" s="31">
        <f>((Y$180/12)*Parts!$M$129)*4+((Y$180/12)*Parts!$M$130)</f>
        <v>28.813633333333335</v>
      </c>
      <c r="Z199" s="31">
        <f>((Z$180/12)*Parts!$M$129)*4+((Z$180/12)*Parts!$M$130)</f>
        <v>29.921850000000003</v>
      </c>
      <c r="AA199" s="31">
        <f>((AA$180/12)*Parts!$M$129)*4+((AA$180/12)*Parts!$M$130)</f>
        <v>31.03006666666667</v>
      </c>
      <c r="AB199" s="31">
        <f>((AB$180/12)*Parts!$M$129)*4+((AB$180/12)*Parts!$M$130)</f>
        <v>32.138283333333334</v>
      </c>
      <c r="AC199" s="31">
        <f>((AC$180/12)*Parts!$M$129)*4+((AC$180/12)*Parts!$M$130)</f>
        <v>33.246500000000005</v>
      </c>
      <c r="AD199" s="31">
        <f>((AD$180/12)*Parts!$M$129)*4+((AD$180/12)*Parts!$M$130)</f>
        <v>34.354716666666675</v>
      </c>
      <c r="AE199" s="31">
        <f>((AE$180/12)*Parts!$M$129)*4+((AE$180/12)*Parts!$M$130)</f>
        <v>35.462933333333339</v>
      </c>
      <c r="AF199" s="31">
        <f>((AF$180/12)*Parts!$M$129)*4+((AF$180/12)*Parts!$M$130)</f>
        <v>36.571150000000003</v>
      </c>
      <c r="AG199" s="31">
        <f>((AG$180/12)*Parts!$M$129)*4+((AG$180/12)*Parts!$M$130)</f>
        <v>37.679366666666674</v>
      </c>
      <c r="AH199" s="31">
        <f>((AH$180/12)*Parts!$M$129)*4+((AH$180/12)*Parts!$M$130)</f>
        <v>38.78758333333333</v>
      </c>
      <c r="AI199" s="31">
        <f>((AI$180/12)*Parts!$M$129)*4+((AI$180/12)*Parts!$M$130)</f>
        <v>39.895800000000008</v>
      </c>
      <c r="AJ199" s="31">
        <f>((AJ$180/12)*Parts!$M$129)*4+((AJ$180/12)*Parts!$M$130)</f>
        <v>41.004016666666679</v>
      </c>
      <c r="AK199" s="31">
        <f>((AK$180/12)*Parts!$M$129)*4+((AK$180/12)*Parts!$M$130)</f>
        <v>42.112233333333336</v>
      </c>
      <c r="AL199" s="31">
        <f>((AL$180/12)*Parts!$M$129)*4+((AL$180/12)*Parts!$M$130)</f>
        <v>43.220450000000007</v>
      </c>
      <c r="AM199" s="31">
        <f>((AM$180/12)*Parts!$M$129)*4+((AM$180/12)*Parts!$M$130)</f>
        <v>44.328666666666678</v>
      </c>
      <c r="AN199" s="31">
        <f>((AN$180/12)*Parts!$M$129)*4+((AN$180/12)*Parts!$M$130)</f>
        <v>45.436883333333334</v>
      </c>
      <c r="AO199" s="31">
        <f>((AO$180/12)*Parts!$M$129)*4+((AO$180/12)*Parts!$M$130)</f>
        <v>46.545100000000005</v>
      </c>
      <c r="AP199" s="31">
        <f>((AP$180/12)*Parts!$M$129)*4+((AP$180/12)*Parts!$M$130)</f>
        <v>47.653316666666676</v>
      </c>
      <c r="AQ199" s="31">
        <f>((AQ$180/12)*Parts!$M$129)*4+((AQ$180/12)*Parts!$M$130)</f>
        <v>48.761533333333333</v>
      </c>
      <c r="AR199" s="31">
        <f>((AR$180/12)*Parts!$M$129)*4+((AR$180/12)*Parts!$M$130)</f>
        <v>49.86975000000001</v>
      </c>
      <c r="AS199" s="31">
        <f>((AS$180/12)*Parts!$M$129)*4+((AS$180/12)*Parts!$M$130)</f>
        <v>50.977966666666681</v>
      </c>
      <c r="AT199" s="31">
        <f>((AT$180/12)*Parts!$M$129)*4+((AT$180/12)*Parts!$M$130)</f>
        <v>52.086183333333338</v>
      </c>
      <c r="AU199" s="31">
        <f>((AU$180/12)*Parts!$M$129)*4+((AU$180/12)*Parts!$M$130)</f>
        <v>53.194400000000009</v>
      </c>
      <c r="AV199" s="31">
        <f>((AV$180/12)*Parts!$M$129)*4+((AV$180/12)*Parts!$M$130)</f>
        <v>54.302616666666673</v>
      </c>
      <c r="AW199" s="31">
        <f>((AW$180/12)*Parts!$M$129)*4+((AW$180/12)*Parts!$M$130)</f>
        <v>55.410833333333343</v>
      </c>
      <c r="AX199" s="31">
        <f>((AX$180/12)*Parts!$M$129)*4+((AX$180/12)*Parts!$M$130)</f>
        <v>56.519050000000007</v>
      </c>
      <c r="AY199" s="31">
        <f>((AY$180/12)*Parts!$M$129)*4+((AY$180/12)*Parts!$M$130)</f>
        <v>57.627266666666671</v>
      </c>
      <c r="AZ199" s="31">
        <f>((AZ$180/12)*Parts!$M$129)*4+((AZ$180/12)*Parts!$M$130)</f>
        <v>58.735483333333342</v>
      </c>
      <c r="BA199" s="31">
        <f>((BA$180/12)*Parts!$M$129)*4+((BA$180/12)*Parts!$M$130)</f>
        <v>59.843700000000005</v>
      </c>
      <c r="BB199" s="31">
        <f>((BB$180/12)*Parts!$M$129)*4+((BB$180/12)*Parts!$M$130)</f>
        <v>60.951916666666669</v>
      </c>
      <c r="BC199" s="31">
        <f>((BC$180/12)*Parts!$M$129)*4+((BC$180/12)*Parts!$M$130)</f>
        <v>62.06013333333334</v>
      </c>
      <c r="BD199" s="31">
        <f>((BD$180/12)*Parts!$M$129)*4+((BD$180/12)*Parts!$M$130)</f>
        <v>63.168350000000011</v>
      </c>
      <c r="BE199" s="31">
        <f>((BE$180/12)*Parts!$M$129)*4+((BE$180/12)*Parts!$M$130)</f>
        <v>64.276566666666668</v>
      </c>
      <c r="BF199" s="31">
        <f>((BF$180/12)*Parts!$M$129)*4+((BF$180/12)*Parts!$M$130)</f>
        <v>65.384783333333345</v>
      </c>
      <c r="BG199" s="31">
        <f>((BG$180/12)*Parts!$M$129)*4+((BG$180/12)*Parts!$M$130)</f>
        <v>66.493000000000009</v>
      </c>
      <c r="BH199" s="31">
        <f>((BH$180/12)*Parts!$M$129)*4+((BH$180/12)*Parts!$M$130)</f>
        <v>67.601216666666673</v>
      </c>
      <c r="BI199" s="31">
        <f>((BI$180/12)*Parts!$M$129)*4+((BI$180/12)*Parts!$M$130)</f>
        <v>68.709433333333351</v>
      </c>
      <c r="BJ199" s="31">
        <f>((BJ$180/12)*Parts!$M$129)*4+((BJ$180/12)*Parts!$M$130)</f>
        <v>69.817650000000015</v>
      </c>
      <c r="BK199" s="31">
        <f>((BK$180/12)*Parts!$M$129)*4+((BK$180/12)*Parts!$M$130)</f>
        <v>70.925866666666678</v>
      </c>
      <c r="BL199" s="31">
        <f>((BL$180/12)*Parts!$M$129)*4+((BL$180/12)*Parts!$M$130)</f>
        <v>72.034083333333342</v>
      </c>
      <c r="BM199" s="31">
        <f>((BM$180/12)*Parts!$M$129)*4+((BM$180/12)*Parts!$M$130)</f>
        <v>73.142300000000006</v>
      </c>
      <c r="BN199" s="31">
        <f>((BN$180/12)*Parts!$M$129)*4+((BN$180/12)*Parts!$M$130)</f>
        <v>74.25051666666667</v>
      </c>
      <c r="BO199" s="31">
        <f>((BO$180/12)*Parts!$M$129)*4+((BO$180/12)*Parts!$M$130)</f>
        <v>75.358733333333348</v>
      </c>
      <c r="BP199" s="31">
        <f>((BP$180/12)*Parts!$M$129)*4+((BP$180/12)*Parts!$M$130)</f>
        <v>76.466950000000011</v>
      </c>
      <c r="BQ199" s="31">
        <f>((BQ$180/12)*Parts!$M$129)*4+((BQ$180/12)*Parts!$M$130)</f>
        <v>77.575166666666661</v>
      </c>
      <c r="BR199" s="31">
        <f>((BR$180/12)*Parts!$M$129)*4+((BR$180/12)*Parts!$M$130)</f>
        <v>78.683383333333353</v>
      </c>
      <c r="BS199" s="31">
        <f>((BS$180/12)*Parts!$M$129)*4+((BS$180/12)*Parts!$M$130)</f>
        <v>79.791600000000017</v>
      </c>
      <c r="BT199" s="31">
        <f>((BT$180/12)*Parts!$M$129)*4+((BT$180/12)*Parts!$M$130)</f>
        <v>80.899816666666666</v>
      </c>
      <c r="BU199" s="31">
        <f>((BU$180/12)*Parts!$M$129)*4+((BU$180/12)*Parts!$M$130)</f>
        <v>82.008033333333358</v>
      </c>
      <c r="BV199" s="31">
        <f>((BV$180/12)*Parts!$M$129)*4+((BV$180/12)*Parts!$M$130)</f>
        <v>83.116250000000008</v>
      </c>
      <c r="BW199" s="31">
        <f>((BW$180/12)*Parts!$M$129)*4+((BW$180/12)*Parts!$M$130)</f>
        <v>84.224466666666672</v>
      </c>
      <c r="BX199" s="31">
        <f>((BX$180/12)*Parts!$M$129)*4+((BX$180/12)*Parts!$M$130)</f>
        <v>85.33268333333335</v>
      </c>
      <c r="BY199" s="31">
        <f>((BY$180/12)*Parts!$M$129)*4+((BY$180/12)*Parts!$M$130)</f>
        <v>86.440900000000013</v>
      </c>
      <c r="BZ199" s="31">
        <f>((BZ$180/12)*Parts!$M$129)*4+((BZ$180/12)*Parts!$M$130)</f>
        <v>87.549116666666663</v>
      </c>
      <c r="CA199" s="31">
        <f>((CA$180/12)*Parts!$M$129)*4+((CA$180/12)*Parts!$M$130)</f>
        <v>88.657333333333355</v>
      </c>
      <c r="CB199" s="31">
        <f>((CB$180/12)*Parts!$M$129)*4+((CB$180/12)*Parts!$M$130)</f>
        <v>89.765550000000019</v>
      </c>
      <c r="CC199" s="31">
        <f>((CC$180/12)*Parts!$M$129)*4+((CC$180/12)*Parts!$M$130)</f>
        <v>90.873766666666668</v>
      </c>
      <c r="CD199" s="31">
        <f>((CD$180/12)*Parts!$M$129)*4+((CD$180/12)*Parts!$M$130)</f>
        <v>91.981983333333361</v>
      </c>
      <c r="CE199" s="31">
        <f>((CE$180/12)*Parts!$M$129)*4+((CE$180/12)*Parts!$M$130)</f>
        <v>93.09020000000001</v>
      </c>
      <c r="CF199" s="31">
        <f>((CF$180/12)*Parts!$M$129)*4+((CF$180/12)*Parts!$M$130)</f>
        <v>94.198416666666674</v>
      </c>
      <c r="CG199" s="31">
        <f>((CG$180/12)*Parts!$M$129)*4+((CG$180/12)*Parts!$M$130)</f>
        <v>95.306633333333352</v>
      </c>
      <c r="CH199" s="31">
        <f>((CH$180/12)*Parts!$M$129)*4+((CH$180/12)*Parts!$M$130)</f>
        <v>96.414850000000015</v>
      </c>
      <c r="CI199" s="31">
        <f>((CI$180/12)*Parts!$M$129)*4+((CI$180/12)*Parts!$M$130)</f>
        <v>97.523066666666665</v>
      </c>
      <c r="CJ199" s="31">
        <f>((CJ$180/12)*Parts!$M$129)*4+((CJ$180/12)*Parts!$M$130)</f>
        <v>98.631283333333357</v>
      </c>
      <c r="CK199" s="31">
        <f>((CK$180/12)*Parts!$M$129)*4+((CK$180/12)*Parts!$M$130)</f>
        <v>99.739500000000021</v>
      </c>
      <c r="CL199" s="31">
        <f>((CL$180/12)*Parts!$M$129)*4+((CL$180/12)*Parts!$M$130)</f>
        <v>100.84771666666667</v>
      </c>
      <c r="CM199" s="31">
        <f>((CM$180/12)*Parts!$M$129)*4+((CM$180/12)*Parts!$M$130)</f>
        <v>101.95593333333336</v>
      </c>
      <c r="CN199" s="31">
        <f>((CN$180/12)*Parts!$M$129)*4+((CN$180/12)*Parts!$M$130)</f>
        <v>103.06415000000001</v>
      </c>
      <c r="CO199" s="31">
        <f>((CO$180/12)*Parts!$M$129)*4+((CO$180/12)*Parts!$M$130)</f>
        <v>104.17236666666668</v>
      </c>
      <c r="CP199" s="31">
        <f>((CP$180/12)*Parts!$M$129)*4+((CP$180/12)*Parts!$M$130)</f>
        <v>105.28058333333335</v>
      </c>
      <c r="CQ199" s="31">
        <f>((CQ$180/12)*Parts!$M$129)*4+((CQ$180/12)*Parts!$M$130)</f>
        <v>106.38880000000002</v>
      </c>
      <c r="CR199" s="31">
        <f>((CR$180/12)*Parts!$M$129)*4+((CR$180/12)*Parts!$M$130)</f>
        <v>107.49701666666668</v>
      </c>
      <c r="CS199" s="31">
        <f>((CS$180/12)*Parts!$M$129)*4+((CS$180/12)*Parts!$M$130)</f>
        <v>108.60523333333335</v>
      </c>
      <c r="CT199" s="31">
        <f>((CT$180/12)*Parts!$M$129)*4+((CT$180/12)*Parts!$M$130)</f>
        <v>109.71345000000001</v>
      </c>
      <c r="CU199" s="31">
        <f>((CU$180/12)*Parts!$M$129)*4+((CU$180/12)*Parts!$M$130)</f>
        <v>110.82166666666669</v>
      </c>
      <c r="CV199" s="31">
        <f>((CV$180/12)*Parts!$M$129)*4+((CV$180/12)*Parts!$M$130)</f>
        <v>111.92988333333334</v>
      </c>
      <c r="CW199" s="31">
        <f>((CW$180/12)*Parts!$M$129)*4+((CW$180/12)*Parts!$M$130)</f>
        <v>113.03810000000001</v>
      </c>
      <c r="CX199" s="31">
        <f>((CX$180/12)*Parts!$M$129)*4+((CX$180/12)*Parts!$M$130)</f>
        <v>114.14631666666669</v>
      </c>
      <c r="CY199" s="31">
        <f>((CY$180/12)*Parts!$M$129)*4+((CY$180/12)*Parts!$M$130)</f>
        <v>115.25453333333334</v>
      </c>
      <c r="CZ199" s="31">
        <f>((CZ$180/12)*Parts!$M$129)*4+((CZ$180/12)*Parts!$M$130)</f>
        <v>116.36275000000002</v>
      </c>
      <c r="DA199" s="31">
        <f>((DA$180/12)*Parts!$M$129)*4+((DA$180/12)*Parts!$M$130)</f>
        <v>117.47096666666668</v>
      </c>
      <c r="DB199" s="31">
        <f>((DB$180/12)*Parts!$M$129)*4+((DB$180/12)*Parts!$M$130)</f>
        <v>118.57918333333335</v>
      </c>
      <c r="DC199" s="31">
        <f>((DC$180/12)*Parts!$M$129)*4+((DC$180/12)*Parts!$M$130)</f>
        <v>119.68740000000001</v>
      </c>
      <c r="DD199" s="31">
        <f>((DD$180/12)*Parts!$M$129)*4+((DD$180/12)*Parts!$M$130)</f>
        <v>120.79561666666669</v>
      </c>
      <c r="DE199" s="31">
        <f>((DE$180/12)*Parts!$M$129)*4+((DE$180/12)*Parts!$M$130)</f>
        <v>121.90383333333334</v>
      </c>
      <c r="DF199" s="31">
        <f>((DF$180/12)*Parts!$M$129)*4+((DF$180/12)*Parts!$M$130)</f>
        <v>123.01205000000002</v>
      </c>
      <c r="DG199" s="31">
        <f>((DG$180/12)*Parts!$M$129)*4+((DG$180/12)*Parts!$M$130)</f>
        <v>124.12026666666668</v>
      </c>
      <c r="DH199" s="31">
        <f>((DH$180/12)*Parts!$M$129)*4+((DH$180/12)*Parts!$M$130)</f>
        <v>125.22848333333334</v>
      </c>
      <c r="DI199" s="31">
        <f>((DI$180/12)*Parts!$M$129)*4+((DI$180/12)*Parts!$M$130)</f>
        <v>126.33670000000002</v>
      </c>
      <c r="DJ199" s="31">
        <f>((DJ$180/12)*Parts!$M$129)*4+((DJ$180/12)*Parts!$M$130)</f>
        <v>127.44491666666669</v>
      </c>
      <c r="DK199" s="31">
        <f>((DK$180/12)*Parts!$M$129)*4+((DK$180/12)*Parts!$M$130)</f>
        <v>128.55313333333334</v>
      </c>
      <c r="DL199" s="31">
        <f>((DL$180/12)*Parts!$M$129)*4+((DL$180/12)*Parts!$M$130)</f>
        <v>129.66135000000003</v>
      </c>
      <c r="DM199" s="31">
        <f>((DM$180/12)*Parts!$M$129)*4+((DM$180/12)*Parts!$M$130)</f>
        <v>130.76956666666669</v>
      </c>
      <c r="DN199" s="31">
        <f>((DN$180/12)*Parts!$M$129)*4+((DN$180/12)*Parts!$M$130)</f>
        <v>131.87778333333335</v>
      </c>
      <c r="DO199" s="31">
        <f>((DO$180/12)*Parts!$M$129)*4+((DO$180/12)*Parts!$M$130)</f>
        <v>132.98600000000002</v>
      </c>
      <c r="DP199" s="31">
        <f>((DP$180/12)*Parts!$M$129)*4+((DP$180/12)*Parts!$M$130)</f>
        <v>134.09421666666668</v>
      </c>
      <c r="DQ199" s="31">
        <f>((DQ$180/12)*Parts!$M$129)*4+((DQ$180/12)*Parts!$M$130)</f>
        <v>135.20243333333335</v>
      </c>
      <c r="DR199" s="31">
        <f>((DR$180/12)*Parts!$M$129)*4+((DR$180/12)*Parts!$M$130)</f>
        <v>136.31065000000001</v>
      </c>
      <c r="DS199" s="31">
        <f>((DS$180/12)*Parts!$M$129)*4+((DS$180/12)*Parts!$M$130)</f>
        <v>137.4188666666667</v>
      </c>
      <c r="DT199" s="31">
        <f>((DT$180/12)*Parts!$M$129)*4+((DT$180/12)*Parts!$M$130)</f>
        <v>138.52708333333334</v>
      </c>
      <c r="DU199" s="31">
        <f>((DU$180/12)*Parts!$M$129)*4+((DU$180/12)*Parts!$M$130)</f>
        <v>139.63530000000003</v>
      </c>
      <c r="DV199" s="31">
        <f>((DV$180/12)*Parts!$M$129)*4+((DV$180/12)*Parts!$M$130)</f>
        <v>140.74351666666669</v>
      </c>
      <c r="DW199" s="31">
        <f>((DW$180/12)*Parts!$M$129)*4+((DW$180/12)*Parts!$M$130)</f>
        <v>141.85173333333336</v>
      </c>
      <c r="DX199" s="31">
        <f>((DX$180/12)*Parts!$M$129)*4+((DX$180/12)*Parts!$M$130)</f>
        <v>142.95995000000002</v>
      </c>
      <c r="DY199" s="31">
        <f>((DY$180/12)*Parts!$M$129)*4+((DY$180/12)*Parts!$M$130)</f>
        <v>144.06816666666668</v>
      </c>
      <c r="DZ199" s="31">
        <f>((DZ$180/12)*Parts!$M$129)*4+((DZ$180/12)*Parts!$M$130)</f>
        <v>145.17638333333335</v>
      </c>
      <c r="EA199" s="31">
        <f>((EA$180/12)*Parts!$M$129)*4+((EA$180/12)*Parts!$M$130)</f>
        <v>146.28460000000001</v>
      </c>
      <c r="EB199" s="31">
        <f>((EB$180/12)*Parts!$M$129)*4+((EB$180/12)*Parts!$M$130)</f>
        <v>147.3928166666667</v>
      </c>
      <c r="EC199" s="31">
        <f>((EC$180/12)*Parts!$M$129)*4+((EC$180/12)*Parts!$M$130)</f>
        <v>148.50103333333334</v>
      </c>
      <c r="ED199" s="31">
        <f>((ED$180/12)*Parts!$M$129)*4+((ED$180/12)*Parts!$M$130)</f>
        <v>149.60925000000003</v>
      </c>
      <c r="EE199" s="31">
        <f>((EE$180/12)*Parts!$M$129)*4+((EE$180/12)*Parts!$M$130)</f>
        <v>150.7174666666667</v>
      </c>
      <c r="EF199" s="31">
        <f>((EF$180/12)*Parts!$M$129)*4+((EF$180/12)*Parts!$M$130)</f>
        <v>151.82568333333333</v>
      </c>
      <c r="EG199" s="31">
        <f>((EG$180/12)*Parts!$M$129)*4+((EG$180/12)*Parts!$M$130)</f>
        <v>152.93390000000002</v>
      </c>
      <c r="EH199" s="31">
        <f>((EH$180/12)*Parts!$M$129)*4+((EH$180/12)*Parts!$M$130)</f>
        <v>154.04211666666671</v>
      </c>
      <c r="EI199" s="31">
        <f>((EI$180/12)*Parts!$M$129)*4+((EI$180/12)*Parts!$M$130)</f>
        <v>155.15033333333332</v>
      </c>
      <c r="EJ199" s="31">
        <f>((EJ$180/12)*Parts!$M$129)*4+((EJ$180/12)*Parts!$M$130)</f>
        <v>156.25855000000001</v>
      </c>
      <c r="EK199" s="31">
        <f>((EK$180/12)*Parts!$M$129)*4+((EK$180/12)*Parts!$M$130)</f>
        <v>157.36676666666671</v>
      </c>
      <c r="EL199" s="31">
        <f>((EL$180/12)*Parts!$M$129)*4+((EL$180/12)*Parts!$M$130)</f>
        <v>158.47498333333334</v>
      </c>
      <c r="EM199" s="31">
        <f>((EM$180/12)*Parts!$M$129)*4+((EM$180/12)*Parts!$M$130)</f>
        <v>159.58320000000003</v>
      </c>
      <c r="EN199" s="31">
        <f>((EN$180/12)*Parts!$M$129)*4+((EN$180/12)*Parts!$M$130)</f>
        <v>160.6914166666667</v>
      </c>
      <c r="EO199" s="31">
        <f>((EO$180/12)*Parts!$M$129)*4+((EO$180/12)*Parts!$M$130)</f>
        <v>161.79963333333333</v>
      </c>
      <c r="EP199" s="31">
        <f>((EP$180/12)*Parts!$M$129)*4+((EP$180/12)*Parts!$M$130)</f>
        <v>162.90785000000002</v>
      </c>
      <c r="EQ199" s="31">
        <f>((EQ$180/12)*Parts!$M$129)*4+((EQ$180/12)*Parts!$M$130)</f>
        <v>164.01606666666672</v>
      </c>
      <c r="ER199" s="31">
        <f>((ER$180/12)*Parts!$M$129)*4+((ER$180/12)*Parts!$M$130)</f>
        <v>165.12428333333332</v>
      </c>
      <c r="ES199" s="31">
        <f>((ES$180/12)*Parts!$M$129)*4+((ES$180/12)*Parts!$M$130)</f>
        <v>166.23250000000002</v>
      </c>
      <c r="ET199" s="31">
        <f>((ET$180/12)*Parts!$M$129)*4+((ET$180/12)*Parts!$M$130)</f>
        <v>167.34071666666671</v>
      </c>
      <c r="EU199" s="31">
        <f>((EU$180/12)*Parts!$M$129)*4+((EU$180/12)*Parts!$M$130)</f>
        <v>168.44893333333334</v>
      </c>
      <c r="EV199" s="31">
        <f>((EV$180/12)*Parts!$M$129)*4+((EV$180/12)*Parts!$M$130)</f>
        <v>169.55715000000004</v>
      </c>
      <c r="EW199" s="31">
        <f>((EW$180/12)*Parts!$M$129)*4+((EW$180/12)*Parts!$M$130)</f>
        <v>170.6653666666667</v>
      </c>
      <c r="EX199" s="31">
        <f>((EX$180/12)*Parts!$M$129)*4+((EX$180/12)*Parts!$M$130)</f>
        <v>171.77358333333333</v>
      </c>
      <c r="EY199" s="31">
        <f>((EY$180/12)*Parts!$M$129)*4+((EY$180/12)*Parts!$M$130)</f>
        <v>172.88180000000003</v>
      </c>
      <c r="EZ199" s="31">
        <f>((EZ$180/12)*Parts!$M$129)*4+((EZ$180/12)*Parts!$M$130)</f>
        <v>173.99001666666672</v>
      </c>
      <c r="FA199" s="31">
        <f>((FA$180/12)*Parts!$M$129)*4+((FA$180/12)*Parts!$M$130)</f>
        <v>175.09823333333333</v>
      </c>
      <c r="FB199" s="31">
        <f>((FB$180/12)*Parts!$M$129)*4+((FB$180/12)*Parts!$M$130)</f>
        <v>176.20645000000002</v>
      </c>
      <c r="FC199" s="31">
        <f>((FC$180/12)*Parts!$M$129)*4+((FC$180/12)*Parts!$M$130)</f>
        <v>177.31466666666671</v>
      </c>
      <c r="FD199" s="31">
        <f>((FD$180/12)*Parts!$M$129)*4+((FD$180/12)*Parts!$M$130)</f>
        <v>178.42288333333335</v>
      </c>
      <c r="FE199" s="31">
        <f>((FE$180/12)*Parts!$M$129)*4+((FE$180/12)*Parts!$M$130)</f>
        <v>179.53110000000004</v>
      </c>
      <c r="FF199" s="31">
        <f>((FF$180/12)*Parts!$M$129)*4+((FF$180/12)*Parts!$M$130)</f>
        <v>180.6393166666667</v>
      </c>
      <c r="FG199" s="31">
        <f>((FG$180/12)*Parts!$M$129)*4+((FG$180/12)*Parts!$M$130)</f>
        <v>181.74753333333334</v>
      </c>
      <c r="FH199" s="31">
        <f>((FH$180/12)*Parts!$M$129)*4+((FH$180/12)*Parts!$M$130)</f>
        <v>182.85575000000003</v>
      </c>
      <c r="FI199" s="31">
        <f>((FI$180/12)*Parts!$M$129)*4+((FI$180/12)*Parts!$M$130)</f>
        <v>183.96396666666672</v>
      </c>
      <c r="FJ199" s="31">
        <f>((FJ$180/12)*Parts!$M$129)*4+((FJ$180/12)*Parts!$M$130)</f>
        <v>185.07218333333333</v>
      </c>
      <c r="FK199" s="31">
        <f>((FK$180/12)*Parts!$M$129)*4+((FK$180/12)*Parts!$M$130)</f>
        <v>186.18040000000002</v>
      </c>
    </row>
    <row r="200" spans="7:167" ht="18.75">
      <c r="G200" s="140"/>
      <c r="H200" s="140"/>
      <c r="I200" s="140">
        <v>44</v>
      </c>
      <c r="J200" s="140">
        <v>31</v>
      </c>
      <c r="K200" s="140"/>
      <c r="L200" s="140"/>
      <c r="M200" s="140"/>
      <c r="N200" s="142"/>
      <c r="O200" s="142"/>
      <c r="P200" s="140"/>
      <c r="Q200" s="140"/>
      <c r="R200" s="140"/>
      <c r="S200" s="140"/>
      <c r="T200" s="140"/>
      <c r="V200" s="142" t="s">
        <v>490</v>
      </c>
      <c r="W200" s="31">
        <f>((W$180/12)*Parts!$M$129)*5</f>
        <v>28.733000000000004</v>
      </c>
      <c r="X200" s="31">
        <f>((X$180/12)*Parts!$M$129)*5</f>
        <v>29.93020833333334</v>
      </c>
      <c r="Y200" s="31">
        <f>((Y$180/12)*Parts!$M$129)*5</f>
        <v>31.127416666666669</v>
      </c>
      <c r="Z200" s="31">
        <f>((Z$180/12)*Parts!$M$129)*5</f>
        <v>32.324625000000005</v>
      </c>
      <c r="AA200" s="31">
        <f>((AA$180/12)*Parts!$M$129)*5</f>
        <v>33.52183333333334</v>
      </c>
      <c r="AB200" s="31">
        <f>((AB$180/12)*Parts!$M$129)*5</f>
        <v>34.719041666666669</v>
      </c>
      <c r="AC200" s="31">
        <f>((AC$180/12)*Parts!$M$129)*5</f>
        <v>35.916250000000005</v>
      </c>
      <c r="AD200" s="31">
        <f>((AD$180/12)*Parts!$M$129)*5</f>
        <v>37.113458333333341</v>
      </c>
      <c r="AE200" s="31">
        <f>((AE$180/12)*Parts!$M$129)*5</f>
        <v>38.31066666666667</v>
      </c>
      <c r="AF200" s="31">
        <f>((AF$180/12)*Parts!$M$129)*5</f>
        <v>39.507875000000006</v>
      </c>
      <c r="AG200" s="31">
        <f>((AG$180/12)*Parts!$M$129)*5</f>
        <v>40.705083333333349</v>
      </c>
      <c r="AH200" s="31">
        <f>((AH$180/12)*Parts!$M$129)*5</f>
        <v>41.90229166666667</v>
      </c>
      <c r="AI200" s="31">
        <f>((AI$180/12)*Parts!$M$129)*5</f>
        <v>43.099500000000006</v>
      </c>
      <c r="AJ200" s="31">
        <f>((AJ$180/12)*Parts!$M$129)*5</f>
        <v>44.296708333333342</v>
      </c>
      <c r="AK200" s="31">
        <f>((AK$180/12)*Parts!$M$129)*5</f>
        <v>45.493916666666664</v>
      </c>
      <c r="AL200" s="31">
        <f>((AL$180/12)*Parts!$M$129)*5</f>
        <v>46.691125000000007</v>
      </c>
      <c r="AM200" s="31">
        <f>((AM$180/12)*Parts!$M$129)*5</f>
        <v>47.88833333333335</v>
      </c>
      <c r="AN200" s="31">
        <f>((AN$180/12)*Parts!$M$129)*5</f>
        <v>49.085541666666671</v>
      </c>
      <c r="AO200" s="31">
        <f>((AO$180/12)*Parts!$M$129)*5</f>
        <v>50.282750000000007</v>
      </c>
      <c r="AP200" s="31">
        <f>((AP$180/12)*Parts!$M$129)*5</f>
        <v>51.479958333333343</v>
      </c>
      <c r="AQ200" s="31">
        <f>((AQ$180/12)*Parts!$M$129)*5</f>
        <v>52.677166666666665</v>
      </c>
      <c r="AR200" s="31">
        <f>((AR$180/12)*Parts!$M$129)*5</f>
        <v>53.874375000000008</v>
      </c>
      <c r="AS200" s="31">
        <f>((AS$180/12)*Parts!$M$129)*5</f>
        <v>55.071583333333351</v>
      </c>
      <c r="AT200" s="31">
        <f>((AT$180/12)*Parts!$M$129)*5</f>
        <v>56.268791666666672</v>
      </c>
      <c r="AU200" s="31">
        <f>((AU$180/12)*Parts!$M$129)*5</f>
        <v>57.466000000000008</v>
      </c>
      <c r="AV200" s="31">
        <f>((AV$180/12)*Parts!$M$129)*5</f>
        <v>58.663208333333337</v>
      </c>
      <c r="AW200" s="31">
        <f>((AW$180/12)*Parts!$M$129)*5</f>
        <v>59.86041666666668</v>
      </c>
      <c r="AX200" s="31">
        <f>((AX$180/12)*Parts!$M$129)*5</f>
        <v>61.057625000000009</v>
      </c>
      <c r="AY200" s="31">
        <f>((AY$180/12)*Parts!$M$129)*5</f>
        <v>62.254833333333337</v>
      </c>
      <c r="AZ200" s="31">
        <f>((AZ$180/12)*Parts!$M$129)*5</f>
        <v>63.45204166666668</v>
      </c>
      <c r="BA200" s="31">
        <f>((BA$180/12)*Parts!$M$129)*5</f>
        <v>64.649250000000009</v>
      </c>
      <c r="BB200" s="31">
        <f>((BB$180/12)*Parts!$M$129)*5</f>
        <v>65.846458333333345</v>
      </c>
      <c r="BC200" s="31">
        <f>((BC$180/12)*Parts!$M$129)*5</f>
        <v>67.043666666666681</v>
      </c>
      <c r="BD200" s="31">
        <f>((BD$180/12)*Parts!$M$129)*5</f>
        <v>68.240875000000017</v>
      </c>
      <c r="BE200" s="31">
        <f>((BE$180/12)*Parts!$M$129)*5</f>
        <v>69.438083333333338</v>
      </c>
      <c r="BF200" s="31">
        <f>((BF$180/12)*Parts!$M$129)*5</f>
        <v>70.635291666666674</v>
      </c>
      <c r="BG200" s="31">
        <f>((BG$180/12)*Parts!$M$129)*5</f>
        <v>71.83250000000001</v>
      </c>
      <c r="BH200" s="31">
        <f>((BH$180/12)*Parts!$M$129)*5</f>
        <v>73.029708333333346</v>
      </c>
      <c r="BI200" s="31">
        <f>((BI$180/12)*Parts!$M$129)*5</f>
        <v>74.226916666666682</v>
      </c>
      <c r="BJ200" s="31">
        <f>((BJ$180/12)*Parts!$M$129)*5</f>
        <v>75.424125000000004</v>
      </c>
      <c r="BK200" s="31">
        <f>((BK$180/12)*Parts!$M$129)*5</f>
        <v>76.62133333333334</v>
      </c>
      <c r="BL200" s="31">
        <f>((BL$180/12)*Parts!$M$129)*5</f>
        <v>77.818541666666675</v>
      </c>
      <c r="BM200" s="31">
        <f>((BM$180/12)*Parts!$M$129)*5</f>
        <v>79.015750000000011</v>
      </c>
      <c r="BN200" s="31">
        <f>((BN$180/12)*Parts!$M$129)*5</f>
        <v>80.212958333333333</v>
      </c>
      <c r="BO200" s="31">
        <f>((BO$180/12)*Parts!$M$129)*5</f>
        <v>81.410166666666697</v>
      </c>
      <c r="BP200" s="31">
        <f>((BP$180/12)*Parts!$M$129)*5</f>
        <v>82.607375000000019</v>
      </c>
      <c r="BQ200" s="31">
        <f>((BQ$180/12)*Parts!$M$129)*5</f>
        <v>83.804583333333341</v>
      </c>
      <c r="BR200" s="31">
        <f>((BR$180/12)*Parts!$M$129)*5</f>
        <v>85.001791666666691</v>
      </c>
      <c r="BS200" s="31">
        <f>((BS$180/12)*Parts!$M$129)*5</f>
        <v>86.199000000000012</v>
      </c>
      <c r="BT200" s="31">
        <f>((BT$180/12)*Parts!$M$129)*5</f>
        <v>87.396208333333334</v>
      </c>
      <c r="BU200" s="31">
        <f>((BU$180/12)*Parts!$M$129)*5</f>
        <v>88.593416666666684</v>
      </c>
      <c r="BV200" s="31">
        <f>((BV$180/12)*Parts!$M$129)*5</f>
        <v>89.790625000000006</v>
      </c>
      <c r="BW200" s="31">
        <f>((BW$180/12)*Parts!$M$129)*5</f>
        <v>90.987833333333327</v>
      </c>
      <c r="BX200" s="31">
        <f>((BX$180/12)*Parts!$M$129)*5</f>
        <v>92.185041666666692</v>
      </c>
      <c r="BY200" s="31">
        <f>((BY$180/12)*Parts!$M$129)*5</f>
        <v>93.382250000000013</v>
      </c>
      <c r="BZ200" s="31">
        <f>((BZ$180/12)*Parts!$M$129)*5</f>
        <v>94.579458333333335</v>
      </c>
      <c r="CA200" s="31">
        <f>((CA$180/12)*Parts!$M$129)*5</f>
        <v>95.776666666666699</v>
      </c>
      <c r="CB200" s="31">
        <f>((CB$180/12)*Parts!$M$129)*5</f>
        <v>96.973875000000021</v>
      </c>
      <c r="CC200" s="31">
        <f>((CC$180/12)*Parts!$M$129)*5</f>
        <v>98.171083333333343</v>
      </c>
      <c r="CD200" s="31">
        <f>((CD$180/12)*Parts!$M$129)*5</f>
        <v>99.368291666666693</v>
      </c>
      <c r="CE200" s="31">
        <f>((CE$180/12)*Parts!$M$129)*5</f>
        <v>100.56550000000001</v>
      </c>
      <c r="CF200" s="31">
        <f>((CF$180/12)*Parts!$M$129)*5</f>
        <v>101.76270833333334</v>
      </c>
      <c r="CG200" s="31">
        <f>((CG$180/12)*Parts!$M$129)*5</f>
        <v>102.95991666666669</v>
      </c>
      <c r="CH200" s="31">
        <f>((CH$180/12)*Parts!$M$129)*5</f>
        <v>104.15712500000001</v>
      </c>
      <c r="CI200" s="31">
        <f>((CI$180/12)*Parts!$M$129)*5</f>
        <v>105.35433333333333</v>
      </c>
      <c r="CJ200" s="31">
        <f>((CJ$180/12)*Parts!$M$129)*5</f>
        <v>106.55154166666669</v>
      </c>
      <c r="CK200" s="31">
        <f>((CK$180/12)*Parts!$M$129)*5</f>
        <v>107.74875000000002</v>
      </c>
      <c r="CL200" s="31">
        <f>((CL$180/12)*Parts!$M$129)*5</f>
        <v>108.94595833333334</v>
      </c>
      <c r="CM200" s="31">
        <f>((CM$180/12)*Parts!$M$129)*5</f>
        <v>110.1431666666667</v>
      </c>
      <c r="CN200" s="31">
        <f>((CN$180/12)*Parts!$M$129)*5</f>
        <v>111.34037500000002</v>
      </c>
      <c r="CO200" s="31">
        <f>((CO$180/12)*Parts!$M$129)*5</f>
        <v>112.53758333333334</v>
      </c>
      <c r="CP200" s="31">
        <f>((CP$180/12)*Parts!$M$129)*5</f>
        <v>113.73479166666669</v>
      </c>
      <c r="CQ200" s="31">
        <f>((CQ$180/12)*Parts!$M$129)*5</f>
        <v>114.93200000000002</v>
      </c>
      <c r="CR200" s="31">
        <f>((CR$180/12)*Parts!$M$129)*5</f>
        <v>116.12920833333335</v>
      </c>
      <c r="CS200" s="31">
        <f>((CS$180/12)*Parts!$M$129)*5</f>
        <v>117.32641666666667</v>
      </c>
      <c r="CT200" s="31">
        <f>((CT$180/12)*Parts!$M$129)*5</f>
        <v>118.52362500000001</v>
      </c>
      <c r="CU200" s="31">
        <f>((CU$180/12)*Parts!$M$129)*5</f>
        <v>119.72083333333336</v>
      </c>
      <c r="CV200" s="31">
        <f>((CV$180/12)*Parts!$M$129)*5</f>
        <v>120.91804166666668</v>
      </c>
      <c r="CW200" s="31">
        <f>((CW$180/12)*Parts!$M$129)*5</f>
        <v>122.11525000000002</v>
      </c>
      <c r="CX200" s="31">
        <f>((CX$180/12)*Parts!$M$129)*5</f>
        <v>123.31245833333335</v>
      </c>
      <c r="CY200" s="31">
        <f>((CY$180/12)*Parts!$M$129)*5</f>
        <v>124.50966666666667</v>
      </c>
      <c r="CZ200" s="31">
        <f>((CZ$180/12)*Parts!$M$129)*5</f>
        <v>125.70687500000003</v>
      </c>
      <c r="DA200" s="31">
        <f>((DA$180/12)*Parts!$M$129)*5</f>
        <v>126.90408333333336</v>
      </c>
      <c r="DB200" s="31">
        <f>((DB$180/12)*Parts!$M$129)*5</f>
        <v>128.10129166666667</v>
      </c>
      <c r="DC200" s="31">
        <f>((DC$180/12)*Parts!$M$129)*5</f>
        <v>129.29850000000002</v>
      </c>
      <c r="DD200" s="31">
        <f>((DD$180/12)*Parts!$M$129)*5</f>
        <v>130.49570833333337</v>
      </c>
      <c r="DE200" s="31">
        <f>((DE$180/12)*Parts!$M$129)*5</f>
        <v>131.69291666666669</v>
      </c>
      <c r="DF200" s="31">
        <f>((DF$180/12)*Parts!$M$129)*5</f>
        <v>132.89012500000001</v>
      </c>
      <c r="DG200" s="31">
        <f>((DG$180/12)*Parts!$M$129)*5</f>
        <v>134.08733333333336</v>
      </c>
      <c r="DH200" s="31">
        <f>((DH$180/12)*Parts!$M$129)*5</f>
        <v>135.28454166666668</v>
      </c>
      <c r="DI200" s="31">
        <f>((DI$180/12)*Parts!$M$129)*5</f>
        <v>136.48175000000003</v>
      </c>
      <c r="DJ200" s="31">
        <f>((DJ$180/12)*Parts!$M$129)*5</f>
        <v>137.67895833333336</v>
      </c>
      <c r="DK200" s="31">
        <f>((DK$180/12)*Parts!$M$129)*5</f>
        <v>138.87616666666668</v>
      </c>
      <c r="DL200" s="31">
        <f>((DL$180/12)*Parts!$M$129)*5</f>
        <v>140.07337500000003</v>
      </c>
      <c r="DM200" s="31">
        <f>((DM$180/12)*Parts!$M$129)*5</f>
        <v>141.27058333333335</v>
      </c>
      <c r="DN200" s="31">
        <f>((DN$180/12)*Parts!$M$129)*5</f>
        <v>142.46779166666667</v>
      </c>
      <c r="DO200" s="31">
        <f>((DO$180/12)*Parts!$M$129)*5</f>
        <v>143.66500000000002</v>
      </c>
      <c r="DP200" s="31">
        <f>((DP$180/12)*Parts!$M$129)*5</f>
        <v>144.86220833333337</v>
      </c>
      <c r="DQ200" s="31">
        <f>((DQ$180/12)*Parts!$M$129)*5</f>
        <v>146.05941666666669</v>
      </c>
      <c r="DR200" s="31">
        <f>((DR$180/12)*Parts!$M$129)*5</f>
        <v>147.25662500000001</v>
      </c>
      <c r="DS200" s="31">
        <f>((DS$180/12)*Parts!$M$129)*5</f>
        <v>148.45383333333336</v>
      </c>
      <c r="DT200" s="31">
        <f>((DT$180/12)*Parts!$M$129)*5</f>
        <v>149.65104166666669</v>
      </c>
      <c r="DU200" s="31">
        <f>((DU$180/12)*Parts!$M$129)*5</f>
        <v>150.84825000000001</v>
      </c>
      <c r="DV200" s="31">
        <f>((DV$180/12)*Parts!$M$129)*5</f>
        <v>152.04545833333336</v>
      </c>
      <c r="DW200" s="31">
        <f>((DW$180/12)*Parts!$M$129)*5</f>
        <v>153.24266666666668</v>
      </c>
      <c r="DX200" s="31">
        <f>((DX$180/12)*Parts!$M$129)*5</f>
        <v>154.43987500000003</v>
      </c>
      <c r="DY200" s="31">
        <f>((DY$180/12)*Parts!$M$129)*5</f>
        <v>155.63708333333335</v>
      </c>
      <c r="DZ200" s="31">
        <f>((DZ$180/12)*Parts!$M$129)*5</f>
        <v>156.83429166666667</v>
      </c>
      <c r="EA200" s="31">
        <f>((EA$180/12)*Parts!$M$129)*5</f>
        <v>158.03150000000002</v>
      </c>
      <c r="EB200" s="31">
        <f>((EB$180/12)*Parts!$M$129)*5</f>
        <v>159.22870833333337</v>
      </c>
      <c r="EC200" s="31">
        <f>((EC$180/12)*Parts!$M$129)*5</f>
        <v>160.42591666666667</v>
      </c>
      <c r="ED200" s="31">
        <f>((ED$180/12)*Parts!$M$129)*5</f>
        <v>161.62312500000002</v>
      </c>
      <c r="EE200" s="31">
        <f>((EE$180/12)*Parts!$M$129)*5</f>
        <v>162.82033333333339</v>
      </c>
      <c r="EF200" s="31">
        <f>((EF$180/12)*Parts!$M$129)*5</f>
        <v>164.01754166666666</v>
      </c>
      <c r="EG200" s="31">
        <f>((EG$180/12)*Parts!$M$129)*5</f>
        <v>165.21475000000004</v>
      </c>
      <c r="EH200" s="31">
        <f>((EH$180/12)*Parts!$M$129)*5</f>
        <v>166.41195833333339</v>
      </c>
      <c r="EI200" s="31">
        <f>((EI$180/12)*Parts!$M$129)*5</f>
        <v>167.60916666666668</v>
      </c>
      <c r="EJ200" s="31">
        <f>((EJ$180/12)*Parts!$M$129)*5</f>
        <v>168.80637500000003</v>
      </c>
      <c r="EK200" s="31">
        <f>((EK$180/12)*Parts!$M$129)*5</f>
        <v>170.00358333333338</v>
      </c>
      <c r="EL200" s="31">
        <f>((EL$180/12)*Parts!$M$129)*5</f>
        <v>171.20079166666667</v>
      </c>
      <c r="EM200" s="31">
        <f>((EM$180/12)*Parts!$M$129)*5</f>
        <v>172.39800000000002</v>
      </c>
      <c r="EN200" s="31">
        <f>((EN$180/12)*Parts!$M$129)*5</f>
        <v>173.59520833333337</v>
      </c>
      <c r="EO200" s="31">
        <f>((EO$180/12)*Parts!$M$129)*5</f>
        <v>174.79241666666667</v>
      </c>
      <c r="EP200" s="31">
        <f>((EP$180/12)*Parts!$M$129)*5</f>
        <v>175.98962500000002</v>
      </c>
      <c r="EQ200" s="31">
        <f>((EQ$180/12)*Parts!$M$129)*5</f>
        <v>177.18683333333337</v>
      </c>
      <c r="ER200" s="31">
        <f>((ER$180/12)*Parts!$M$129)*5</f>
        <v>178.38404166666666</v>
      </c>
      <c r="ES200" s="31">
        <f>((ES$180/12)*Parts!$M$129)*5</f>
        <v>179.58125000000001</v>
      </c>
      <c r="ET200" s="31">
        <f>((ET$180/12)*Parts!$M$129)*5</f>
        <v>180.77845833333339</v>
      </c>
      <c r="EU200" s="31">
        <f>((EU$180/12)*Parts!$M$129)*5</f>
        <v>181.97566666666665</v>
      </c>
      <c r="EV200" s="31">
        <f>((EV$180/12)*Parts!$M$129)*5</f>
        <v>183.17287500000003</v>
      </c>
      <c r="EW200" s="31">
        <f>((EW$180/12)*Parts!$M$129)*5</f>
        <v>184.37008333333338</v>
      </c>
      <c r="EX200" s="31">
        <f>((EX$180/12)*Parts!$M$129)*5</f>
        <v>185.56729166666668</v>
      </c>
      <c r="EY200" s="31">
        <f>((EY$180/12)*Parts!$M$129)*5</f>
        <v>186.76450000000003</v>
      </c>
      <c r="EZ200" s="31">
        <f>((EZ$180/12)*Parts!$M$129)*5</f>
        <v>187.96170833333338</v>
      </c>
      <c r="FA200" s="31">
        <f>((FA$180/12)*Parts!$M$129)*5</f>
        <v>189.15891666666667</v>
      </c>
      <c r="FB200" s="31">
        <f>((FB$180/12)*Parts!$M$129)*5</f>
        <v>190.35612500000002</v>
      </c>
      <c r="FC200" s="31">
        <f>((FC$180/12)*Parts!$M$129)*5</f>
        <v>191.5533333333334</v>
      </c>
      <c r="FD200" s="31">
        <f>((FD$180/12)*Parts!$M$129)*5</f>
        <v>192.75054166666666</v>
      </c>
      <c r="FE200" s="31">
        <f>((FE$180/12)*Parts!$M$129)*5</f>
        <v>193.94775000000004</v>
      </c>
      <c r="FF200" s="31">
        <f>((FF$180/12)*Parts!$M$129)*5</f>
        <v>195.14495833333339</v>
      </c>
      <c r="FG200" s="31">
        <f>((FG$180/12)*Parts!$M$129)*5</f>
        <v>196.34216666666669</v>
      </c>
      <c r="FH200" s="31">
        <f>((FH$180/12)*Parts!$M$129)*5</f>
        <v>197.53937500000004</v>
      </c>
      <c r="FI200" s="31">
        <f>((FI$180/12)*Parts!$M$129)*5</f>
        <v>198.73658333333339</v>
      </c>
      <c r="FJ200" s="31">
        <f>((FJ$180/12)*Parts!$M$129)*5</f>
        <v>199.93379166666668</v>
      </c>
      <c r="FK200" s="31">
        <f>((FK$180/12)*Parts!$M$129)*5</f>
        <v>201.13100000000003</v>
      </c>
    </row>
    <row r="201" spans="7:167" ht="18.75">
      <c r="G201" s="140"/>
      <c r="H201" s="140"/>
      <c r="I201" s="140">
        <v>45</v>
      </c>
      <c r="J201" s="140">
        <v>31.5</v>
      </c>
      <c r="K201" s="140"/>
      <c r="L201" s="140"/>
      <c r="M201" s="140"/>
      <c r="N201" s="142"/>
      <c r="O201" s="142"/>
      <c r="P201" s="140"/>
      <c r="Q201" s="140"/>
      <c r="R201" s="140"/>
      <c r="S201" s="140"/>
      <c r="T201" s="140"/>
    </row>
    <row r="202" spans="7:167" ht="18.75">
      <c r="G202" s="140"/>
      <c r="H202" s="140"/>
      <c r="I202" s="140">
        <v>46</v>
      </c>
      <c r="J202" s="140">
        <v>32</v>
      </c>
      <c r="K202" s="140"/>
      <c r="L202" s="140"/>
      <c r="M202" s="140"/>
      <c r="N202" s="142"/>
      <c r="O202" s="142"/>
      <c r="P202" s="140"/>
      <c r="Q202" s="140"/>
      <c r="R202" s="140"/>
      <c r="S202" s="140"/>
      <c r="T202" s="140"/>
      <c r="W202" s="2" t="s">
        <v>491</v>
      </c>
      <c r="X202" s="2" t="s">
        <v>457</v>
      </c>
      <c r="Y202" s="2" t="s">
        <v>464</v>
      </c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</row>
    <row r="203" spans="7:167" ht="18.75">
      <c r="G203" s="140"/>
      <c r="H203" s="140"/>
      <c r="I203" s="140">
        <v>47</v>
      </c>
      <c r="J203" s="140">
        <v>32.5</v>
      </c>
      <c r="K203" s="140"/>
      <c r="L203" s="140"/>
      <c r="M203" s="140"/>
      <c r="N203" s="142"/>
      <c r="O203" s="142"/>
      <c r="P203" s="140"/>
      <c r="Q203" s="140"/>
      <c r="R203" s="140"/>
      <c r="S203" s="140"/>
      <c r="T203" s="140"/>
      <c r="V203" s="281">
        <v>6</v>
      </c>
      <c r="W203" s="31">
        <f>5*((Parts!$M$137+Parts!$M$139)/12)</f>
        <v>1.8437500000000004</v>
      </c>
      <c r="X203" s="31">
        <f>W203*2</f>
        <v>3.6875000000000009</v>
      </c>
      <c r="Y203" s="31">
        <f>W203*4</f>
        <v>7.3750000000000018</v>
      </c>
      <c r="Z203" s="31"/>
      <c r="AA203" s="281" t="s">
        <v>471</v>
      </c>
      <c r="AB203" s="31">
        <v>2</v>
      </c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  <c r="AZ203" s="31"/>
      <c r="BA203" s="31"/>
      <c r="BB203" s="31"/>
      <c r="BC203" s="31"/>
      <c r="BD203" s="31"/>
      <c r="BE203" s="31"/>
      <c r="BF203" s="31"/>
      <c r="BG203" s="31"/>
      <c r="BH203" s="31"/>
      <c r="BI203" s="31"/>
      <c r="BJ203" s="31"/>
      <c r="BK203" s="31"/>
      <c r="BL203" s="31"/>
      <c r="BM203" s="31"/>
      <c r="BN203" s="31"/>
      <c r="BO203" s="31"/>
      <c r="BP203" s="31"/>
      <c r="BQ203" s="31"/>
      <c r="BR203" s="31"/>
      <c r="BS203" s="31"/>
      <c r="BT203" s="31"/>
      <c r="BU203" s="31"/>
      <c r="BV203" s="31"/>
      <c r="BW203" s="31"/>
      <c r="BX203" s="31"/>
      <c r="BY203" s="31"/>
      <c r="BZ203" s="31"/>
      <c r="CA203" s="31"/>
      <c r="CB203" s="31"/>
      <c r="CC203" s="31"/>
      <c r="CD203" s="31"/>
      <c r="CE203" s="31"/>
      <c r="CF203" s="31"/>
      <c r="CG203" s="31"/>
      <c r="CH203" s="31"/>
      <c r="CI203" s="31"/>
      <c r="CJ203" s="31"/>
      <c r="CK203" s="31"/>
      <c r="CL203" s="31"/>
      <c r="CM203" s="31"/>
      <c r="CN203" s="31"/>
      <c r="CO203" s="31"/>
      <c r="CP203" s="31"/>
      <c r="CQ203" s="31"/>
      <c r="CR203" s="31"/>
      <c r="CS203" s="31"/>
      <c r="CT203" s="31"/>
      <c r="CU203" s="31"/>
      <c r="CV203" s="31"/>
      <c r="CW203" s="31"/>
      <c r="CX203" s="31"/>
      <c r="CY203" s="31"/>
      <c r="CZ203" s="31"/>
      <c r="DA203" s="31"/>
      <c r="DB203" s="31"/>
      <c r="DC203" s="31"/>
      <c r="DD203" s="31"/>
      <c r="DE203" s="31"/>
      <c r="DF203" s="31"/>
      <c r="DG203" s="31"/>
      <c r="DH203" s="31"/>
      <c r="DI203" s="31"/>
      <c r="DJ203" s="31"/>
      <c r="DK203" s="31"/>
      <c r="DL203" s="31"/>
      <c r="DM203" s="31"/>
      <c r="DN203" s="31"/>
      <c r="DO203" s="31"/>
      <c r="DP203" s="31"/>
      <c r="DQ203" s="31"/>
      <c r="DR203" s="31"/>
      <c r="DS203" s="31"/>
      <c r="DT203" s="31"/>
      <c r="DU203" s="31"/>
      <c r="DV203" s="31"/>
      <c r="DW203" s="31"/>
      <c r="DX203" s="31"/>
      <c r="DY203" s="31"/>
      <c r="DZ203" s="31"/>
      <c r="EA203" s="31"/>
      <c r="EB203" s="31"/>
      <c r="EC203" s="31"/>
      <c r="ED203" s="31"/>
      <c r="EE203" s="31"/>
      <c r="EF203" s="31"/>
      <c r="EG203" s="31"/>
      <c r="EH203" s="31"/>
      <c r="EI203" s="31"/>
      <c r="EJ203" s="31"/>
      <c r="EK203" s="31"/>
      <c r="EL203" s="31"/>
      <c r="EM203" s="31"/>
      <c r="EN203" s="31"/>
      <c r="EO203" s="31"/>
      <c r="EP203" s="31"/>
      <c r="EQ203" s="31"/>
      <c r="ER203" s="31"/>
      <c r="ES203" s="31"/>
      <c r="ET203" s="31"/>
      <c r="EU203" s="31"/>
      <c r="EV203" s="31"/>
      <c r="EW203" s="31"/>
      <c r="EX203" s="31"/>
      <c r="EY203" s="31"/>
      <c r="EZ203" s="31"/>
      <c r="FA203" s="31"/>
      <c r="FB203" s="31"/>
      <c r="FC203" s="31"/>
      <c r="FD203" s="31"/>
      <c r="FE203" s="31"/>
      <c r="FF203" s="31"/>
      <c r="FG203" s="31"/>
      <c r="FH203" s="31"/>
      <c r="FI203" s="31"/>
      <c r="FJ203" s="31"/>
      <c r="FK203" s="31"/>
    </row>
    <row r="204" spans="7:167" ht="18.75">
      <c r="G204" s="140"/>
      <c r="H204" s="140"/>
      <c r="I204" s="140">
        <v>48</v>
      </c>
      <c r="J204" s="140">
        <v>33</v>
      </c>
      <c r="K204" s="140"/>
      <c r="L204" s="140"/>
      <c r="M204" s="140"/>
      <c r="N204" s="142"/>
      <c r="O204" s="142"/>
      <c r="P204" s="140"/>
      <c r="Q204" s="140"/>
      <c r="R204" s="140"/>
      <c r="S204" s="140"/>
      <c r="T204" s="140"/>
      <c r="V204" s="281">
        <v>7</v>
      </c>
      <c r="W204" s="31">
        <f>6*((Parts!$M$137+Parts!$M$139)/12)</f>
        <v>2.2125000000000004</v>
      </c>
      <c r="X204" s="31">
        <f t="shared" ref="X204:X222" si="69">W204*2</f>
        <v>4.4250000000000007</v>
      </c>
      <c r="Y204" s="31">
        <f t="shared" ref="Y204:Y222" si="70">W204*4</f>
        <v>8.8500000000000014</v>
      </c>
      <c r="Z204" s="31"/>
      <c r="AA204" s="281" t="s">
        <v>472</v>
      </c>
      <c r="AB204" s="31">
        <v>2</v>
      </c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  <c r="AZ204" s="31"/>
      <c r="BA204" s="31"/>
      <c r="BB204" s="31"/>
      <c r="BC204" s="31"/>
      <c r="BD204" s="31"/>
      <c r="BE204" s="31"/>
      <c r="BF204" s="31"/>
      <c r="BG204" s="31"/>
      <c r="BH204" s="31"/>
      <c r="BI204" s="31"/>
      <c r="BJ204" s="31"/>
      <c r="BK204" s="31"/>
      <c r="BL204" s="31"/>
      <c r="BM204" s="31"/>
      <c r="BN204" s="31"/>
      <c r="BO204" s="31"/>
      <c r="BP204" s="31"/>
      <c r="BQ204" s="31"/>
      <c r="BR204" s="31"/>
      <c r="BS204" s="31"/>
      <c r="BT204" s="31"/>
      <c r="BU204" s="31"/>
      <c r="BV204" s="31"/>
      <c r="BW204" s="31"/>
      <c r="BX204" s="31"/>
      <c r="BY204" s="31"/>
      <c r="BZ204" s="31"/>
      <c r="CA204" s="31"/>
      <c r="CB204" s="31"/>
      <c r="CC204" s="31"/>
      <c r="CD204" s="31"/>
      <c r="CE204" s="31"/>
      <c r="CF204" s="31"/>
      <c r="CG204" s="31"/>
      <c r="CH204" s="31"/>
      <c r="CI204" s="31"/>
      <c r="CJ204" s="31"/>
      <c r="CK204" s="31"/>
      <c r="CL204" s="31"/>
      <c r="CM204" s="31"/>
      <c r="CN204" s="31"/>
      <c r="CO204" s="31"/>
      <c r="CP204" s="31"/>
      <c r="CQ204" s="31"/>
      <c r="CR204" s="31"/>
      <c r="CS204" s="31"/>
      <c r="CT204" s="31"/>
      <c r="CU204" s="31"/>
      <c r="CV204" s="31"/>
      <c r="CW204" s="31"/>
      <c r="CX204" s="31"/>
      <c r="CY204" s="31"/>
      <c r="CZ204" s="31"/>
      <c r="DA204" s="31"/>
      <c r="DB204" s="31"/>
      <c r="DC204" s="31"/>
      <c r="DD204" s="31"/>
      <c r="DE204" s="31"/>
      <c r="DF204" s="31"/>
      <c r="DG204" s="31"/>
      <c r="DH204" s="31"/>
      <c r="DI204" s="31"/>
      <c r="DJ204" s="31"/>
      <c r="DK204" s="31"/>
      <c r="DL204" s="31"/>
      <c r="DM204" s="31"/>
      <c r="DN204" s="31"/>
      <c r="DO204" s="31"/>
      <c r="DP204" s="31"/>
      <c r="DQ204" s="31"/>
      <c r="DR204" s="31"/>
      <c r="DS204" s="31"/>
      <c r="DT204" s="31"/>
      <c r="DU204" s="31"/>
      <c r="DV204" s="31"/>
      <c r="DW204" s="31"/>
      <c r="DX204" s="31"/>
      <c r="DY204" s="31"/>
      <c r="DZ204" s="31"/>
      <c r="EA204" s="31"/>
      <c r="EB204" s="31"/>
      <c r="EC204" s="31"/>
      <c r="ED204" s="31"/>
      <c r="EE204" s="31"/>
      <c r="EF204" s="31"/>
      <c r="EG204" s="31"/>
      <c r="EH204" s="31"/>
      <c r="EI204" s="31"/>
      <c r="EJ204" s="31"/>
      <c r="EK204" s="31"/>
      <c r="EL204" s="31"/>
      <c r="EM204" s="31"/>
      <c r="EN204" s="31"/>
      <c r="EO204" s="31"/>
      <c r="EP204" s="31"/>
      <c r="EQ204" s="31"/>
      <c r="ER204" s="31"/>
      <c r="ES204" s="31"/>
      <c r="ET204" s="31"/>
      <c r="EU204" s="31"/>
      <c r="EV204" s="31"/>
      <c r="EW204" s="31"/>
      <c r="EX204" s="31"/>
      <c r="EY204" s="31"/>
      <c r="EZ204" s="31"/>
      <c r="FA204" s="31"/>
      <c r="FB204" s="31"/>
      <c r="FC204" s="31"/>
      <c r="FD204" s="31"/>
      <c r="FE204" s="31"/>
      <c r="FF204" s="31"/>
      <c r="FG204" s="31"/>
      <c r="FH204" s="31"/>
      <c r="FI204" s="31"/>
      <c r="FJ204" s="31"/>
      <c r="FK204" s="31"/>
    </row>
    <row r="205" spans="7:167" ht="18.75">
      <c r="G205" s="140"/>
      <c r="H205" s="140"/>
      <c r="I205" s="140">
        <v>49</v>
      </c>
      <c r="J205" s="140">
        <v>33.5</v>
      </c>
      <c r="K205" s="140"/>
      <c r="L205" s="140"/>
      <c r="M205" s="140"/>
      <c r="N205" s="142"/>
      <c r="O205" s="142"/>
      <c r="P205" s="140"/>
      <c r="Q205" s="140"/>
      <c r="R205" s="140"/>
      <c r="S205" s="140"/>
      <c r="T205" s="140"/>
      <c r="V205" s="281">
        <v>8</v>
      </c>
      <c r="W205" s="31">
        <f>7*((Parts!$M$137+Parts!$M$139)/12)</f>
        <v>2.5812500000000007</v>
      </c>
      <c r="X205" s="31">
        <f t="shared" si="69"/>
        <v>5.1625000000000014</v>
      </c>
      <c r="Y205" s="31">
        <f t="shared" si="70"/>
        <v>10.325000000000003</v>
      </c>
      <c r="Z205" s="31"/>
      <c r="AA205" s="281" t="s">
        <v>473</v>
      </c>
      <c r="AB205" s="31">
        <v>2</v>
      </c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  <c r="AZ205" s="31"/>
      <c r="BA205" s="31"/>
      <c r="BB205" s="31"/>
      <c r="BC205" s="31"/>
      <c r="BD205" s="31"/>
      <c r="BE205" s="31"/>
      <c r="BF205" s="31"/>
      <c r="BG205" s="31"/>
      <c r="BH205" s="31"/>
      <c r="BI205" s="31"/>
      <c r="BJ205" s="31"/>
      <c r="BK205" s="31"/>
      <c r="BL205" s="31"/>
      <c r="BM205" s="31"/>
      <c r="BN205" s="31"/>
      <c r="BO205" s="31"/>
      <c r="BP205" s="31"/>
      <c r="BQ205" s="31"/>
      <c r="BR205" s="31"/>
      <c r="BS205" s="31"/>
      <c r="BT205" s="31"/>
      <c r="BU205" s="31"/>
      <c r="BV205" s="31"/>
      <c r="BW205" s="31"/>
      <c r="BX205" s="31"/>
      <c r="BY205" s="31"/>
      <c r="BZ205" s="31"/>
      <c r="CA205" s="31"/>
      <c r="CB205" s="31"/>
      <c r="CC205" s="31"/>
      <c r="CD205" s="31"/>
      <c r="CE205" s="31"/>
      <c r="CF205" s="31"/>
      <c r="CG205" s="31"/>
      <c r="CH205" s="31"/>
      <c r="CI205" s="31"/>
      <c r="CJ205" s="31"/>
      <c r="CK205" s="31"/>
      <c r="CL205" s="31"/>
      <c r="CM205" s="31"/>
      <c r="CN205" s="31"/>
      <c r="CO205" s="31"/>
      <c r="CP205" s="31"/>
      <c r="CQ205" s="31"/>
      <c r="CR205" s="31"/>
      <c r="CS205" s="31"/>
      <c r="CT205" s="31"/>
      <c r="CU205" s="31"/>
      <c r="CV205" s="31"/>
      <c r="CW205" s="31"/>
      <c r="CX205" s="31"/>
      <c r="CY205" s="31"/>
      <c r="CZ205" s="31"/>
      <c r="DA205" s="31"/>
      <c r="DB205" s="31"/>
      <c r="DC205" s="31"/>
      <c r="DD205" s="31"/>
      <c r="DE205" s="31"/>
      <c r="DF205" s="31"/>
      <c r="DG205" s="31"/>
      <c r="DH205" s="31"/>
      <c r="DI205" s="31"/>
      <c r="DJ205" s="31"/>
      <c r="DK205" s="31"/>
      <c r="DL205" s="31"/>
      <c r="DM205" s="31"/>
      <c r="DN205" s="31"/>
      <c r="DO205" s="31"/>
      <c r="DP205" s="31"/>
      <c r="DQ205" s="31"/>
      <c r="DR205" s="31"/>
      <c r="DS205" s="31"/>
      <c r="DT205" s="31"/>
      <c r="DU205" s="31"/>
      <c r="DV205" s="31"/>
      <c r="DW205" s="31"/>
      <c r="DX205" s="31"/>
      <c r="DY205" s="31"/>
      <c r="DZ205" s="31"/>
      <c r="EA205" s="31"/>
      <c r="EB205" s="31"/>
      <c r="EC205" s="31"/>
      <c r="ED205" s="31"/>
      <c r="EE205" s="31"/>
      <c r="EF205" s="31"/>
      <c r="EG205" s="31"/>
      <c r="EH205" s="31"/>
      <c r="EI205" s="31"/>
      <c r="EJ205" s="31"/>
      <c r="EK205" s="31"/>
      <c r="EL205" s="31"/>
      <c r="EM205" s="31"/>
      <c r="EN205" s="31"/>
      <c r="EO205" s="31"/>
      <c r="EP205" s="31"/>
      <c r="EQ205" s="31"/>
      <c r="ER205" s="31"/>
      <c r="ES205" s="31"/>
      <c r="ET205" s="31"/>
      <c r="EU205" s="31"/>
      <c r="EV205" s="31"/>
      <c r="EW205" s="31"/>
      <c r="EX205" s="31"/>
      <c r="EY205" s="31"/>
      <c r="EZ205" s="31"/>
      <c r="FA205" s="31"/>
      <c r="FB205" s="31"/>
      <c r="FC205" s="31"/>
      <c r="FD205" s="31"/>
      <c r="FE205" s="31"/>
      <c r="FF205" s="31"/>
      <c r="FG205" s="31"/>
      <c r="FH205" s="31"/>
      <c r="FI205" s="31"/>
      <c r="FJ205" s="31"/>
      <c r="FK205" s="31"/>
    </row>
    <row r="206" spans="7:167" ht="18.75">
      <c r="G206" s="140"/>
      <c r="H206" s="140"/>
      <c r="I206" s="140">
        <v>50</v>
      </c>
      <c r="J206" s="140">
        <v>34</v>
      </c>
      <c r="K206" s="140"/>
      <c r="L206" s="140"/>
      <c r="M206" s="140"/>
      <c r="N206" s="142"/>
      <c r="O206" s="142"/>
      <c r="P206" s="140"/>
      <c r="Q206" s="140"/>
      <c r="R206" s="140"/>
      <c r="S206" s="140"/>
      <c r="T206" s="140"/>
      <c r="V206" s="281">
        <v>9</v>
      </c>
      <c r="W206" s="31">
        <f>8*((Parts!$M$137+Parts!$M$139)/12)</f>
        <v>2.9500000000000006</v>
      </c>
      <c r="X206" s="31">
        <f t="shared" si="69"/>
        <v>5.9000000000000012</v>
      </c>
      <c r="Y206" s="31">
        <f t="shared" si="70"/>
        <v>11.800000000000002</v>
      </c>
      <c r="Z206" s="31"/>
      <c r="AA206" s="281" t="s">
        <v>474</v>
      </c>
      <c r="AB206" s="31">
        <v>2</v>
      </c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  <c r="AZ206" s="31"/>
      <c r="BA206" s="31"/>
      <c r="BB206" s="31"/>
      <c r="BC206" s="31"/>
      <c r="BD206" s="31"/>
      <c r="BE206" s="31"/>
      <c r="BF206" s="31"/>
      <c r="BG206" s="31"/>
      <c r="BH206" s="31"/>
      <c r="BI206" s="31"/>
      <c r="BJ206" s="31"/>
      <c r="BK206" s="31"/>
      <c r="BL206" s="31"/>
      <c r="BM206" s="31"/>
      <c r="BN206" s="31"/>
      <c r="BO206" s="31"/>
      <c r="BP206" s="31"/>
      <c r="BQ206" s="31"/>
      <c r="BR206" s="31"/>
      <c r="BS206" s="31"/>
      <c r="BT206" s="31"/>
      <c r="BU206" s="31"/>
      <c r="BV206" s="31"/>
      <c r="BW206" s="31"/>
      <c r="BX206" s="31"/>
      <c r="BY206" s="31"/>
      <c r="BZ206" s="31"/>
      <c r="CA206" s="31"/>
      <c r="CB206" s="31"/>
      <c r="CC206" s="31"/>
      <c r="CD206" s="31"/>
      <c r="CE206" s="31"/>
      <c r="CF206" s="31"/>
      <c r="CG206" s="31"/>
      <c r="CH206" s="31"/>
      <c r="CI206" s="31"/>
      <c r="CJ206" s="31"/>
      <c r="CK206" s="31"/>
      <c r="CL206" s="31"/>
      <c r="CM206" s="31"/>
      <c r="CN206" s="31"/>
      <c r="CO206" s="31"/>
      <c r="CP206" s="31"/>
      <c r="CQ206" s="31"/>
      <c r="CR206" s="31"/>
      <c r="CS206" s="31"/>
      <c r="CT206" s="31"/>
      <c r="CU206" s="31"/>
      <c r="CV206" s="31"/>
      <c r="CW206" s="31"/>
      <c r="CX206" s="31"/>
      <c r="CY206" s="31"/>
      <c r="CZ206" s="31"/>
      <c r="DA206" s="31"/>
      <c r="DB206" s="31"/>
      <c r="DC206" s="31"/>
      <c r="DD206" s="31"/>
      <c r="DE206" s="31"/>
      <c r="DF206" s="31"/>
      <c r="DG206" s="31"/>
      <c r="DH206" s="31"/>
      <c r="DI206" s="31"/>
      <c r="DJ206" s="31"/>
      <c r="DK206" s="31"/>
      <c r="DL206" s="31"/>
      <c r="DM206" s="31"/>
      <c r="DN206" s="31"/>
      <c r="DO206" s="31"/>
      <c r="DP206" s="31"/>
      <c r="DQ206" s="31"/>
      <c r="DR206" s="31"/>
      <c r="DS206" s="31"/>
      <c r="DT206" s="31"/>
      <c r="DU206" s="31"/>
      <c r="DV206" s="31"/>
      <c r="DW206" s="31"/>
      <c r="DX206" s="31"/>
      <c r="DY206" s="31"/>
      <c r="DZ206" s="31"/>
      <c r="EA206" s="31"/>
      <c r="EB206" s="31"/>
      <c r="EC206" s="31"/>
      <c r="ED206" s="31"/>
      <c r="EE206" s="31"/>
      <c r="EF206" s="31"/>
      <c r="EG206" s="31"/>
      <c r="EH206" s="31"/>
      <c r="EI206" s="31"/>
      <c r="EJ206" s="31"/>
      <c r="EK206" s="31"/>
      <c r="EL206" s="31"/>
      <c r="EM206" s="31"/>
      <c r="EN206" s="31"/>
      <c r="EO206" s="31"/>
      <c r="EP206" s="31"/>
      <c r="EQ206" s="31"/>
      <c r="ER206" s="31"/>
      <c r="ES206" s="31"/>
      <c r="ET206" s="31"/>
      <c r="EU206" s="31"/>
      <c r="EV206" s="31"/>
      <c r="EW206" s="31"/>
      <c r="EX206" s="31"/>
      <c r="EY206" s="31"/>
      <c r="EZ206" s="31"/>
      <c r="FA206" s="31"/>
      <c r="FB206" s="31"/>
      <c r="FC206" s="31"/>
      <c r="FD206" s="31"/>
      <c r="FE206" s="31"/>
      <c r="FF206" s="31"/>
      <c r="FG206" s="31"/>
      <c r="FH206" s="31"/>
      <c r="FI206" s="31"/>
      <c r="FJ206" s="31"/>
      <c r="FK206" s="31"/>
    </row>
    <row r="207" spans="7:167" ht="18.75">
      <c r="G207" s="140"/>
      <c r="H207" s="140"/>
      <c r="I207" s="140">
        <v>51</v>
      </c>
      <c r="J207" s="140">
        <v>34.5</v>
      </c>
      <c r="K207" s="140"/>
      <c r="L207" s="140"/>
      <c r="M207" s="140"/>
      <c r="N207" s="142"/>
      <c r="O207" s="142"/>
      <c r="P207" s="140"/>
      <c r="Q207" s="140"/>
      <c r="R207" s="140"/>
      <c r="S207" s="140"/>
      <c r="T207" s="140"/>
      <c r="V207" s="281">
        <v>10</v>
      </c>
      <c r="W207" s="31">
        <f>9*((Parts!$M$137+Parts!$M$139)/12)</f>
        <v>3.3187500000000005</v>
      </c>
      <c r="X207" s="31">
        <f t="shared" si="69"/>
        <v>6.6375000000000011</v>
      </c>
      <c r="Y207" s="31">
        <f t="shared" si="70"/>
        <v>13.275000000000002</v>
      </c>
      <c r="Z207" s="31"/>
      <c r="AA207" s="281" t="s">
        <v>475</v>
      </c>
      <c r="AB207" s="31">
        <v>2</v>
      </c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  <c r="AZ207" s="31"/>
      <c r="BA207" s="31"/>
      <c r="BB207" s="31"/>
      <c r="BC207" s="31"/>
      <c r="BD207" s="31"/>
      <c r="BE207" s="31"/>
      <c r="BF207" s="31"/>
      <c r="BG207" s="31"/>
      <c r="BH207" s="31"/>
      <c r="BI207" s="31"/>
      <c r="BJ207" s="31"/>
      <c r="BK207" s="31"/>
      <c r="BL207" s="31"/>
      <c r="BM207" s="31"/>
      <c r="BN207" s="31"/>
      <c r="BO207" s="31"/>
      <c r="BP207" s="31"/>
      <c r="BQ207" s="31"/>
      <c r="BR207" s="31"/>
      <c r="BS207" s="31"/>
      <c r="BT207" s="31"/>
      <c r="BU207" s="31"/>
      <c r="BV207" s="31"/>
      <c r="BW207" s="31"/>
      <c r="BX207" s="31"/>
      <c r="BY207" s="31"/>
      <c r="BZ207" s="31"/>
      <c r="CA207" s="31"/>
      <c r="CB207" s="31"/>
      <c r="CC207" s="31"/>
      <c r="CD207" s="31"/>
      <c r="CE207" s="31"/>
      <c r="CF207" s="31"/>
      <c r="CG207" s="31"/>
      <c r="CH207" s="31"/>
      <c r="CI207" s="31"/>
      <c r="CJ207" s="31"/>
      <c r="CK207" s="31"/>
      <c r="CL207" s="31"/>
      <c r="CM207" s="31"/>
      <c r="CN207" s="31"/>
      <c r="CO207" s="31"/>
      <c r="CP207" s="31"/>
      <c r="CQ207" s="31"/>
      <c r="CR207" s="31"/>
      <c r="CS207" s="31"/>
      <c r="CT207" s="31"/>
      <c r="CU207" s="31"/>
      <c r="CV207" s="31"/>
      <c r="CW207" s="31"/>
      <c r="CX207" s="31"/>
      <c r="CY207" s="31"/>
      <c r="CZ207" s="31"/>
      <c r="DA207" s="31"/>
      <c r="DB207" s="31"/>
      <c r="DC207" s="31"/>
      <c r="DD207" s="31"/>
      <c r="DE207" s="31"/>
      <c r="DF207" s="31"/>
      <c r="DG207" s="31"/>
      <c r="DH207" s="31"/>
      <c r="DI207" s="31"/>
      <c r="DJ207" s="31"/>
      <c r="DK207" s="31"/>
      <c r="DL207" s="31"/>
      <c r="DM207" s="31"/>
      <c r="DN207" s="31"/>
      <c r="DO207" s="31"/>
      <c r="DP207" s="31"/>
      <c r="DQ207" s="31"/>
      <c r="DR207" s="31"/>
      <c r="DS207" s="31"/>
      <c r="DT207" s="31"/>
      <c r="DU207" s="31"/>
      <c r="DV207" s="31"/>
      <c r="DW207" s="31"/>
      <c r="DX207" s="31"/>
      <c r="DY207" s="31"/>
      <c r="DZ207" s="31"/>
      <c r="EA207" s="31"/>
      <c r="EB207" s="31"/>
      <c r="EC207" s="31"/>
      <c r="ED207" s="31"/>
      <c r="EE207" s="31"/>
      <c r="EF207" s="31"/>
      <c r="EG207" s="31"/>
      <c r="EH207" s="31"/>
      <c r="EI207" s="31"/>
      <c r="EJ207" s="31"/>
      <c r="EK207" s="31"/>
      <c r="EL207" s="31"/>
      <c r="EM207" s="31"/>
      <c r="EN207" s="31"/>
      <c r="EO207" s="31"/>
      <c r="EP207" s="31"/>
      <c r="EQ207" s="31"/>
      <c r="ER207" s="31"/>
      <c r="ES207" s="31"/>
      <c r="ET207" s="31"/>
      <c r="EU207" s="31"/>
      <c r="EV207" s="31"/>
      <c r="EW207" s="31"/>
      <c r="EX207" s="31"/>
      <c r="EY207" s="31"/>
      <c r="EZ207" s="31"/>
      <c r="FA207" s="31"/>
      <c r="FB207" s="31"/>
      <c r="FC207" s="31"/>
      <c r="FD207" s="31"/>
      <c r="FE207" s="31"/>
      <c r="FF207" s="31"/>
      <c r="FG207" s="31"/>
      <c r="FH207" s="31"/>
      <c r="FI207" s="31"/>
      <c r="FJ207" s="31"/>
      <c r="FK207" s="31"/>
    </row>
    <row r="208" spans="7:167" ht="18.75">
      <c r="G208" s="140"/>
      <c r="H208" s="140"/>
      <c r="I208" s="140">
        <v>52</v>
      </c>
      <c r="J208" s="140">
        <v>35</v>
      </c>
      <c r="K208" s="140"/>
      <c r="L208" s="140"/>
      <c r="M208" s="140"/>
      <c r="N208" s="142"/>
      <c r="O208" s="142"/>
      <c r="P208" s="140"/>
      <c r="Q208" s="140"/>
      <c r="R208" s="140"/>
      <c r="S208" s="140"/>
      <c r="T208" s="140"/>
      <c r="V208" s="281">
        <v>11</v>
      </c>
      <c r="W208" s="31">
        <f>10*((Parts!$M$137+Parts!$M$139)/12)</f>
        <v>3.6875000000000009</v>
      </c>
      <c r="X208" s="31">
        <f t="shared" si="69"/>
        <v>7.3750000000000018</v>
      </c>
      <c r="Y208" s="31">
        <f t="shared" si="70"/>
        <v>14.750000000000004</v>
      </c>
      <c r="Z208" s="31"/>
      <c r="AA208" s="281" t="s">
        <v>476</v>
      </c>
      <c r="AB208" s="31">
        <v>3</v>
      </c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  <c r="AZ208" s="31"/>
      <c r="BA208" s="31"/>
      <c r="BB208" s="31"/>
      <c r="BC208" s="31"/>
      <c r="BD208" s="31"/>
      <c r="BE208" s="31"/>
      <c r="BF208" s="31"/>
      <c r="BG208" s="31"/>
      <c r="BH208" s="31"/>
      <c r="BI208" s="31"/>
      <c r="BJ208" s="31"/>
      <c r="BK208" s="31"/>
      <c r="BL208" s="31"/>
      <c r="BM208" s="31"/>
      <c r="BN208" s="31"/>
      <c r="BO208" s="31"/>
      <c r="BP208" s="31"/>
      <c r="BQ208" s="31"/>
      <c r="BR208" s="31"/>
      <c r="BS208" s="31"/>
      <c r="BT208" s="31"/>
      <c r="BU208" s="31"/>
      <c r="BV208" s="31"/>
      <c r="BW208" s="31"/>
      <c r="BX208" s="31"/>
      <c r="BY208" s="31"/>
      <c r="BZ208" s="31"/>
      <c r="CA208" s="31"/>
      <c r="CB208" s="31"/>
      <c r="CC208" s="31"/>
      <c r="CD208" s="31"/>
      <c r="CE208" s="31"/>
      <c r="CF208" s="31"/>
      <c r="CG208" s="31"/>
      <c r="CH208" s="31"/>
      <c r="CI208" s="31"/>
      <c r="CJ208" s="31"/>
      <c r="CK208" s="31"/>
      <c r="CL208" s="31"/>
      <c r="CM208" s="31"/>
      <c r="CN208" s="31"/>
      <c r="CO208" s="31"/>
      <c r="CP208" s="31"/>
      <c r="CQ208" s="31"/>
      <c r="CR208" s="31"/>
      <c r="CS208" s="31"/>
      <c r="CT208" s="31"/>
      <c r="CU208" s="31"/>
      <c r="CV208" s="31"/>
      <c r="CW208" s="31"/>
      <c r="CX208" s="31"/>
      <c r="CY208" s="31"/>
      <c r="CZ208" s="31"/>
      <c r="DA208" s="31"/>
      <c r="DB208" s="31"/>
      <c r="DC208" s="31"/>
      <c r="DD208" s="31"/>
      <c r="DE208" s="31"/>
      <c r="DF208" s="31"/>
      <c r="DG208" s="31"/>
      <c r="DH208" s="31"/>
      <c r="DI208" s="31"/>
      <c r="DJ208" s="31"/>
      <c r="DK208" s="31"/>
      <c r="DL208" s="31"/>
      <c r="DM208" s="31"/>
      <c r="DN208" s="31"/>
      <c r="DO208" s="31"/>
      <c r="DP208" s="31"/>
      <c r="DQ208" s="31"/>
      <c r="DR208" s="31"/>
      <c r="DS208" s="31"/>
      <c r="DT208" s="31"/>
      <c r="DU208" s="31"/>
      <c r="DV208" s="31"/>
      <c r="DW208" s="31"/>
      <c r="DX208" s="31"/>
      <c r="DY208" s="31"/>
      <c r="DZ208" s="31"/>
      <c r="EA208" s="31"/>
      <c r="EB208" s="31"/>
      <c r="EC208" s="31"/>
      <c r="ED208" s="31"/>
      <c r="EE208" s="31"/>
      <c r="EF208" s="31"/>
      <c r="EG208" s="31"/>
      <c r="EH208" s="31"/>
      <c r="EI208" s="31"/>
      <c r="EJ208" s="31"/>
      <c r="EK208" s="31"/>
      <c r="EL208" s="31"/>
      <c r="EM208" s="31"/>
      <c r="EN208" s="31"/>
      <c r="EO208" s="31"/>
      <c r="EP208" s="31"/>
      <c r="EQ208" s="31"/>
      <c r="ER208" s="31"/>
      <c r="ES208" s="31"/>
      <c r="ET208" s="31"/>
      <c r="EU208" s="31"/>
      <c r="EV208" s="31"/>
      <c r="EW208" s="31"/>
      <c r="EX208" s="31"/>
      <c r="EY208" s="31"/>
      <c r="EZ208" s="31"/>
      <c r="FA208" s="31"/>
      <c r="FB208" s="31"/>
      <c r="FC208" s="31"/>
      <c r="FD208" s="31"/>
      <c r="FE208" s="31"/>
      <c r="FF208" s="31"/>
      <c r="FG208" s="31"/>
      <c r="FH208" s="31"/>
      <c r="FI208" s="31"/>
      <c r="FJ208" s="31"/>
      <c r="FK208" s="31"/>
    </row>
    <row r="209" spans="7:167" ht="18.75">
      <c r="G209" s="140"/>
      <c r="H209" s="140"/>
      <c r="I209" s="140">
        <v>53</v>
      </c>
      <c r="J209" s="140">
        <v>35.5</v>
      </c>
      <c r="K209" s="140"/>
      <c r="L209" s="140"/>
      <c r="M209" s="140"/>
      <c r="N209" s="142"/>
      <c r="O209" s="142"/>
      <c r="P209" s="140"/>
      <c r="Q209" s="140"/>
      <c r="R209" s="140"/>
      <c r="S209" s="140"/>
      <c r="T209" s="140"/>
      <c r="V209" s="281">
        <v>12</v>
      </c>
      <c r="W209" s="31">
        <f>11*((Parts!$M$137+Parts!$M$139)/12)</f>
        <v>4.0562500000000012</v>
      </c>
      <c r="X209" s="31">
        <f t="shared" si="69"/>
        <v>8.1125000000000025</v>
      </c>
      <c r="Y209" s="31">
        <f t="shared" si="70"/>
        <v>16.225000000000005</v>
      </c>
      <c r="Z209" s="31"/>
      <c r="AA209" s="281" t="s">
        <v>477</v>
      </c>
      <c r="AB209" s="31">
        <v>3</v>
      </c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  <c r="AZ209" s="31"/>
      <c r="BA209" s="31"/>
      <c r="BB209" s="31"/>
      <c r="BC209" s="31"/>
      <c r="BD209" s="31"/>
      <c r="BE209" s="31"/>
      <c r="BF209" s="31"/>
      <c r="BG209" s="31"/>
      <c r="BH209" s="31"/>
      <c r="BI209" s="31"/>
      <c r="BJ209" s="31"/>
      <c r="BK209" s="31"/>
      <c r="BL209" s="31"/>
      <c r="BM209" s="31"/>
      <c r="BN209" s="31"/>
      <c r="BO209" s="31"/>
      <c r="BP209" s="31"/>
      <c r="BQ209" s="31"/>
      <c r="BR209" s="31"/>
      <c r="BS209" s="31"/>
      <c r="BT209" s="31"/>
      <c r="BU209" s="31"/>
      <c r="BV209" s="31"/>
      <c r="BW209" s="31"/>
      <c r="BX209" s="31"/>
      <c r="BY209" s="31"/>
      <c r="BZ209" s="31"/>
      <c r="CA209" s="31"/>
      <c r="CB209" s="31"/>
      <c r="CC209" s="31"/>
      <c r="CD209" s="31"/>
      <c r="CE209" s="31"/>
      <c r="CF209" s="31"/>
      <c r="CG209" s="31"/>
      <c r="CH209" s="31"/>
      <c r="CI209" s="31"/>
      <c r="CJ209" s="31"/>
      <c r="CK209" s="31"/>
      <c r="CL209" s="31"/>
      <c r="CM209" s="31"/>
      <c r="CN209" s="31"/>
      <c r="CO209" s="31"/>
      <c r="CP209" s="31"/>
      <c r="CQ209" s="31"/>
      <c r="CR209" s="31"/>
      <c r="CS209" s="31"/>
      <c r="CT209" s="31"/>
      <c r="CU209" s="31"/>
      <c r="CV209" s="31"/>
      <c r="CW209" s="31"/>
      <c r="CX209" s="31"/>
      <c r="CY209" s="31"/>
      <c r="CZ209" s="31"/>
      <c r="DA209" s="31"/>
      <c r="DB209" s="31"/>
      <c r="DC209" s="31"/>
      <c r="DD209" s="31"/>
      <c r="DE209" s="31"/>
      <c r="DF209" s="31"/>
      <c r="DG209" s="31"/>
      <c r="DH209" s="31"/>
      <c r="DI209" s="31"/>
      <c r="DJ209" s="31"/>
      <c r="DK209" s="31"/>
      <c r="DL209" s="31"/>
      <c r="DM209" s="31"/>
      <c r="DN209" s="31"/>
      <c r="DO209" s="31"/>
      <c r="DP209" s="31"/>
      <c r="DQ209" s="31"/>
      <c r="DR209" s="31"/>
      <c r="DS209" s="31"/>
      <c r="DT209" s="31"/>
      <c r="DU209" s="31"/>
      <c r="DV209" s="31"/>
      <c r="DW209" s="31"/>
      <c r="DX209" s="31"/>
      <c r="DY209" s="31"/>
      <c r="DZ209" s="31"/>
      <c r="EA209" s="31"/>
      <c r="EB209" s="31"/>
      <c r="EC209" s="31"/>
      <c r="ED209" s="31"/>
      <c r="EE209" s="31"/>
      <c r="EF209" s="31"/>
      <c r="EG209" s="31"/>
      <c r="EH209" s="31"/>
      <c r="EI209" s="31"/>
      <c r="EJ209" s="31"/>
      <c r="EK209" s="31"/>
      <c r="EL209" s="31"/>
      <c r="EM209" s="31"/>
      <c r="EN209" s="31"/>
      <c r="EO209" s="31"/>
      <c r="EP209" s="31"/>
      <c r="EQ209" s="31"/>
      <c r="ER209" s="31"/>
      <c r="ES209" s="31"/>
      <c r="ET209" s="31"/>
      <c r="EU209" s="31"/>
      <c r="EV209" s="31"/>
      <c r="EW209" s="31"/>
      <c r="EX209" s="31"/>
      <c r="EY209" s="31"/>
      <c r="EZ209" s="31"/>
      <c r="FA209" s="31"/>
      <c r="FB209" s="31"/>
      <c r="FC209" s="31"/>
      <c r="FD209" s="31"/>
      <c r="FE209" s="31"/>
      <c r="FF209" s="31"/>
      <c r="FG209" s="31"/>
      <c r="FH209" s="31"/>
      <c r="FI209" s="31"/>
      <c r="FJ209" s="31"/>
      <c r="FK209" s="31"/>
    </row>
    <row r="210" spans="7:167" ht="18.75">
      <c r="G210" s="140"/>
      <c r="H210" s="140"/>
      <c r="I210" s="140">
        <v>54</v>
      </c>
      <c r="J210" s="140">
        <v>36</v>
      </c>
      <c r="K210" s="140"/>
      <c r="L210" s="140"/>
      <c r="M210" s="140"/>
      <c r="N210" s="142"/>
      <c r="O210" s="142"/>
      <c r="P210" s="140"/>
      <c r="Q210" s="140"/>
      <c r="R210" s="140"/>
      <c r="S210" s="140"/>
      <c r="T210" s="140"/>
      <c r="V210" s="281">
        <v>13</v>
      </c>
      <c r="W210" s="31">
        <f>12*((Parts!$M$137+Parts!$M$139)/12)</f>
        <v>4.4250000000000007</v>
      </c>
      <c r="X210" s="31">
        <f t="shared" si="69"/>
        <v>8.8500000000000014</v>
      </c>
      <c r="Y210" s="31">
        <f t="shared" si="70"/>
        <v>17.700000000000003</v>
      </c>
      <c r="Z210" s="31"/>
      <c r="AA210" s="281" t="s">
        <v>478</v>
      </c>
      <c r="AB210" s="31">
        <v>3</v>
      </c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  <c r="AZ210" s="31"/>
      <c r="BA210" s="31"/>
      <c r="BB210" s="31"/>
      <c r="BC210" s="31"/>
      <c r="BD210" s="31"/>
      <c r="BE210" s="31"/>
      <c r="BF210" s="31"/>
      <c r="BG210" s="31"/>
      <c r="BH210" s="31"/>
      <c r="BI210" s="31"/>
      <c r="BJ210" s="31"/>
      <c r="BK210" s="31"/>
      <c r="BL210" s="31"/>
      <c r="BM210" s="31"/>
      <c r="BN210" s="31"/>
      <c r="BO210" s="31"/>
      <c r="BP210" s="31"/>
      <c r="BQ210" s="31"/>
      <c r="BR210" s="31"/>
      <c r="BS210" s="31"/>
      <c r="BT210" s="31"/>
      <c r="BU210" s="31"/>
      <c r="BV210" s="31"/>
      <c r="BW210" s="31"/>
      <c r="BX210" s="31"/>
      <c r="BY210" s="31"/>
      <c r="BZ210" s="31"/>
      <c r="CA210" s="31"/>
      <c r="CB210" s="31"/>
      <c r="CC210" s="31"/>
      <c r="CD210" s="31"/>
      <c r="CE210" s="31"/>
      <c r="CF210" s="31"/>
      <c r="CG210" s="31"/>
      <c r="CH210" s="31"/>
      <c r="CI210" s="31"/>
      <c r="CJ210" s="31"/>
      <c r="CK210" s="31"/>
      <c r="CL210" s="31"/>
      <c r="CM210" s="31"/>
      <c r="CN210" s="31"/>
      <c r="CO210" s="31"/>
      <c r="CP210" s="31"/>
      <c r="CQ210" s="31"/>
      <c r="CR210" s="31"/>
      <c r="CS210" s="31"/>
      <c r="CT210" s="31"/>
      <c r="CU210" s="31"/>
      <c r="CV210" s="31"/>
      <c r="CW210" s="31"/>
      <c r="CX210" s="31"/>
      <c r="CY210" s="31"/>
      <c r="CZ210" s="31"/>
      <c r="DA210" s="31"/>
      <c r="DB210" s="31"/>
      <c r="DC210" s="31"/>
      <c r="DD210" s="31"/>
      <c r="DE210" s="31"/>
      <c r="DF210" s="31"/>
      <c r="DG210" s="31"/>
      <c r="DH210" s="31"/>
      <c r="DI210" s="31"/>
      <c r="DJ210" s="31"/>
      <c r="DK210" s="31"/>
      <c r="DL210" s="31"/>
      <c r="DM210" s="31"/>
      <c r="DN210" s="31"/>
      <c r="DO210" s="31"/>
      <c r="DP210" s="31"/>
      <c r="DQ210" s="31"/>
      <c r="DR210" s="31"/>
      <c r="DS210" s="31"/>
      <c r="DT210" s="31"/>
      <c r="DU210" s="31"/>
      <c r="DV210" s="31"/>
      <c r="DW210" s="31"/>
      <c r="DX210" s="31"/>
      <c r="DY210" s="31"/>
      <c r="DZ210" s="31"/>
      <c r="EA210" s="31"/>
      <c r="EB210" s="31"/>
      <c r="EC210" s="31"/>
      <c r="ED210" s="31"/>
      <c r="EE210" s="31"/>
      <c r="EF210" s="31"/>
      <c r="EG210" s="31"/>
      <c r="EH210" s="31"/>
      <c r="EI210" s="31"/>
      <c r="EJ210" s="31"/>
      <c r="EK210" s="31"/>
      <c r="EL210" s="31"/>
      <c r="EM210" s="31"/>
      <c r="EN210" s="31"/>
      <c r="EO210" s="31"/>
      <c r="EP210" s="31"/>
      <c r="EQ210" s="31"/>
      <c r="ER210" s="31"/>
      <c r="ES210" s="31"/>
      <c r="ET210" s="31"/>
      <c r="EU210" s="31"/>
      <c r="EV210" s="31"/>
      <c r="EW210" s="31"/>
      <c r="EX210" s="31"/>
      <c r="EY210" s="31"/>
      <c r="EZ210" s="31"/>
      <c r="FA210" s="31"/>
      <c r="FB210" s="31"/>
      <c r="FC210" s="31"/>
      <c r="FD210" s="31"/>
      <c r="FE210" s="31"/>
      <c r="FF210" s="31"/>
      <c r="FG210" s="31"/>
      <c r="FH210" s="31"/>
      <c r="FI210" s="31"/>
      <c r="FJ210" s="31"/>
      <c r="FK210" s="31"/>
    </row>
    <row r="211" spans="7:167" ht="18.75">
      <c r="G211" s="140"/>
      <c r="H211" s="140"/>
      <c r="I211" s="140">
        <v>55</v>
      </c>
      <c r="J211" s="140">
        <v>36.5</v>
      </c>
      <c r="K211" s="140"/>
      <c r="L211" s="140"/>
      <c r="M211" s="140"/>
      <c r="N211" s="142"/>
      <c r="O211" s="142"/>
      <c r="P211" s="140"/>
      <c r="Q211" s="140"/>
      <c r="R211" s="140"/>
      <c r="S211" s="140"/>
      <c r="T211" s="140"/>
      <c r="V211" s="281">
        <v>14</v>
      </c>
      <c r="W211" s="31">
        <f>13*((Parts!$M$137+Parts!$M$139)/12)</f>
        <v>4.7937500000000011</v>
      </c>
      <c r="X211" s="31">
        <f t="shared" si="69"/>
        <v>9.5875000000000021</v>
      </c>
      <c r="Y211" s="31">
        <f t="shared" si="70"/>
        <v>19.175000000000004</v>
      </c>
      <c r="Z211" s="31"/>
      <c r="AA211" s="281" t="s">
        <v>479</v>
      </c>
      <c r="AB211" s="31">
        <v>3</v>
      </c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  <c r="AZ211" s="31"/>
      <c r="BA211" s="31"/>
      <c r="BB211" s="31"/>
      <c r="BC211" s="31"/>
      <c r="BD211" s="31"/>
      <c r="BE211" s="31"/>
      <c r="BF211" s="31"/>
      <c r="BG211" s="31"/>
      <c r="BH211" s="31"/>
      <c r="BI211" s="31"/>
      <c r="BJ211" s="31"/>
      <c r="BK211" s="31"/>
      <c r="BL211" s="31"/>
      <c r="BM211" s="31"/>
      <c r="BN211" s="31"/>
      <c r="BO211" s="31"/>
      <c r="BP211" s="31"/>
      <c r="BQ211" s="31"/>
      <c r="BR211" s="31"/>
      <c r="BS211" s="31"/>
      <c r="BT211" s="31"/>
      <c r="BU211" s="31"/>
      <c r="BV211" s="31"/>
      <c r="BW211" s="31"/>
      <c r="BX211" s="31"/>
      <c r="BY211" s="31"/>
      <c r="BZ211" s="31"/>
      <c r="CA211" s="31"/>
      <c r="CB211" s="31"/>
      <c r="CC211" s="31"/>
      <c r="CD211" s="31"/>
      <c r="CE211" s="31"/>
      <c r="CF211" s="31"/>
      <c r="CG211" s="31"/>
      <c r="CH211" s="31"/>
      <c r="CI211" s="31"/>
      <c r="CJ211" s="31"/>
      <c r="CK211" s="31"/>
      <c r="CL211" s="31"/>
      <c r="CM211" s="31"/>
      <c r="CN211" s="31"/>
      <c r="CO211" s="31"/>
      <c r="CP211" s="31"/>
      <c r="CQ211" s="31"/>
      <c r="CR211" s="31"/>
      <c r="CS211" s="31"/>
      <c r="CT211" s="31"/>
      <c r="CU211" s="31"/>
      <c r="CV211" s="31"/>
      <c r="CW211" s="31"/>
      <c r="CX211" s="31"/>
      <c r="CY211" s="31"/>
      <c r="CZ211" s="31"/>
      <c r="DA211" s="31"/>
      <c r="DB211" s="31"/>
      <c r="DC211" s="31"/>
      <c r="DD211" s="31"/>
      <c r="DE211" s="31"/>
      <c r="DF211" s="31"/>
      <c r="DG211" s="31"/>
      <c r="DH211" s="31"/>
      <c r="DI211" s="31"/>
      <c r="DJ211" s="31"/>
      <c r="DK211" s="31"/>
      <c r="DL211" s="31"/>
      <c r="DM211" s="31"/>
      <c r="DN211" s="31"/>
      <c r="DO211" s="31"/>
      <c r="DP211" s="31"/>
      <c r="DQ211" s="31"/>
      <c r="DR211" s="31"/>
      <c r="DS211" s="31"/>
      <c r="DT211" s="31"/>
      <c r="DU211" s="31"/>
      <c r="DV211" s="31"/>
      <c r="DW211" s="31"/>
      <c r="DX211" s="31"/>
      <c r="DY211" s="31"/>
      <c r="DZ211" s="31"/>
      <c r="EA211" s="31"/>
      <c r="EB211" s="31"/>
      <c r="EC211" s="31"/>
      <c r="ED211" s="31"/>
      <c r="EE211" s="31"/>
      <c r="EF211" s="31"/>
      <c r="EG211" s="31"/>
      <c r="EH211" s="31"/>
      <c r="EI211" s="31"/>
      <c r="EJ211" s="31"/>
      <c r="EK211" s="31"/>
      <c r="EL211" s="31"/>
      <c r="EM211" s="31"/>
      <c r="EN211" s="31"/>
      <c r="EO211" s="31"/>
      <c r="EP211" s="31"/>
      <c r="EQ211" s="31"/>
      <c r="ER211" s="31"/>
      <c r="ES211" s="31"/>
      <c r="ET211" s="31"/>
      <c r="EU211" s="31"/>
      <c r="EV211" s="31"/>
      <c r="EW211" s="31"/>
      <c r="EX211" s="31"/>
      <c r="EY211" s="31"/>
      <c r="EZ211" s="31"/>
      <c r="FA211" s="31"/>
      <c r="FB211" s="31"/>
      <c r="FC211" s="31"/>
      <c r="FD211" s="31"/>
      <c r="FE211" s="31"/>
      <c r="FF211" s="31"/>
      <c r="FG211" s="31"/>
      <c r="FH211" s="31"/>
      <c r="FI211" s="31"/>
      <c r="FJ211" s="31"/>
      <c r="FK211" s="31"/>
    </row>
    <row r="212" spans="7:167" ht="18.75">
      <c r="G212" s="140"/>
      <c r="H212" s="140"/>
      <c r="I212" s="140">
        <v>56</v>
      </c>
      <c r="J212" s="140">
        <v>37</v>
      </c>
      <c r="K212" s="140"/>
      <c r="L212" s="140"/>
      <c r="M212" s="140"/>
      <c r="N212" s="142"/>
      <c r="O212" s="142"/>
      <c r="P212" s="140"/>
      <c r="Q212" s="140"/>
      <c r="R212" s="140"/>
      <c r="S212" s="140"/>
      <c r="T212" s="140"/>
      <c r="V212" s="281">
        <v>15</v>
      </c>
      <c r="W212" s="31">
        <f>14*((Parts!$M$137+Parts!$M$139)/12)</f>
        <v>5.1625000000000014</v>
      </c>
      <c r="X212" s="31">
        <f t="shared" si="69"/>
        <v>10.325000000000003</v>
      </c>
      <c r="Y212" s="31">
        <f t="shared" si="70"/>
        <v>20.650000000000006</v>
      </c>
      <c r="Z212" s="31"/>
      <c r="AA212" s="281" t="s">
        <v>480</v>
      </c>
      <c r="AB212" s="31">
        <v>3</v>
      </c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  <c r="AZ212" s="31"/>
      <c r="BA212" s="31"/>
      <c r="BB212" s="31"/>
      <c r="BC212" s="31"/>
      <c r="BD212" s="31"/>
      <c r="BE212" s="31"/>
      <c r="BF212" s="31"/>
      <c r="BG212" s="31"/>
      <c r="BH212" s="31"/>
      <c r="BI212" s="31"/>
      <c r="BJ212" s="31"/>
      <c r="BK212" s="31"/>
      <c r="BL212" s="31"/>
      <c r="BM212" s="31"/>
      <c r="BN212" s="31"/>
      <c r="BO212" s="31"/>
      <c r="BP212" s="31"/>
      <c r="BQ212" s="31"/>
      <c r="BR212" s="31"/>
      <c r="BS212" s="31"/>
      <c r="BT212" s="31"/>
      <c r="BU212" s="31"/>
      <c r="BV212" s="31"/>
      <c r="BW212" s="31"/>
      <c r="BX212" s="31"/>
      <c r="BY212" s="31"/>
      <c r="BZ212" s="31"/>
      <c r="CA212" s="31"/>
      <c r="CB212" s="31"/>
      <c r="CC212" s="31"/>
      <c r="CD212" s="31"/>
      <c r="CE212" s="31"/>
      <c r="CF212" s="31"/>
      <c r="CG212" s="31"/>
      <c r="CH212" s="31"/>
      <c r="CI212" s="31"/>
      <c r="CJ212" s="31"/>
      <c r="CK212" s="31"/>
      <c r="CL212" s="31"/>
      <c r="CM212" s="31"/>
      <c r="CN212" s="31"/>
      <c r="CO212" s="31"/>
      <c r="CP212" s="31"/>
      <c r="CQ212" s="31"/>
      <c r="CR212" s="31"/>
      <c r="CS212" s="31"/>
      <c r="CT212" s="31"/>
      <c r="CU212" s="31"/>
      <c r="CV212" s="31"/>
      <c r="CW212" s="31"/>
      <c r="CX212" s="31"/>
      <c r="CY212" s="31"/>
      <c r="CZ212" s="31"/>
      <c r="DA212" s="31"/>
      <c r="DB212" s="31"/>
      <c r="DC212" s="31"/>
      <c r="DD212" s="31"/>
      <c r="DE212" s="31"/>
      <c r="DF212" s="31"/>
      <c r="DG212" s="31"/>
      <c r="DH212" s="31"/>
      <c r="DI212" s="31"/>
      <c r="DJ212" s="31"/>
      <c r="DK212" s="31"/>
      <c r="DL212" s="31"/>
      <c r="DM212" s="31"/>
      <c r="DN212" s="31"/>
      <c r="DO212" s="31"/>
      <c r="DP212" s="31"/>
      <c r="DQ212" s="31"/>
      <c r="DR212" s="31"/>
      <c r="DS212" s="31"/>
      <c r="DT212" s="31"/>
      <c r="DU212" s="31"/>
      <c r="DV212" s="31"/>
      <c r="DW212" s="31"/>
      <c r="DX212" s="31"/>
      <c r="DY212" s="31"/>
      <c r="DZ212" s="31"/>
      <c r="EA212" s="31"/>
      <c r="EB212" s="31"/>
      <c r="EC212" s="31"/>
      <c r="ED212" s="31"/>
      <c r="EE212" s="31"/>
      <c r="EF212" s="31"/>
      <c r="EG212" s="31"/>
      <c r="EH212" s="31"/>
      <c r="EI212" s="31"/>
      <c r="EJ212" s="31"/>
      <c r="EK212" s="31"/>
      <c r="EL212" s="31"/>
      <c r="EM212" s="31"/>
      <c r="EN212" s="31"/>
      <c r="EO212" s="31"/>
      <c r="EP212" s="31"/>
      <c r="EQ212" s="31"/>
      <c r="ER212" s="31"/>
      <c r="ES212" s="31"/>
      <c r="ET212" s="31"/>
      <c r="EU212" s="31"/>
      <c r="EV212" s="31"/>
      <c r="EW212" s="31"/>
      <c r="EX212" s="31"/>
      <c r="EY212" s="31"/>
      <c r="EZ212" s="31"/>
      <c r="FA212" s="31"/>
      <c r="FB212" s="31"/>
      <c r="FC212" s="31"/>
      <c r="FD212" s="31"/>
      <c r="FE212" s="31"/>
      <c r="FF212" s="31"/>
      <c r="FG212" s="31"/>
      <c r="FH212" s="31"/>
      <c r="FI212" s="31"/>
      <c r="FJ212" s="31"/>
      <c r="FK212" s="31"/>
    </row>
    <row r="213" spans="7:167" ht="18.75">
      <c r="G213" s="140"/>
      <c r="H213" s="140"/>
      <c r="I213" s="140">
        <v>57</v>
      </c>
      <c r="J213" s="140">
        <v>37.5</v>
      </c>
      <c r="K213" s="140"/>
      <c r="L213" s="140"/>
      <c r="M213" s="140"/>
      <c r="N213" s="142"/>
      <c r="O213" s="142"/>
      <c r="P213" s="140"/>
      <c r="Q213" s="140"/>
      <c r="R213" s="140"/>
      <c r="S213" s="140"/>
      <c r="T213" s="140"/>
      <c r="V213" s="281">
        <v>16</v>
      </c>
      <c r="W213" s="31">
        <f>15*((Parts!$M$137+Parts!$M$139)/12)</f>
        <v>5.5312500000000009</v>
      </c>
      <c r="X213" s="31">
        <f t="shared" si="69"/>
        <v>11.062500000000002</v>
      </c>
      <c r="Y213" s="31">
        <f t="shared" si="70"/>
        <v>22.125000000000004</v>
      </c>
      <c r="Z213" s="31"/>
      <c r="AA213" s="281" t="s">
        <v>481</v>
      </c>
      <c r="AB213" s="31">
        <v>4</v>
      </c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  <c r="AZ213" s="31"/>
      <c r="BA213" s="31"/>
      <c r="BB213" s="31"/>
      <c r="BC213" s="31"/>
      <c r="BD213" s="31"/>
      <c r="BE213" s="31"/>
      <c r="BF213" s="31"/>
      <c r="BG213" s="31"/>
      <c r="BH213" s="31"/>
      <c r="BI213" s="31"/>
      <c r="BJ213" s="31"/>
      <c r="BK213" s="31"/>
      <c r="BL213" s="31"/>
      <c r="BM213" s="31"/>
      <c r="BN213" s="31"/>
      <c r="BO213" s="31"/>
      <c r="BP213" s="31"/>
      <c r="BQ213" s="31"/>
      <c r="BR213" s="31"/>
      <c r="BS213" s="31"/>
      <c r="BT213" s="31"/>
      <c r="BU213" s="31"/>
      <c r="BV213" s="31"/>
      <c r="BW213" s="31"/>
      <c r="BX213" s="31"/>
      <c r="BY213" s="31"/>
      <c r="BZ213" s="31"/>
      <c r="CA213" s="31"/>
      <c r="CB213" s="31"/>
      <c r="CC213" s="31"/>
      <c r="CD213" s="31"/>
      <c r="CE213" s="31"/>
      <c r="CF213" s="31"/>
      <c r="CG213" s="31"/>
      <c r="CH213" s="31"/>
      <c r="CI213" s="31"/>
      <c r="CJ213" s="31"/>
      <c r="CK213" s="31"/>
      <c r="CL213" s="31"/>
      <c r="CM213" s="31"/>
      <c r="CN213" s="31"/>
      <c r="CO213" s="31"/>
      <c r="CP213" s="31"/>
      <c r="CQ213" s="31"/>
      <c r="CR213" s="31"/>
      <c r="CS213" s="31"/>
      <c r="CT213" s="31"/>
      <c r="CU213" s="31"/>
      <c r="CV213" s="31"/>
      <c r="CW213" s="31"/>
      <c r="CX213" s="31"/>
      <c r="CY213" s="31"/>
      <c r="CZ213" s="31"/>
      <c r="DA213" s="31"/>
      <c r="DB213" s="31"/>
      <c r="DC213" s="31"/>
      <c r="DD213" s="31"/>
      <c r="DE213" s="31"/>
      <c r="DF213" s="31"/>
      <c r="DG213" s="31"/>
      <c r="DH213" s="31"/>
      <c r="DI213" s="31"/>
      <c r="DJ213" s="31"/>
      <c r="DK213" s="31"/>
      <c r="DL213" s="31"/>
      <c r="DM213" s="31"/>
      <c r="DN213" s="31"/>
      <c r="DO213" s="31"/>
      <c r="DP213" s="31"/>
      <c r="DQ213" s="31"/>
      <c r="DR213" s="31"/>
      <c r="DS213" s="31"/>
      <c r="DT213" s="31"/>
      <c r="DU213" s="31"/>
      <c r="DV213" s="31"/>
      <c r="DW213" s="31"/>
      <c r="DX213" s="31"/>
      <c r="DY213" s="31"/>
      <c r="DZ213" s="31"/>
      <c r="EA213" s="31"/>
      <c r="EB213" s="31"/>
      <c r="EC213" s="31"/>
      <c r="ED213" s="31"/>
      <c r="EE213" s="31"/>
      <c r="EF213" s="31"/>
      <c r="EG213" s="31"/>
      <c r="EH213" s="31"/>
      <c r="EI213" s="31"/>
      <c r="EJ213" s="31"/>
      <c r="EK213" s="31"/>
      <c r="EL213" s="31"/>
      <c r="EM213" s="31"/>
      <c r="EN213" s="31"/>
      <c r="EO213" s="31"/>
      <c r="EP213" s="31"/>
      <c r="EQ213" s="31"/>
      <c r="ER213" s="31"/>
      <c r="ES213" s="31"/>
      <c r="ET213" s="31"/>
      <c r="EU213" s="31"/>
      <c r="EV213" s="31"/>
      <c r="EW213" s="31"/>
      <c r="EX213" s="31"/>
      <c r="EY213" s="31"/>
      <c r="EZ213" s="31"/>
      <c r="FA213" s="31"/>
      <c r="FB213" s="31"/>
      <c r="FC213" s="31"/>
      <c r="FD213" s="31"/>
      <c r="FE213" s="31"/>
      <c r="FF213" s="31"/>
      <c r="FG213" s="31"/>
      <c r="FH213" s="31"/>
      <c r="FI213" s="31"/>
      <c r="FJ213" s="31"/>
      <c r="FK213" s="31"/>
    </row>
    <row r="214" spans="7:167" ht="18.75">
      <c r="G214" s="140"/>
      <c r="H214" s="140"/>
      <c r="I214" s="140">
        <v>58</v>
      </c>
      <c r="J214" s="140">
        <v>38</v>
      </c>
      <c r="K214" s="140"/>
      <c r="L214" s="140"/>
      <c r="M214" s="140"/>
      <c r="N214" s="142"/>
      <c r="O214" s="142"/>
      <c r="P214" s="140"/>
      <c r="Q214" s="140"/>
      <c r="R214" s="140"/>
      <c r="S214" s="140"/>
      <c r="T214" s="140"/>
      <c r="V214" s="281">
        <v>17</v>
      </c>
      <c r="W214" s="31">
        <f>16*((Parts!$M$137+Parts!$M$139)/12)</f>
        <v>5.9000000000000012</v>
      </c>
      <c r="X214" s="31">
        <f t="shared" si="69"/>
        <v>11.800000000000002</v>
      </c>
      <c r="Y214" s="31">
        <f t="shared" si="70"/>
        <v>23.600000000000005</v>
      </c>
      <c r="Z214" s="31"/>
      <c r="AA214" s="281" t="s">
        <v>482</v>
      </c>
      <c r="AB214" s="31">
        <v>4</v>
      </c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  <c r="AZ214" s="31"/>
      <c r="BA214" s="31"/>
      <c r="BB214" s="31"/>
      <c r="BC214" s="31"/>
      <c r="BD214" s="31"/>
      <c r="BE214" s="31"/>
      <c r="BF214" s="31"/>
      <c r="BG214" s="31"/>
      <c r="BH214" s="31"/>
      <c r="BI214" s="31"/>
      <c r="BJ214" s="31"/>
      <c r="BK214" s="31"/>
      <c r="BL214" s="31"/>
      <c r="BM214" s="31"/>
      <c r="BN214" s="31"/>
      <c r="BO214" s="31"/>
      <c r="BP214" s="31"/>
      <c r="BQ214" s="31"/>
      <c r="BR214" s="31"/>
      <c r="BS214" s="31"/>
      <c r="BT214" s="31"/>
      <c r="BU214" s="31"/>
      <c r="BV214" s="31"/>
      <c r="BW214" s="31"/>
      <c r="BX214" s="31"/>
      <c r="BY214" s="31"/>
      <c r="BZ214" s="31"/>
      <c r="CA214" s="31"/>
      <c r="CB214" s="31"/>
      <c r="CC214" s="31"/>
      <c r="CD214" s="31"/>
      <c r="CE214" s="31"/>
      <c r="CF214" s="31"/>
      <c r="CG214" s="31"/>
      <c r="CH214" s="31"/>
      <c r="CI214" s="31"/>
      <c r="CJ214" s="31"/>
      <c r="CK214" s="31"/>
      <c r="CL214" s="31"/>
      <c r="CM214" s="31"/>
      <c r="CN214" s="31"/>
      <c r="CO214" s="31"/>
      <c r="CP214" s="31"/>
      <c r="CQ214" s="31"/>
      <c r="CR214" s="31"/>
      <c r="CS214" s="31"/>
      <c r="CT214" s="31"/>
      <c r="CU214" s="31"/>
      <c r="CV214" s="31"/>
      <c r="CW214" s="31"/>
      <c r="CX214" s="31"/>
      <c r="CY214" s="31"/>
      <c r="CZ214" s="31"/>
      <c r="DA214" s="31"/>
      <c r="DB214" s="31"/>
      <c r="DC214" s="31"/>
      <c r="DD214" s="31"/>
      <c r="DE214" s="31"/>
      <c r="DF214" s="31"/>
      <c r="DG214" s="31"/>
      <c r="DH214" s="31"/>
      <c r="DI214" s="31"/>
      <c r="DJ214" s="31"/>
      <c r="DK214" s="31"/>
      <c r="DL214" s="31"/>
      <c r="DM214" s="31"/>
      <c r="DN214" s="31"/>
      <c r="DO214" s="31"/>
      <c r="DP214" s="31"/>
      <c r="DQ214" s="31"/>
      <c r="DR214" s="31"/>
      <c r="DS214" s="31"/>
      <c r="DT214" s="31"/>
      <c r="DU214" s="31"/>
      <c r="DV214" s="31"/>
      <c r="DW214" s="31"/>
      <c r="DX214" s="31"/>
      <c r="DY214" s="31"/>
      <c r="DZ214" s="31"/>
      <c r="EA214" s="31"/>
      <c r="EB214" s="31"/>
      <c r="EC214" s="31"/>
      <c r="ED214" s="31"/>
      <c r="EE214" s="31"/>
      <c r="EF214" s="31"/>
      <c r="EG214" s="31"/>
      <c r="EH214" s="31"/>
      <c r="EI214" s="31"/>
      <c r="EJ214" s="31"/>
      <c r="EK214" s="31"/>
      <c r="EL214" s="31"/>
      <c r="EM214" s="31"/>
      <c r="EN214" s="31"/>
      <c r="EO214" s="31"/>
      <c r="EP214" s="31"/>
      <c r="EQ214" s="31"/>
      <c r="ER214" s="31"/>
      <c r="ES214" s="31"/>
      <c r="ET214" s="31"/>
      <c r="EU214" s="31"/>
      <c r="EV214" s="31"/>
      <c r="EW214" s="31"/>
      <c r="EX214" s="31"/>
      <c r="EY214" s="31"/>
      <c r="EZ214" s="31"/>
      <c r="FA214" s="31"/>
      <c r="FB214" s="31"/>
      <c r="FC214" s="31"/>
      <c r="FD214" s="31"/>
      <c r="FE214" s="31"/>
      <c r="FF214" s="31"/>
      <c r="FG214" s="31"/>
      <c r="FH214" s="31"/>
      <c r="FI214" s="31"/>
      <c r="FJ214" s="31"/>
      <c r="FK214" s="31"/>
    </row>
    <row r="215" spans="7:167" ht="18.75">
      <c r="G215" s="140"/>
      <c r="H215" s="140"/>
      <c r="I215" s="140">
        <v>59</v>
      </c>
      <c r="J215" s="140">
        <v>38.5</v>
      </c>
      <c r="K215" s="140"/>
      <c r="L215" s="140"/>
      <c r="M215" s="140"/>
      <c r="N215" s="142"/>
      <c r="O215" s="142"/>
      <c r="P215" s="140"/>
      <c r="Q215" s="140"/>
      <c r="R215" s="140"/>
      <c r="S215" s="140"/>
      <c r="T215" s="140"/>
      <c r="V215" s="281">
        <v>18</v>
      </c>
      <c r="W215" s="31">
        <f>17*((Parts!$M$137+Parts!$M$139)/12)</f>
        <v>6.2687500000000016</v>
      </c>
      <c r="X215" s="31">
        <f t="shared" si="69"/>
        <v>12.537500000000003</v>
      </c>
      <c r="Y215" s="31">
        <f t="shared" si="70"/>
        <v>25.075000000000006</v>
      </c>
      <c r="Z215" s="31"/>
      <c r="AA215" s="281" t="s">
        <v>483</v>
      </c>
      <c r="AB215" s="31">
        <v>5</v>
      </c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  <c r="AZ215" s="31"/>
      <c r="BA215" s="31"/>
      <c r="BB215" s="31"/>
      <c r="BC215" s="31"/>
      <c r="BD215" s="31"/>
      <c r="BE215" s="31"/>
      <c r="BF215" s="31"/>
      <c r="BG215" s="31"/>
      <c r="BH215" s="31"/>
      <c r="BI215" s="31"/>
      <c r="BJ215" s="31"/>
      <c r="BK215" s="31"/>
      <c r="BL215" s="31"/>
      <c r="BM215" s="31"/>
      <c r="BN215" s="31"/>
      <c r="BO215" s="31"/>
      <c r="BP215" s="31"/>
      <c r="BQ215" s="31"/>
      <c r="BR215" s="31"/>
      <c r="BS215" s="31"/>
      <c r="BT215" s="31"/>
      <c r="BU215" s="31"/>
      <c r="BV215" s="31"/>
      <c r="BW215" s="31"/>
      <c r="BX215" s="31"/>
      <c r="BY215" s="31"/>
      <c r="BZ215" s="31"/>
      <c r="CA215" s="31"/>
      <c r="CB215" s="31"/>
      <c r="CC215" s="31"/>
      <c r="CD215" s="31"/>
      <c r="CE215" s="31"/>
      <c r="CF215" s="31"/>
      <c r="CG215" s="31"/>
      <c r="CH215" s="31"/>
      <c r="CI215" s="31"/>
      <c r="CJ215" s="31"/>
      <c r="CK215" s="31"/>
      <c r="CL215" s="31"/>
      <c r="CM215" s="31"/>
      <c r="CN215" s="31"/>
      <c r="CO215" s="31"/>
      <c r="CP215" s="31"/>
      <c r="CQ215" s="31"/>
      <c r="CR215" s="31"/>
      <c r="CS215" s="31"/>
      <c r="CT215" s="31"/>
      <c r="CU215" s="31"/>
      <c r="CV215" s="31"/>
      <c r="CW215" s="31"/>
      <c r="CX215" s="31"/>
      <c r="CY215" s="31"/>
      <c r="CZ215" s="31"/>
      <c r="DA215" s="31"/>
      <c r="DB215" s="31"/>
      <c r="DC215" s="31"/>
      <c r="DD215" s="31"/>
      <c r="DE215" s="31"/>
      <c r="DF215" s="31"/>
      <c r="DG215" s="31"/>
      <c r="DH215" s="31"/>
      <c r="DI215" s="31"/>
      <c r="DJ215" s="31"/>
      <c r="DK215" s="31"/>
      <c r="DL215" s="31"/>
      <c r="DM215" s="31"/>
      <c r="DN215" s="31"/>
      <c r="DO215" s="31"/>
      <c r="DP215" s="31"/>
      <c r="DQ215" s="31"/>
      <c r="DR215" s="31"/>
      <c r="DS215" s="31"/>
      <c r="DT215" s="31"/>
      <c r="DU215" s="31"/>
      <c r="DV215" s="31"/>
      <c r="DW215" s="31"/>
      <c r="DX215" s="31"/>
      <c r="DY215" s="31"/>
      <c r="DZ215" s="31"/>
      <c r="EA215" s="31"/>
      <c r="EB215" s="31"/>
      <c r="EC215" s="31"/>
      <c r="ED215" s="31"/>
      <c r="EE215" s="31"/>
      <c r="EF215" s="31"/>
      <c r="EG215" s="31"/>
      <c r="EH215" s="31"/>
      <c r="EI215" s="31"/>
      <c r="EJ215" s="31"/>
      <c r="EK215" s="31"/>
      <c r="EL215" s="31"/>
      <c r="EM215" s="31"/>
      <c r="EN215" s="31"/>
      <c r="EO215" s="31"/>
      <c r="EP215" s="31"/>
      <c r="EQ215" s="31"/>
      <c r="ER215" s="31"/>
      <c r="ES215" s="31"/>
      <c r="ET215" s="31"/>
      <c r="EU215" s="31"/>
      <c r="EV215" s="31"/>
      <c r="EW215" s="31"/>
      <c r="EX215" s="31"/>
      <c r="EY215" s="31"/>
      <c r="EZ215" s="31"/>
      <c r="FA215" s="31"/>
      <c r="FB215" s="31"/>
      <c r="FC215" s="31"/>
      <c r="FD215" s="31"/>
      <c r="FE215" s="31"/>
      <c r="FF215" s="31"/>
      <c r="FG215" s="31"/>
      <c r="FH215" s="31"/>
      <c r="FI215" s="31"/>
      <c r="FJ215" s="31"/>
      <c r="FK215" s="31"/>
    </row>
    <row r="216" spans="7:167" ht="18.75">
      <c r="G216" s="140"/>
      <c r="H216" s="140"/>
      <c r="I216" s="140">
        <v>60</v>
      </c>
      <c r="J216" s="140">
        <v>39</v>
      </c>
      <c r="K216" s="140"/>
      <c r="L216" s="140"/>
      <c r="M216" s="140"/>
      <c r="N216" s="142"/>
      <c r="O216" s="142"/>
      <c r="P216" s="140"/>
      <c r="Q216" s="140"/>
      <c r="R216" s="140"/>
      <c r="S216" s="140"/>
      <c r="T216" s="140"/>
      <c r="V216" s="281">
        <v>19</v>
      </c>
      <c r="W216" s="31">
        <f>18*((Parts!$M$137+Parts!$M$139)/12)</f>
        <v>6.6375000000000011</v>
      </c>
      <c r="X216" s="31">
        <f t="shared" si="69"/>
        <v>13.275000000000002</v>
      </c>
      <c r="Y216" s="31">
        <f t="shared" si="70"/>
        <v>26.550000000000004</v>
      </c>
      <c r="Z216" s="31"/>
      <c r="AA216" s="142" t="s">
        <v>484</v>
      </c>
      <c r="AB216" s="31">
        <v>4</v>
      </c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  <c r="AZ216" s="31"/>
      <c r="BA216" s="31"/>
      <c r="BB216" s="31"/>
      <c r="BC216" s="31"/>
      <c r="BD216" s="31"/>
      <c r="BE216" s="31"/>
      <c r="BF216" s="31"/>
      <c r="BG216" s="31"/>
      <c r="BH216" s="31"/>
      <c r="BI216" s="31"/>
      <c r="BJ216" s="31"/>
      <c r="BK216" s="31"/>
      <c r="BL216" s="31"/>
      <c r="BM216" s="31"/>
      <c r="BN216" s="31"/>
      <c r="BO216" s="31"/>
      <c r="BP216" s="31"/>
      <c r="BQ216" s="31"/>
      <c r="BR216" s="31"/>
      <c r="BS216" s="31"/>
      <c r="BT216" s="31"/>
      <c r="BU216" s="31"/>
      <c r="BV216" s="31"/>
      <c r="BW216" s="31"/>
      <c r="BX216" s="31"/>
      <c r="BY216" s="31"/>
      <c r="BZ216" s="31"/>
      <c r="CA216" s="31"/>
      <c r="CB216" s="31"/>
      <c r="CC216" s="31"/>
      <c r="CD216" s="31"/>
      <c r="CE216" s="31"/>
      <c r="CF216" s="31"/>
      <c r="CG216" s="31"/>
      <c r="CH216" s="31"/>
      <c r="CI216" s="31"/>
      <c r="CJ216" s="31"/>
      <c r="CK216" s="31"/>
      <c r="CL216" s="31"/>
      <c r="CM216" s="31"/>
      <c r="CN216" s="31"/>
      <c r="CO216" s="31"/>
      <c r="CP216" s="31"/>
      <c r="CQ216" s="31"/>
      <c r="CR216" s="31"/>
      <c r="CS216" s="31"/>
      <c r="CT216" s="31"/>
      <c r="CU216" s="31"/>
      <c r="CV216" s="31"/>
      <c r="CW216" s="31"/>
      <c r="CX216" s="31"/>
      <c r="CY216" s="31"/>
      <c r="CZ216" s="31"/>
      <c r="DA216" s="31"/>
      <c r="DB216" s="31"/>
      <c r="DC216" s="31"/>
      <c r="DD216" s="31"/>
      <c r="DE216" s="31"/>
      <c r="DF216" s="31"/>
      <c r="DG216" s="31"/>
      <c r="DH216" s="31"/>
      <c r="DI216" s="31"/>
      <c r="DJ216" s="31"/>
      <c r="DK216" s="31"/>
      <c r="DL216" s="31"/>
      <c r="DM216" s="31"/>
      <c r="DN216" s="31"/>
      <c r="DO216" s="31"/>
      <c r="DP216" s="31"/>
      <c r="DQ216" s="31"/>
      <c r="DR216" s="31"/>
      <c r="DS216" s="31"/>
      <c r="DT216" s="31"/>
      <c r="DU216" s="31"/>
      <c r="DV216" s="31"/>
      <c r="DW216" s="31"/>
      <c r="DX216" s="31"/>
      <c r="DY216" s="31"/>
      <c r="DZ216" s="31"/>
      <c r="EA216" s="31"/>
      <c r="EB216" s="31"/>
      <c r="EC216" s="31"/>
      <c r="ED216" s="31"/>
      <c r="EE216" s="31"/>
      <c r="EF216" s="31"/>
      <c r="EG216" s="31"/>
      <c r="EH216" s="31"/>
      <c r="EI216" s="31"/>
      <c r="EJ216" s="31"/>
      <c r="EK216" s="31"/>
      <c r="EL216" s="31"/>
      <c r="EM216" s="31"/>
      <c r="EN216" s="31"/>
      <c r="EO216" s="31"/>
      <c r="EP216" s="31"/>
      <c r="EQ216" s="31"/>
      <c r="ER216" s="31"/>
      <c r="ES216" s="31"/>
      <c r="ET216" s="31"/>
      <c r="EU216" s="31"/>
      <c r="EV216" s="31"/>
      <c r="EW216" s="31"/>
      <c r="EX216" s="31"/>
      <c r="EY216" s="31"/>
      <c r="EZ216" s="31"/>
      <c r="FA216" s="31"/>
      <c r="FB216" s="31"/>
      <c r="FC216" s="31"/>
      <c r="FD216" s="31"/>
      <c r="FE216" s="31"/>
      <c r="FF216" s="31"/>
      <c r="FG216" s="31"/>
      <c r="FH216" s="31"/>
      <c r="FI216" s="31"/>
      <c r="FJ216" s="31"/>
      <c r="FK216" s="31"/>
    </row>
    <row r="217" spans="7:167" ht="18.75">
      <c r="G217" s="140"/>
      <c r="H217" s="140"/>
      <c r="I217" s="140">
        <v>61</v>
      </c>
      <c r="J217" s="140">
        <v>39.5</v>
      </c>
      <c r="K217" s="140"/>
      <c r="L217" s="140"/>
      <c r="M217" s="140"/>
      <c r="N217" s="142"/>
      <c r="O217" s="142"/>
      <c r="P217" s="140"/>
      <c r="Q217" s="140"/>
      <c r="R217" s="140"/>
      <c r="S217" s="140"/>
      <c r="T217" s="140"/>
      <c r="V217" s="281">
        <v>20</v>
      </c>
      <c r="W217" s="31">
        <f>19*((Parts!$M$137+Parts!$M$139)/12)</f>
        <v>7.0062500000000014</v>
      </c>
      <c r="X217" s="31">
        <f t="shared" si="69"/>
        <v>14.012500000000003</v>
      </c>
      <c r="Y217" s="31">
        <f t="shared" si="70"/>
        <v>28.025000000000006</v>
      </c>
      <c r="Z217" s="31"/>
      <c r="AA217" s="142" t="s">
        <v>485</v>
      </c>
      <c r="AB217" s="31">
        <v>4</v>
      </c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  <c r="AZ217" s="31"/>
      <c r="BA217" s="31"/>
      <c r="BB217" s="31"/>
      <c r="BC217" s="31"/>
      <c r="BD217" s="31"/>
      <c r="BE217" s="31"/>
      <c r="BF217" s="31"/>
      <c r="BG217" s="31"/>
      <c r="BH217" s="31"/>
      <c r="BI217" s="31"/>
      <c r="BJ217" s="31"/>
      <c r="BK217" s="31"/>
      <c r="BL217" s="31"/>
      <c r="BM217" s="31"/>
      <c r="BN217" s="31"/>
      <c r="BO217" s="31"/>
      <c r="BP217" s="31"/>
      <c r="BQ217" s="31"/>
      <c r="BR217" s="31"/>
      <c r="BS217" s="31"/>
      <c r="BT217" s="31"/>
      <c r="BU217" s="31"/>
      <c r="BV217" s="31"/>
      <c r="BW217" s="31"/>
      <c r="BX217" s="31"/>
      <c r="BY217" s="31"/>
      <c r="BZ217" s="31"/>
      <c r="CA217" s="31"/>
      <c r="CB217" s="31"/>
      <c r="CC217" s="31"/>
      <c r="CD217" s="31"/>
      <c r="CE217" s="31"/>
      <c r="CF217" s="31"/>
      <c r="CG217" s="31"/>
      <c r="CH217" s="31"/>
      <c r="CI217" s="31"/>
      <c r="CJ217" s="31"/>
      <c r="CK217" s="31"/>
      <c r="CL217" s="31"/>
      <c r="CM217" s="31"/>
      <c r="CN217" s="31"/>
      <c r="CO217" s="31"/>
      <c r="CP217" s="31"/>
      <c r="CQ217" s="31"/>
      <c r="CR217" s="31"/>
      <c r="CS217" s="31"/>
      <c r="CT217" s="31"/>
      <c r="CU217" s="31"/>
      <c r="CV217" s="31"/>
      <c r="CW217" s="31"/>
      <c r="CX217" s="31"/>
      <c r="CY217" s="31"/>
      <c r="CZ217" s="31"/>
      <c r="DA217" s="31"/>
      <c r="DB217" s="31"/>
      <c r="DC217" s="31"/>
      <c r="DD217" s="31"/>
      <c r="DE217" s="31"/>
      <c r="DF217" s="31"/>
      <c r="DG217" s="31"/>
      <c r="DH217" s="31"/>
      <c r="DI217" s="31"/>
      <c r="DJ217" s="31"/>
      <c r="DK217" s="31"/>
      <c r="DL217" s="31"/>
      <c r="DM217" s="31"/>
      <c r="DN217" s="31"/>
      <c r="DO217" s="31"/>
      <c r="DP217" s="31"/>
      <c r="DQ217" s="31"/>
      <c r="DR217" s="31"/>
      <c r="DS217" s="31"/>
      <c r="DT217" s="31"/>
      <c r="DU217" s="31"/>
      <c r="DV217" s="31"/>
      <c r="DW217" s="31"/>
      <c r="DX217" s="31"/>
      <c r="DY217" s="31"/>
      <c r="DZ217" s="31"/>
      <c r="EA217" s="31"/>
      <c r="EB217" s="31"/>
      <c r="EC217" s="31"/>
      <c r="ED217" s="31"/>
      <c r="EE217" s="31"/>
      <c r="EF217" s="31"/>
      <c r="EG217" s="31"/>
      <c r="EH217" s="31"/>
      <c r="EI217" s="31"/>
      <c r="EJ217" s="31"/>
      <c r="EK217" s="31"/>
      <c r="EL217" s="31"/>
      <c r="EM217" s="31"/>
      <c r="EN217" s="31"/>
      <c r="EO217" s="31"/>
      <c r="EP217" s="31"/>
      <c r="EQ217" s="31"/>
      <c r="ER217" s="31"/>
      <c r="ES217" s="31"/>
      <c r="ET217" s="31"/>
      <c r="EU217" s="31"/>
      <c r="EV217" s="31"/>
      <c r="EW217" s="31"/>
      <c r="EX217" s="31"/>
      <c r="EY217" s="31"/>
      <c r="EZ217" s="31"/>
      <c r="FA217" s="31"/>
      <c r="FB217" s="31"/>
      <c r="FC217" s="31"/>
      <c r="FD217" s="31"/>
      <c r="FE217" s="31"/>
      <c r="FF217" s="31"/>
      <c r="FG217" s="31"/>
      <c r="FH217" s="31"/>
      <c r="FI217" s="31"/>
      <c r="FJ217" s="31"/>
      <c r="FK217" s="31"/>
    </row>
    <row r="218" spans="7:167" ht="18.75">
      <c r="G218" s="140"/>
      <c r="H218" s="140"/>
      <c r="I218" s="140">
        <v>62</v>
      </c>
      <c r="J218" s="140">
        <v>40</v>
      </c>
      <c r="K218" s="140"/>
      <c r="L218" s="140"/>
      <c r="M218" s="140"/>
      <c r="N218" s="142"/>
      <c r="O218" s="142"/>
      <c r="P218" s="140"/>
      <c r="Q218" s="140"/>
      <c r="R218" s="140"/>
      <c r="S218" s="140"/>
      <c r="T218" s="140"/>
      <c r="V218" s="281">
        <v>21</v>
      </c>
      <c r="W218" s="31">
        <f>20*((Parts!$M$137+Parts!$M$139)/12)</f>
        <v>7.3750000000000018</v>
      </c>
      <c r="X218" s="31">
        <f t="shared" si="69"/>
        <v>14.750000000000004</v>
      </c>
      <c r="Y218" s="31">
        <f t="shared" si="70"/>
        <v>29.500000000000007</v>
      </c>
      <c r="Z218" s="31"/>
      <c r="AA218" s="142" t="s">
        <v>486</v>
      </c>
      <c r="AB218" s="31">
        <v>5</v>
      </c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  <c r="AZ218" s="31"/>
      <c r="BA218" s="31"/>
      <c r="BB218" s="31"/>
      <c r="BC218" s="31"/>
      <c r="BD218" s="31"/>
      <c r="BE218" s="31"/>
      <c r="BF218" s="31"/>
      <c r="BG218" s="31"/>
      <c r="BH218" s="31"/>
      <c r="BI218" s="31"/>
      <c r="BJ218" s="31"/>
      <c r="BK218" s="31"/>
      <c r="BL218" s="31"/>
      <c r="BM218" s="31"/>
      <c r="BN218" s="31"/>
      <c r="BO218" s="31"/>
      <c r="BP218" s="31"/>
      <c r="BQ218" s="31"/>
      <c r="BR218" s="31"/>
      <c r="BS218" s="31"/>
      <c r="BT218" s="31"/>
      <c r="BU218" s="31"/>
      <c r="BV218" s="31"/>
      <c r="BW218" s="31"/>
      <c r="BX218" s="31"/>
      <c r="BY218" s="31"/>
      <c r="BZ218" s="31"/>
      <c r="CA218" s="31"/>
      <c r="CB218" s="31"/>
      <c r="CC218" s="31"/>
      <c r="CD218" s="31"/>
      <c r="CE218" s="31"/>
      <c r="CF218" s="31"/>
      <c r="CG218" s="31"/>
      <c r="CH218" s="31"/>
      <c r="CI218" s="31"/>
      <c r="CJ218" s="31"/>
      <c r="CK218" s="31"/>
      <c r="CL218" s="31"/>
      <c r="CM218" s="31"/>
      <c r="CN218" s="31"/>
      <c r="CO218" s="31"/>
      <c r="CP218" s="31"/>
      <c r="CQ218" s="31"/>
      <c r="CR218" s="31"/>
      <c r="CS218" s="31"/>
      <c r="CT218" s="31"/>
      <c r="CU218" s="31"/>
      <c r="CV218" s="31"/>
      <c r="CW218" s="31"/>
      <c r="CX218" s="31"/>
      <c r="CY218" s="31"/>
      <c r="CZ218" s="31"/>
      <c r="DA218" s="31"/>
      <c r="DB218" s="31"/>
      <c r="DC218" s="31"/>
      <c r="DD218" s="31"/>
      <c r="DE218" s="31"/>
      <c r="DF218" s="31"/>
      <c r="DG218" s="31"/>
      <c r="DH218" s="31"/>
      <c r="DI218" s="31"/>
      <c r="DJ218" s="31"/>
      <c r="DK218" s="31"/>
      <c r="DL218" s="31"/>
      <c r="DM218" s="31"/>
      <c r="DN218" s="31"/>
      <c r="DO218" s="31"/>
      <c r="DP218" s="31"/>
      <c r="DQ218" s="31"/>
      <c r="DR218" s="31"/>
      <c r="DS218" s="31"/>
      <c r="DT218" s="31"/>
      <c r="DU218" s="31"/>
      <c r="DV218" s="31"/>
      <c r="DW218" s="31"/>
      <c r="DX218" s="31"/>
      <c r="DY218" s="31"/>
      <c r="DZ218" s="31"/>
      <c r="EA218" s="31"/>
      <c r="EB218" s="31"/>
      <c r="EC218" s="31"/>
      <c r="ED218" s="31"/>
      <c r="EE218" s="31"/>
      <c r="EF218" s="31"/>
      <c r="EG218" s="31"/>
      <c r="EH218" s="31"/>
      <c r="EI218" s="31"/>
      <c r="EJ218" s="31"/>
      <c r="EK218" s="31"/>
      <c r="EL218" s="31"/>
      <c r="EM218" s="31"/>
      <c r="EN218" s="31"/>
      <c r="EO218" s="31"/>
      <c r="EP218" s="31"/>
      <c r="EQ218" s="31"/>
      <c r="ER218" s="31"/>
      <c r="ES218" s="31"/>
      <c r="ET218" s="31"/>
      <c r="EU218" s="31"/>
      <c r="EV218" s="31"/>
      <c r="EW218" s="31"/>
      <c r="EX218" s="31"/>
      <c r="EY218" s="31"/>
      <c r="EZ218" s="31"/>
      <c r="FA218" s="31"/>
      <c r="FB218" s="31"/>
      <c r="FC218" s="31"/>
      <c r="FD218" s="31"/>
      <c r="FE218" s="31"/>
      <c r="FF218" s="31"/>
      <c r="FG218" s="31"/>
      <c r="FH218" s="31"/>
      <c r="FI218" s="31"/>
      <c r="FJ218" s="31"/>
      <c r="FK218" s="31"/>
    </row>
    <row r="219" spans="7:167" ht="18.75">
      <c r="G219" s="140"/>
      <c r="H219" s="140"/>
      <c r="I219" s="140">
        <v>63</v>
      </c>
      <c r="J219" s="140">
        <v>40.5</v>
      </c>
      <c r="K219" s="140"/>
      <c r="L219" s="140"/>
      <c r="M219" s="140"/>
      <c r="N219" s="142"/>
      <c r="O219" s="142"/>
      <c r="P219" s="140"/>
      <c r="Q219" s="140"/>
      <c r="R219" s="140"/>
      <c r="S219" s="140"/>
      <c r="T219" s="140"/>
      <c r="V219" s="281">
        <v>22</v>
      </c>
      <c r="W219" s="31">
        <f>21*((Parts!$M$137+Parts!$M$139)/12)</f>
        <v>7.7437500000000012</v>
      </c>
      <c r="X219" s="31">
        <f t="shared" si="69"/>
        <v>15.487500000000002</v>
      </c>
      <c r="Y219" s="31">
        <f t="shared" si="70"/>
        <v>30.975000000000005</v>
      </c>
      <c r="Z219" s="31"/>
      <c r="AA219" s="142" t="s">
        <v>487</v>
      </c>
      <c r="AB219" s="31">
        <v>6</v>
      </c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  <c r="AZ219" s="31"/>
      <c r="BA219" s="31"/>
      <c r="BB219" s="31"/>
      <c r="BC219" s="31"/>
      <c r="BD219" s="31"/>
      <c r="BE219" s="31"/>
      <c r="BF219" s="31"/>
      <c r="BG219" s="31"/>
      <c r="BH219" s="31"/>
      <c r="BI219" s="31"/>
      <c r="BJ219" s="31"/>
      <c r="BK219" s="31"/>
      <c r="BL219" s="31"/>
      <c r="BM219" s="31"/>
      <c r="BN219" s="31"/>
      <c r="BO219" s="31"/>
      <c r="BP219" s="31"/>
      <c r="BQ219" s="31"/>
      <c r="BR219" s="31"/>
      <c r="BS219" s="31"/>
      <c r="BT219" s="31"/>
      <c r="BU219" s="31"/>
      <c r="BV219" s="31"/>
      <c r="BW219" s="31"/>
      <c r="BX219" s="31"/>
      <c r="BY219" s="31"/>
      <c r="BZ219" s="31"/>
      <c r="CA219" s="31"/>
      <c r="CB219" s="31"/>
      <c r="CC219" s="31"/>
      <c r="CD219" s="31"/>
      <c r="CE219" s="31"/>
      <c r="CF219" s="31"/>
      <c r="CG219" s="31"/>
      <c r="CH219" s="31"/>
      <c r="CI219" s="31"/>
      <c r="CJ219" s="31"/>
      <c r="CK219" s="31"/>
      <c r="CL219" s="31"/>
      <c r="CM219" s="31"/>
      <c r="CN219" s="31"/>
      <c r="CO219" s="31"/>
      <c r="CP219" s="31"/>
      <c r="CQ219" s="31"/>
      <c r="CR219" s="31"/>
      <c r="CS219" s="31"/>
      <c r="CT219" s="31"/>
      <c r="CU219" s="31"/>
      <c r="CV219" s="31"/>
      <c r="CW219" s="31"/>
      <c r="CX219" s="31"/>
      <c r="CY219" s="31"/>
      <c r="CZ219" s="31"/>
      <c r="DA219" s="31"/>
      <c r="DB219" s="31"/>
      <c r="DC219" s="31"/>
      <c r="DD219" s="31"/>
      <c r="DE219" s="31"/>
      <c r="DF219" s="31"/>
      <c r="DG219" s="31"/>
      <c r="DH219" s="31"/>
      <c r="DI219" s="31"/>
      <c r="DJ219" s="31"/>
      <c r="DK219" s="31"/>
      <c r="DL219" s="31"/>
      <c r="DM219" s="31"/>
      <c r="DN219" s="31"/>
      <c r="DO219" s="31"/>
      <c r="DP219" s="31"/>
      <c r="DQ219" s="31"/>
      <c r="DR219" s="31"/>
      <c r="DS219" s="31"/>
      <c r="DT219" s="31"/>
      <c r="DU219" s="31"/>
      <c r="DV219" s="31"/>
      <c r="DW219" s="31"/>
      <c r="DX219" s="31"/>
      <c r="DY219" s="31"/>
      <c r="DZ219" s="31"/>
      <c r="EA219" s="31"/>
      <c r="EB219" s="31"/>
      <c r="EC219" s="31"/>
      <c r="ED219" s="31"/>
      <c r="EE219" s="31"/>
      <c r="EF219" s="31"/>
      <c r="EG219" s="31"/>
      <c r="EH219" s="31"/>
      <c r="EI219" s="31"/>
      <c r="EJ219" s="31"/>
      <c r="EK219" s="31"/>
      <c r="EL219" s="31"/>
      <c r="EM219" s="31"/>
      <c r="EN219" s="31"/>
      <c r="EO219" s="31"/>
      <c r="EP219" s="31"/>
      <c r="EQ219" s="31"/>
      <c r="ER219" s="31"/>
      <c r="ES219" s="31"/>
      <c r="ET219" s="31"/>
      <c r="EU219" s="31"/>
      <c r="EV219" s="31"/>
      <c r="EW219" s="31"/>
      <c r="EX219" s="31"/>
      <c r="EY219" s="31"/>
      <c r="EZ219" s="31"/>
      <c r="FA219" s="31"/>
      <c r="FB219" s="31"/>
      <c r="FC219" s="31"/>
      <c r="FD219" s="31"/>
      <c r="FE219" s="31"/>
      <c r="FF219" s="31"/>
      <c r="FG219" s="31"/>
      <c r="FH219" s="31"/>
      <c r="FI219" s="31"/>
      <c r="FJ219" s="31"/>
      <c r="FK219" s="31"/>
    </row>
    <row r="220" spans="7:167" ht="18.75">
      <c r="G220" s="140"/>
      <c r="H220" s="140"/>
      <c r="I220" s="140">
        <v>64</v>
      </c>
      <c r="J220" s="140">
        <v>41</v>
      </c>
      <c r="K220" s="140"/>
      <c r="L220" s="140"/>
      <c r="M220" s="140"/>
      <c r="N220" s="142"/>
      <c r="O220" s="142"/>
      <c r="P220" s="140"/>
      <c r="Q220" s="140"/>
      <c r="R220" s="140"/>
      <c r="S220" s="140"/>
      <c r="T220" s="140"/>
      <c r="V220" s="281">
        <v>23</v>
      </c>
      <c r="W220" s="31">
        <f>22*((Parts!$M$137+Parts!$M$139)/12)</f>
        <v>8.1125000000000025</v>
      </c>
      <c r="X220" s="31">
        <f t="shared" si="69"/>
        <v>16.225000000000005</v>
      </c>
      <c r="Y220" s="31">
        <f t="shared" si="70"/>
        <v>32.45000000000001</v>
      </c>
      <c r="Z220" s="31"/>
      <c r="AA220" s="281" t="s">
        <v>488</v>
      </c>
      <c r="AB220" s="31">
        <v>5</v>
      </c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  <c r="AZ220" s="31"/>
      <c r="BA220" s="31"/>
      <c r="BB220" s="31"/>
      <c r="BC220" s="31"/>
      <c r="BD220" s="31"/>
      <c r="BE220" s="31"/>
      <c r="BF220" s="31"/>
      <c r="BG220" s="31"/>
      <c r="BH220" s="31"/>
      <c r="BI220" s="31"/>
      <c r="BJ220" s="31"/>
      <c r="BK220" s="31"/>
      <c r="BL220" s="31"/>
      <c r="BM220" s="31"/>
      <c r="BN220" s="31"/>
      <c r="BO220" s="31"/>
      <c r="BP220" s="31"/>
      <c r="BQ220" s="31"/>
      <c r="BR220" s="31"/>
      <c r="BS220" s="31"/>
      <c r="BT220" s="31"/>
      <c r="BU220" s="31"/>
      <c r="BV220" s="31"/>
      <c r="BW220" s="31"/>
      <c r="BX220" s="31"/>
      <c r="BY220" s="31"/>
      <c r="BZ220" s="31"/>
      <c r="CA220" s="31"/>
      <c r="CB220" s="31"/>
      <c r="CC220" s="31"/>
      <c r="CD220" s="31"/>
      <c r="CE220" s="31"/>
      <c r="CF220" s="31"/>
      <c r="CG220" s="31"/>
      <c r="CH220" s="31"/>
      <c r="CI220" s="31"/>
      <c r="CJ220" s="31"/>
      <c r="CK220" s="31"/>
      <c r="CL220" s="31"/>
      <c r="CM220" s="31"/>
      <c r="CN220" s="31"/>
      <c r="CO220" s="31"/>
      <c r="CP220" s="31"/>
      <c r="CQ220" s="31"/>
      <c r="CR220" s="31"/>
      <c r="CS220" s="31"/>
      <c r="CT220" s="31"/>
      <c r="CU220" s="31"/>
      <c r="CV220" s="31"/>
      <c r="CW220" s="31"/>
      <c r="CX220" s="31"/>
      <c r="CY220" s="31"/>
      <c r="CZ220" s="31"/>
      <c r="DA220" s="31"/>
      <c r="DB220" s="31"/>
      <c r="DC220" s="31"/>
      <c r="DD220" s="31"/>
      <c r="DE220" s="31"/>
      <c r="DF220" s="31"/>
      <c r="DG220" s="31"/>
      <c r="DH220" s="31"/>
      <c r="DI220" s="31"/>
      <c r="DJ220" s="31"/>
      <c r="DK220" s="31"/>
      <c r="DL220" s="31"/>
      <c r="DM220" s="31"/>
      <c r="DN220" s="31"/>
      <c r="DO220" s="31"/>
      <c r="DP220" s="31"/>
      <c r="DQ220" s="31"/>
      <c r="DR220" s="31"/>
      <c r="DS220" s="31"/>
      <c r="DT220" s="31"/>
      <c r="DU220" s="31"/>
      <c r="DV220" s="31"/>
      <c r="DW220" s="31"/>
      <c r="DX220" s="31"/>
      <c r="DY220" s="31"/>
      <c r="DZ220" s="31"/>
      <c r="EA220" s="31"/>
      <c r="EB220" s="31"/>
      <c r="EC220" s="31"/>
      <c r="ED220" s="31"/>
      <c r="EE220" s="31"/>
      <c r="EF220" s="31"/>
      <c r="EG220" s="31"/>
      <c r="EH220" s="31"/>
      <c r="EI220" s="31"/>
      <c r="EJ220" s="31"/>
      <c r="EK220" s="31"/>
      <c r="EL220" s="31"/>
      <c r="EM220" s="31"/>
      <c r="EN220" s="31"/>
      <c r="EO220" s="31"/>
      <c r="EP220" s="31"/>
      <c r="EQ220" s="31"/>
      <c r="ER220" s="31"/>
      <c r="ES220" s="31"/>
      <c r="ET220" s="31"/>
      <c r="EU220" s="31"/>
      <c r="EV220" s="31"/>
      <c r="EW220" s="31"/>
      <c r="EX220" s="31"/>
      <c r="EY220" s="31"/>
      <c r="EZ220" s="31"/>
      <c r="FA220" s="31"/>
      <c r="FB220" s="31"/>
      <c r="FC220" s="31"/>
      <c r="FD220" s="31"/>
      <c r="FE220" s="31"/>
      <c r="FF220" s="31"/>
      <c r="FG220" s="31"/>
      <c r="FH220" s="31"/>
      <c r="FI220" s="31"/>
      <c r="FJ220" s="31"/>
      <c r="FK220" s="31"/>
    </row>
    <row r="221" spans="7:167" ht="18.75">
      <c r="G221" s="140"/>
      <c r="H221" s="140"/>
      <c r="I221" s="140">
        <v>65</v>
      </c>
      <c r="J221" s="140">
        <v>41.5</v>
      </c>
      <c r="K221" s="140"/>
      <c r="L221" s="140"/>
      <c r="M221" s="140"/>
      <c r="N221" s="142"/>
      <c r="O221" s="142"/>
      <c r="P221" s="140"/>
      <c r="Q221" s="140"/>
      <c r="R221" s="140"/>
      <c r="S221" s="140"/>
      <c r="T221" s="140"/>
      <c r="V221" s="281">
        <v>24</v>
      </c>
      <c r="W221" s="31">
        <f>23*((Parts!$M$137+Parts!$M$139)/12)</f>
        <v>8.4812500000000011</v>
      </c>
      <c r="X221" s="31">
        <f t="shared" si="69"/>
        <v>16.962500000000002</v>
      </c>
      <c r="Y221" s="31">
        <f t="shared" si="70"/>
        <v>33.925000000000004</v>
      </c>
      <c r="Z221" s="31"/>
      <c r="AA221" s="142" t="s">
        <v>489</v>
      </c>
      <c r="AB221" s="31">
        <v>5</v>
      </c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  <c r="AZ221" s="31"/>
      <c r="BA221" s="31"/>
      <c r="BB221" s="31"/>
      <c r="BC221" s="31"/>
      <c r="BD221" s="31"/>
      <c r="BE221" s="31"/>
      <c r="BF221" s="31"/>
      <c r="BG221" s="31"/>
      <c r="BH221" s="31"/>
      <c r="BI221" s="31"/>
      <c r="BJ221" s="31"/>
      <c r="BK221" s="31"/>
      <c r="BL221" s="31"/>
      <c r="BM221" s="31"/>
      <c r="BN221" s="31"/>
      <c r="BO221" s="31"/>
      <c r="BP221" s="31"/>
      <c r="BQ221" s="31"/>
      <c r="BR221" s="31"/>
      <c r="BS221" s="31"/>
      <c r="BT221" s="31"/>
      <c r="BU221" s="31"/>
      <c r="BV221" s="31"/>
      <c r="BW221" s="31"/>
      <c r="BX221" s="31"/>
      <c r="BY221" s="31"/>
      <c r="BZ221" s="31"/>
      <c r="CA221" s="31"/>
      <c r="CB221" s="31"/>
      <c r="CC221" s="31"/>
      <c r="CD221" s="31"/>
      <c r="CE221" s="31"/>
      <c r="CF221" s="31"/>
      <c r="CG221" s="31"/>
      <c r="CH221" s="31"/>
      <c r="CI221" s="31"/>
      <c r="CJ221" s="31"/>
      <c r="CK221" s="31"/>
      <c r="CL221" s="31"/>
      <c r="CM221" s="31"/>
      <c r="CN221" s="31"/>
      <c r="CO221" s="31"/>
      <c r="CP221" s="31"/>
      <c r="CQ221" s="31"/>
      <c r="CR221" s="31"/>
      <c r="CS221" s="31"/>
      <c r="CT221" s="31"/>
      <c r="CU221" s="31"/>
      <c r="CV221" s="31"/>
      <c r="CW221" s="31"/>
      <c r="CX221" s="31"/>
      <c r="CY221" s="31"/>
      <c r="CZ221" s="31"/>
      <c r="DA221" s="31"/>
      <c r="DB221" s="31"/>
      <c r="DC221" s="31"/>
      <c r="DD221" s="31"/>
      <c r="DE221" s="31"/>
      <c r="DF221" s="31"/>
      <c r="DG221" s="31"/>
      <c r="DH221" s="31"/>
      <c r="DI221" s="31"/>
      <c r="DJ221" s="31"/>
      <c r="DK221" s="31"/>
      <c r="DL221" s="31"/>
      <c r="DM221" s="31"/>
      <c r="DN221" s="31"/>
      <c r="DO221" s="31"/>
      <c r="DP221" s="31"/>
      <c r="DQ221" s="31"/>
      <c r="DR221" s="31"/>
      <c r="DS221" s="31"/>
      <c r="DT221" s="31"/>
      <c r="DU221" s="31"/>
      <c r="DV221" s="31"/>
      <c r="DW221" s="31"/>
      <c r="DX221" s="31"/>
      <c r="DY221" s="31"/>
      <c r="DZ221" s="31"/>
      <c r="EA221" s="31"/>
      <c r="EB221" s="31"/>
      <c r="EC221" s="31"/>
      <c r="ED221" s="31"/>
      <c r="EE221" s="31"/>
      <c r="EF221" s="31"/>
      <c r="EG221" s="31"/>
      <c r="EH221" s="31"/>
      <c r="EI221" s="31"/>
      <c r="EJ221" s="31"/>
      <c r="EK221" s="31"/>
      <c r="EL221" s="31"/>
      <c r="EM221" s="31"/>
      <c r="EN221" s="31"/>
      <c r="EO221" s="31"/>
      <c r="EP221" s="31"/>
      <c r="EQ221" s="31"/>
      <c r="ER221" s="31"/>
      <c r="ES221" s="31"/>
      <c r="ET221" s="31"/>
      <c r="EU221" s="31"/>
      <c r="EV221" s="31"/>
      <c r="EW221" s="31"/>
      <c r="EX221" s="31"/>
      <c r="EY221" s="31"/>
      <c r="EZ221" s="31"/>
      <c r="FA221" s="31"/>
      <c r="FB221" s="31"/>
      <c r="FC221" s="31"/>
      <c r="FD221" s="31"/>
      <c r="FE221" s="31"/>
      <c r="FF221" s="31"/>
      <c r="FG221" s="31"/>
      <c r="FH221" s="31"/>
      <c r="FI221" s="31"/>
      <c r="FJ221" s="31"/>
      <c r="FK221" s="31"/>
    </row>
    <row r="222" spans="7:167" ht="18.75">
      <c r="G222" s="140"/>
      <c r="H222" s="140"/>
      <c r="I222" s="140">
        <v>66</v>
      </c>
      <c r="J222" s="140">
        <v>42</v>
      </c>
      <c r="K222" s="140"/>
      <c r="L222" s="140"/>
      <c r="M222" s="140"/>
      <c r="N222" s="142"/>
      <c r="O222" s="142"/>
      <c r="P222" s="140"/>
      <c r="Q222" s="140"/>
      <c r="R222" s="140"/>
      <c r="S222" s="140"/>
      <c r="T222" s="140"/>
      <c r="V222" s="281">
        <v>25</v>
      </c>
      <c r="W222" s="31">
        <f>24*((Parts!$M$137+Parts!$M$139)/12)</f>
        <v>8.8500000000000014</v>
      </c>
      <c r="X222" s="31">
        <f t="shared" si="69"/>
        <v>17.700000000000003</v>
      </c>
      <c r="Y222" s="31">
        <f t="shared" si="70"/>
        <v>35.400000000000006</v>
      </c>
      <c r="Z222" s="31"/>
      <c r="AA222" s="142" t="s">
        <v>490</v>
      </c>
      <c r="AB222" s="31">
        <v>5</v>
      </c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  <c r="AZ222" s="31"/>
      <c r="BA222" s="31"/>
      <c r="BB222" s="31"/>
      <c r="BC222" s="31"/>
      <c r="BD222" s="31"/>
      <c r="BE222" s="31"/>
      <c r="BF222" s="31"/>
      <c r="BG222" s="31"/>
      <c r="BH222" s="31"/>
      <c r="BI222" s="31"/>
      <c r="BJ222" s="31"/>
      <c r="BK222" s="31"/>
      <c r="BL222" s="31"/>
      <c r="BM222" s="31"/>
      <c r="BN222" s="31"/>
      <c r="BO222" s="31"/>
      <c r="BP222" s="31"/>
      <c r="BQ222" s="31"/>
      <c r="BR222" s="31"/>
      <c r="BS222" s="31"/>
      <c r="BT222" s="31"/>
      <c r="BU222" s="31"/>
      <c r="BV222" s="31"/>
      <c r="BW222" s="31"/>
      <c r="BX222" s="31"/>
      <c r="BY222" s="31"/>
      <c r="BZ222" s="31"/>
      <c r="CA222" s="31"/>
      <c r="CB222" s="31"/>
      <c r="CC222" s="31"/>
      <c r="CD222" s="31"/>
      <c r="CE222" s="31"/>
      <c r="CF222" s="31"/>
      <c r="CG222" s="31"/>
      <c r="CH222" s="31"/>
      <c r="CI222" s="31"/>
      <c r="CJ222" s="31"/>
      <c r="CK222" s="31"/>
      <c r="CL222" s="31"/>
      <c r="CM222" s="31"/>
      <c r="CN222" s="31"/>
      <c r="CO222" s="31"/>
      <c r="CP222" s="31"/>
      <c r="CQ222" s="31"/>
      <c r="CR222" s="31"/>
      <c r="CS222" s="31"/>
      <c r="CT222" s="31"/>
      <c r="CU222" s="31"/>
      <c r="CV222" s="31"/>
      <c r="CW222" s="31"/>
      <c r="CX222" s="31"/>
      <c r="CY222" s="31"/>
      <c r="CZ222" s="31"/>
      <c r="DA222" s="31"/>
      <c r="DB222" s="31"/>
      <c r="DC222" s="31"/>
      <c r="DD222" s="31"/>
      <c r="DE222" s="31"/>
      <c r="DF222" s="31"/>
      <c r="DG222" s="31"/>
      <c r="DH222" s="31"/>
      <c r="DI222" s="31"/>
      <c r="DJ222" s="31"/>
      <c r="DK222" s="31"/>
      <c r="DL222" s="31"/>
      <c r="DM222" s="31"/>
      <c r="DN222" s="31"/>
      <c r="DO222" s="31"/>
      <c r="DP222" s="31"/>
      <c r="DQ222" s="31"/>
      <c r="DR222" s="31"/>
      <c r="DS222" s="31"/>
      <c r="DT222" s="31"/>
      <c r="DU222" s="31"/>
      <c r="DV222" s="31"/>
      <c r="DW222" s="31"/>
      <c r="DX222" s="31"/>
      <c r="DY222" s="31"/>
      <c r="DZ222" s="31"/>
      <c r="EA222" s="31"/>
      <c r="EB222" s="31"/>
      <c r="EC222" s="31"/>
      <c r="ED222" s="31"/>
      <c r="EE222" s="31"/>
      <c r="EF222" s="31"/>
      <c r="EG222" s="31"/>
      <c r="EH222" s="31"/>
      <c r="EI222" s="31"/>
      <c r="EJ222" s="31"/>
      <c r="EK222" s="31"/>
      <c r="EL222" s="31"/>
      <c r="EM222" s="31"/>
      <c r="EN222" s="31"/>
      <c r="EO222" s="31"/>
      <c r="EP222" s="31"/>
      <c r="EQ222" s="31"/>
      <c r="ER222" s="31"/>
      <c r="ES222" s="31"/>
      <c r="ET222" s="31"/>
      <c r="EU222" s="31"/>
      <c r="EV222" s="31"/>
      <c r="EW222" s="31"/>
      <c r="EX222" s="31"/>
      <c r="EY222" s="31"/>
      <c r="EZ222" s="31"/>
      <c r="FA222" s="31"/>
      <c r="FB222" s="31"/>
      <c r="FC222" s="31"/>
      <c r="FD222" s="31"/>
      <c r="FE222" s="31"/>
      <c r="FF222" s="31"/>
      <c r="FG222" s="31"/>
      <c r="FH222" s="31"/>
      <c r="FI222" s="31"/>
      <c r="FJ222" s="31"/>
      <c r="FK222" s="31"/>
    </row>
    <row r="223" spans="7:167" ht="18.75">
      <c r="G223" s="140"/>
      <c r="H223" s="140"/>
      <c r="I223" s="140">
        <v>67</v>
      </c>
      <c r="J223" s="140">
        <v>42.5</v>
      </c>
      <c r="K223" s="140"/>
      <c r="L223" s="140"/>
      <c r="M223" s="140"/>
      <c r="N223" s="142"/>
      <c r="O223" s="142"/>
      <c r="P223" s="140"/>
      <c r="Q223" s="140"/>
      <c r="R223" s="140"/>
      <c r="S223" s="140"/>
      <c r="T223" s="140"/>
    </row>
    <row r="224" spans="7:167" ht="18.75">
      <c r="G224" s="140"/>
      <c r="H224" s="140"/>
      <c r="I224" s="140">
        <v>68</v>
      </c>
      <c r="J224" s="140">
        <v>43</v>
      </c>
      <c r="K224" s="140"/>
      <c r="L224" s="140"/>
      <c r="M224" s="140"/>
      <c r="N224" s="142"/>
      <c r="O224" s="142"/>
      <c r="P224" s="140"/>
      <c r="Q224" s="140"/>
      <c r="R224" s="140"/>
      <c r="S224" s="140"/>
      <c r="T224" s="140"/>
    </row>
    <row r="225" spans="7:20" ht="18.75">
      <c r="G225" s="140"/>
      <c r="H225" s="140"/>
      <c r="I225" s="140">
        <v>69</v>
      </c>
      <c r="J225" s="140">
        <v>43.5</v>
      </c>
      <c r="K225" s="140"/>
      <c r="L225" s="140"/>
      <c r="M225" s="140"/>
      <c r="N225" s="142"/>
      <c r="O225" s="142"/>
      <c r="P225" s="140"/>
      <c r="Q225" s="140"/>
      <c r="R225" s="140"/>
      <c r="S225" s="140"/>
      <c r="T225" s="140"/>
    </row>
    <row r="226" spans="7:20" ht="18.75">
      <c r="G226" s="140"/>
      <c r="H226" s="140"/>
      <c r="I226" s="140">
        <v>70</v>
      </c>
      <c r="J226" s="140">
        <v>44</v>
      </c>
      <c r="K226" s="140"/>
      <c r="L226" s="140"/>
      <c r="M226" s="140"/>
      <c r="N226" s="142"/>
      <c r="O226" s="142"/>
      <c r="P226" s="140"/>
      <c r="Q226" s="140"/>
      <c r="R226" s="140"/>
      <c r="S226" s="140"/>
      <c r="T226" s="140"/>
    </row>
    <row r="227" spans="7:20" ht="18.75">
      <c r="G227" s="140"/>
      <c r="H227" s="140"/>
      <c r="I227" s="140">
        <v>71</v>
      </c>
      <c r="J227" s="140">
        <v>44.5</v>
      </c>
      <c r="K227" s="140"/>
      <c r="L227" s="140"/>
      <c r="M227" s="140"/>
      <c r="N227" s="142"/>
      <c r="O227" s="142"/>
      <c r="P227" s="140"/>
      <c r="Q227" s="140"/>
      <c r="R227" s="140"/>
      <c r="S227" s="140"/>
      <c r="T227" s="140"/>
    </row>
    <row r="228" spans="7:20" ht="18.75">
      <c r="G228" s="140"/>
      <c r="H228" s="140"/>
      <c r="I228" s="140">
        <v>72</v>
      </c>
      <c r="J228" s="140">
        <v>45</v>
      </c>
      <c r="K228" s="140"/>
      <c r="L228" s="140"/>
      <c r="M228" s="140"/>
      <c r="N228" s="142"/>
      <c r="O228" s="142"/>
      <c r="P228" s="140"/>
      <c r="Q228" s="140"/>
      <c r="R228" s="140"/>
      <c r="S228" s="140"/>
      <c r="T228" s="140"/>
    </row>
    <row r="229" spans="7:20" ht="18.75">
      <c r="G229" s="140"/>
      <c r="H229" s="140"/>
      <c r="I229" s="140">
        <v>73</v>
      </c>
      <c r="J229" s="140">
        <v>45.5</v>
      </c>
      <c r="K229" s="140"/>
      <c r="L229" s="140"/>
      <c r="M229" s="140"/>
      <c r="N229" s="142"/>
      <c r="O229" s="142"/>
      <c r="P229" s="140"/>
      <c r="Q229" s="140"/>
      <c r="R229" s="140"/>
      <c r="S229" s="140"/>
      <c r="T229" s="140"/>
    </row>
    <row r="230" spans="7:20" ht="18.75">
      <c r="G230" s="140"/>
      <c r="H230" s="140"/>
      <c r="I230" s="140">
        <v>74</v>
      </c>
      <c r="J230" s="140">
        <v>46</v>
      </c>
      <c r="K230" s="140"/>
      <c r="L230" s="140"/>
      <c r="M230" s="140"/>
      <c r="N230" s="142"/>
      <c r="O230" s="142"/>
      <c r="P230" s="140"/>
      <c r="Q230" s="140"/>
      <c r="R230" s="140"/>
      <c r="S230" s="140"/>
      <c r="T230" s="140"/>
    </row>
    <row r="231" spans="7:20" ht="18.75">
      <c r="G231" s="140"/>
      <c r="H231" s="140"/>
      <c r="I231" s="140">
        <v>75</v>
      </c>
      <c r="J231" s="140">
        <v>46.5</v>
      </c>
      <c r="K231" s="140"/>
      <c r="L231" s="140"/>
      <c r="M231" s="140"/>
      <c r="N231" s="142"/>
      <c r="O231" s="142"/>
      <c r="P231" s="140"/>
      <c r="Q231" s="140"/>
      <c r="R231" s="140"/>
      <c r="S231" s="140"/>
      <c r="T231" s="140"/>
    </row>
    <row r="232" spans="7:20" ht="18.75">
      <c r="G232" s="140"/>
      <c r="H232" s="140"/>
      <c r="I232" s="140">
        <v>76</v>
      </c>
      <c r="J232" s="140">
        <v>47</v>
      </c>
      <c r="K232" s="140"/>
      <c r="L232" s="140"/>
      <c r="M232" s="140"/>
      <c r="N232" s="142"/>
      <c r="O232" s="142"/>
      <c r="P232" s="140"/>
      <c r="Q232" s="140"/>
      <c r="R232" s="140"/>
      <c r="S232" s="140"/>
      <c r="T232" s="140"/>
    </row>
    <row r="233" spans="7:20" ht="18.75">
      <c r="G233" s="140"/>
      <c r="H233" s="140"/>
      <c r="I233" s="140">
        <v>77</v>
      </c>
      <c r="J233" s="140">
        <v>47.5</v>
      </c>
      <c r="K233" s="140"/>
      <c r="L233" s="140"/>
      <c r="M233" s="140"/>
      <c r="N233" s="142"/>
      <c r="O233" s="142"/>
      <c r="P233" s="140"/>
      <c r="Q233" s="140"/>
      <c r="R233" s="140"/>
      <c r="S233" s="140"/>
      <c r="T233" s="140"/>
    </row>
    <row r="234" spans="7:20" ht="18.75">
      <c r="G234" s="140"/>
      <c r="H234" s="140"/>
      <c r="I234" s="140">
        <v>78</v>
      </c>
      <c r="J234" s="140">
        <v>48</v>
      </c>
      <c r="K234" s="140"/>
      <c r="L234" s="140"/>
      <c r="M234" s="140"/>
      <c r="N234" s="142"/>
      <c r="O234" s="142"/>
      <c r="P234" s="140"/>
      <c r="Q234" s="140"/>
      <c r="R234" s="140"/>
      <c r="S234" s="140"/>
      <c r="T234" s="140"/>
    </row>
    <row r="235" spans="7:20" ht="18.75">
      <c r="G235" s="140"/>
      <c r="H235" s="140"/>
      <c r="I235" s="140">
        <v>79</v>
      </c>
      <c r="J235" s="140">
        <v>48.5</v>
      </c>
      <c r="K235" s="140"/>
      <c r="L235" s="140"/>
      <c r="M235" s="140"/>
      <c r="N235" s="142"/>
      <c r="O235" s="142"/>
      <c r="P235" s="140"/>
      <c r="Q235" s="140"/>
      <c r="R235" s="140"/>
      <c r="S235" s="140"/>
      <c r="T235" s="140"/>
    </row>
    <row r="236" spans="7:20" ht="18.75">
      <c r="G236" s="140"/>
      <c r="H236" s="140"/>
      <c r="I236" s="140">
        <v>80</v>
      </c>
      <c r="J236" s="140">
        <v>49</v>
      </c>
      <c r="K236" s="140"/>
      <c r="L236" s="140"/>
      <c r="M236" s="140"/>
      <c r="N236" s="142"/>
      <c r="O236" s="142"/>
      <c r="P236" s="140"/>
      <c r="Q236" s="140"/>
      <c r="R236" s="140"/>
      <c r="S236" s="140"/>
      <c r="T236" s="140"/>
    </row>
    <row r="237" spans="7:20" ht="18.75">
      <c r="G237" s="140"/>
      <c r="H237" s="140"/>
      <c r="I237" s="140">
        <v>81</v>
      </c>
      <c r="J237" s="140">
        <v>49.5</v>
      </c>
      <c r="K237" s="140"/>
      <c r="L237" s="140"/>
      <c r="M237" s="140"/>
      <c r="N237" s="142"/>
      <c r="O237" s="142"/>
      <c r="P237" s="140"/>
      <c r="Q237" s="140"/>
      <c r="R237" s="140"/>
      <c r="S237" s="140"/>
      <c r="T237" s="140"/>
    </row>
    <row r="238" spans="7:20" ht="18.75">
      <c r="G238" s="140"/>
      <c r="H238" s="140"/>
      <c r="I238" s="140">
        <v>82</v>
      </c>
      <c r="J238" s="140">
        <v>50</v>
      </c>
      <c r="K238" s="140"/>
      <c r="L238" s="140"/>
      <c r="M238" s="140"/>
      <c r="N238" s="142"/>
      <c r="O238" s="142"/>
      <c r="P238" s="140"/>
      <c r="Q238" s="140"/>
      <c r="R238" s="140"/>
      <c r="S238" s="140"/>
      <c r="T238" s="140"/>
    </row>
    <row r="239" spans="7:20" ht="18.75">
      <c r="G239" s="140"/>
      <c r="H239" s="140"/>
      <c r="I239" s="140">
        <v>83</v>
      </c>
      <c r="J239" s="140">
        <v>50.5</v>
      </c>
      <c r="K239" s="140"/>
      <c r="L239" s="140"/>
      <c r="M239" s="140"/>
      <c r="N239" s="142"/>
      <c r="O239" s="142"/>
      <c r="P239" s="140"/>
      <c r="Q239" s="140"/>
      <c r="R239" s="140"/>
      <c r="S239" s="140"/>
      <c r="T239" s="140"/>
    </row>
    <row r="240" spans="7:20" ht="18.75">
      <c r="G240" s="140"/>
      <c r="H240" s="140"/>
      <c r="I240" s="140">
        <v>84</v>
      </c>
      <c r="J240" s="140">
        <v>51</v>
      </c>
      <c r="K240" s="140"/>
      <c r="L240" s="140"/>
      <c r="M240" s="140"/>
      <c r="N240" s="142"/>
      <c r="O240" s="142"/>
      <c r="P240" s="140"/>
      <c r="Q240" s="140"/>
      <c r="R240" s="140"/>
      <c r="S240" s="140"/>
      <c r="T240" s="140"/>
    </row>
    <row r="241" spans="7:20" ht="18.75">
      <c r="G241" s="140"/>
      <c r="H241" s="140"/>
      <c r="I241" s="140">
        <v>85</v>
      </c>
      <c r="J241" s="140">
        <v>51.5</v>
      </c>
      <c r="K241" s="140"/>
      <c r="L241" s="140"/>
      <c r="M241" s="140"/>
      <c r="N241" s="142"/>
      <c r="O241" s="142"/>
      <c r="P241" s="140"/>
      <c r="Q241" s="140"/>
      <c r="R241" s="140"/>
      <c r="S241" s="140"/>
      <c r="T241" s="140"/>
    </row>
    <row r="242" spans="7:20" ht="18.75">
      <c r="G242" s="140"/>
      <c r="H242" s="140"/>
      <c r="I242" s="140">
        <v>86</v>
      </c>
      <c r="J242" s="140">
        <v>52</v>
      </c>
      <c r="K242" s="140"/>
      <c r="L242" s="140"/>
      <c r="M242" s="140"/>
      <c r="N242" s="142"/>
      <c r="O242" s="142"/>
      <c r="P242" s="140"/>
      <c r="Q242" s="140"/>
      <c r="R242" s="140"/>
      <c r="S242" s="140"/>
      <c r="T242" s="140"/>
    </row>
    <row r="243" spans="7:20" ht="18.75">
      <c r="G243" s="140"/>
      <c r="H243" s="140"/>
      <c r="I243" s="140">
        <v>87</v>
      </c>
      <c r="J243" s="140">
        <v>52.5</v>
      </c>
      <c r="K243" s="140"/>
      <c r="L243" s="140"/>
      <c r="M243" s="140"/>
      <c r="N243" s="142"/>
      <c r="O243" s="142"/>
      <c r="P243" s="140"/>
      <c r="Q243" s="140"/>
      <c r="R243" s="140"/>
      <c r="S243" s="140"/>
      <c r="T243" s="140"/>
    </row>
    <row r="244" spans="7:20" ht="18.75">
      <c r="G244" s="140"/>
      <c r="H244" s="140"/>
      <c r="I244" s="140">
        <v>88</v>
      </c>
      <c r="J244" s="140">
        <v>53</v>
      </c>
      <c r="K244" s="140"/>
      <c r="L244" s="140"/>
      <c r="M244" s="140"/>
      <c r="N244" s="142"/>
      <c r="O244" s="142"/>
      <c r="P244" s="140"/>
      <c r="Q244" s="140"/>
      <c r="R244" s="140"/>
      <c r="S244" s="140"/>
      <c r="T244" s="140"/>
    </row>
    <row r="245" spans="7:20" ht="18.75">
      <c r="G245" s="140"/>
      <c r="H245" s="140"/>
      <c r="I245" s="140">
        <v>89</v>
      </c>
      <c r="J245" s="140">
        <v>53.5</v>
      </c>
      <c r="K245" s="140"/>
      <c r="L245" s="140"/>
      <c r="M245" s="140"/>
      <c r="N245" s="142"/>
      <c r="O245" s="142"/>
      <c r="P245" s="140"/>
      <c r="Q245" s="140"/>
      <c r="R245" s="140"/>
      <c r="S245" s="140"/>
      <c r="T245" s="140"/>
    </row>
    <row r="246" spans="7:20" ht="18.75">
      <c r="G246" s="140"/>
      <c r="H246" s="140"/>
      <c r="I246" s="140">
        <v>90</v>
      </c>
      <c r="J246" s="140">
        <v>54</v>
      </c>
      <c r="K246" s="140"/>
      <c r="L246" s="140"/>
      <c r="M246" s="140"/>
      <c r="N246" s="142"/>
      <c r="O246" s="142"/>
      <c r="P246" s="140"/>
      <c r="Q246" s="140"/>
      <c r="R246" s="140"/>
      <c r="S246" s="140"/>
      <c r="T246" s="140"/>
    </row>
    <row r="247" spans="7:20" ht="18.75">
      <c r="I247" s="140">
        <v>91</v>
      </c>
      <c r="J247" s="140">
        <v>54.5</v>
      </c>
    </row>
    <row r="248" spans="7:20" ht="18.75">
      <c r="I248" s="140">
        <v>92</v>
      </c>
      <c r="J248" s="140">
        <v>55</v>
      </c>
    </row>
    <row r="249" spans="7:20" ht="18.75">
      <c r="I249" s="140">
        <v>93</v>
      </c>
      <c r="J249" s="140">
        <v>55.5</v>
      </c>
    </row>
    <row r="250" spans="7:20" ht="18.75">
      <c r="I250" s="140">
        <v>94</v>
      </c>
      <c r="J250" s="140">
        <v>56</v>
      </c>
    </row>
    <row r="251" spans="7:20" ht="18.75">
      <c r="I251" s="140">
        <v>95</v>
      </c>
      <c r="J251" s="140">
        <v>56.5</v>
      </c>
    </row>
    <row r="252" spans="7:20" ht="18.75">
      <c r="I252" s="140">
        <v>96</v>
      </c>
      <c r="J252" s="140">
        <v>57</v>
      </c>
    </row>
    <row r="253" spans="7:20" ht="18.75">
      <c r="I253" s="140">
        <v>97</v>
      </c>
      <c r="J253" s="140">
        <v>57.5</v>
      </c>
    </row>
    <row r="254" spans="7:20" ht="18.75">
      <c r="I254" s="140">
        <v>98</v>
      </c>
      <c r="J254" s="140">
        <v>58</v>
      </c>
    </row>
    <row r="255" spans="7:20" ht="18.75">
      <c r="I255" s="140">
        <v>99</v>
      </c>
      <c r="J255" s="140">
        <v>58.5</v>
      </c>
    </row>
    <row r="256" spans="7:20" ht="18.75">
      <c r="I256" s="140">
        <v>100</v>
      </c>
      <c r="J256" s="140">
        <v>59</v>
      </c>
    </row>
    <row r="257" spans="9:10" ht="18.75">
      <c r="I257" s="140">
        <v>101</v>
      </c>
      <c r="J257" s="140">
        <v>59.5</v>
      </c>
    </row>
    <row r="258" spans="9:10" ht="18.75">
      <c r="I258" s="140">
        <v>102</v>
      </c>
      <c r="J258" s="140">
        <v>60</v>
      </c>
    </row>
    <row r="259" spans="9:10" ht="18.75">
      <c r="J259" s="140">
        <v>60.5</v>
      </c>
    </row>
    <row r="260" spans="9:10" ht="18.75">
      <c r="J260" s="140">
        <v>61</v>
      </c>
    </row>
    <row r="261" spans="9:10" ht="18.75">
      <c r="J261" s="140">
        <v>61.5</v>
      </c>
    </row>
    <row r="262" spans="9:10" ht="18.75">
      <c r="J262" s="140">
        <v>62</v>
      </c>
    </row>
    <row r="263" spans="9:10" ht="18.75">
      <c r="J263" s="140">
        <v>62.5</v>
      </c>
    </row>
    <row r="264" spans="9:10" ht="18.75">
      <c r="J264" s="140">
        <v>63</v>
      </c>
    </row>
    <row r="265" spans="9:10" ht="18.75">
      <c r="J265" s="140">
        <v>63.5</v>
      </c>
    </row>
    <row r="266" spans="9:10" ht="18.75">
      <c r="J266" s="140">
        <v>64</v>
      </c>
    </row>
    <row r="267" spans="9:10" ht="18.75">
      <c r="J267" s="140">
        <v>64.5</v>
      </c>
    </row>
    <row r="268" spans="9:10" ht="18.75">
      <c r="J268" s="140">
        <v>65</v>
      </c>
    </row>
    <row r="269" spans="9:10" ht="18.75">
      <c r="J269" s="140">
        <v>65.5</v>
      </c>
    </row>
    <row r="270" spans="9:10" ht="18.75">
      <c r="J270" s="140">
        <v>66</v>
      </c>
    </row>
    <row r="271" spans="9:10" ht="18.75">
      <c r="J271" s="140">
        <v>66.5</v>
      </c>
    </row>
    <row r="272" spans="9:10" ht="18.75">
      <c r="J272" s="140">
        <v>67</v>
      </c>
    </row>
    <row r="273" spans="10:10" ht="18.75">
      <c r="J273" s="140">
        <v>67.5</v>
      </c>
    </row>
    <row r="274" spans="10:10" ht="18.75">
      <c r="J274" s="140">
        <v>68</v>
      </c>
    </row>
    <row r="275" spans="10:10" ht="18.75">
      <c r="J275" s="140">
        <v>68.5</v>
      </c>
    </row>
    <row r="276" spans="10:10" ht="18.75">
      <c r="J276" s="140">
        <v>69</v>
      </c>
    </row>
    <row r="277" spans="10:10" ht="18.75">
      <c r="J277" s="140">
        <v>69.5</v>
      </c>
    </row>
    <row r="278" spans="10:10" ht="18.75">
      <c r="J278" s="140">
        <v>70</v>
      </c>
    </row>
    <row r="279" spans="10:10" ht="18.75">
      <c r="J279" s="140">
        <v>70.5</v>
      </c>
    </row>
    <row r="280" spans="10:10" ht="18.75">
      <c r="J280" s="140">
        <v>71</v>
      </c>
    </row>
    <row r="281" spans="10:10" ht="18.75">
      <c r="J281" s="140">
        <v>71.5</v>
      </c>
    </row>
    <row r="282" spans="10:10" ht="18.75">
      <c r="J282" s="140">
        <v>72</v>
      </c>
    </row>
    <row r="283" spans="10:10" ht="18.75">
      <c r="J283" s="140">
        <v>72.5</v>
      </c>
    </row>
    <row r="284" spans="10:10" ht="18.75">
      <c r="J284" s="140">
        <v>73</v>
      </c>
    </row>
    <row r="285" spans="10:10" ht="18.75">
      <c r="J285" s="140">
        <v>73.5</v>
      </c>
    </row>
    <row r="286" spans="10:10" ht="18.75">
      <c r="J286" s="140">
        <v>74</v>
      </c>
    </row>
    <row r="287" spans="10:10" ht="18.75">
      <c r="J287" s="140">
        <v>74.5</v>
      </c>
    </row>
    <row r="288" spans="10:10" ht="18.75">
      <c r="J288" s="140">
        <v>75</v>
      </c>
    </row>
    <row r="289" spans="10:10" ht="18.75">
      <c r="J289" s="140">
        <v>75.5</v>
      </c>
    </row>
    <row r="290" spans="10:10" ht="18.75">
      <c r="J290" s="140">
        <v>76</v>
      </c>
    </row>
    <row r="291" spans="10:10" ht="18.75">
      <c r="J291" s="140">
        <v>76.5</v>
      </c>
    </row>
    <row r="292" spans="10:10" ht="18.75">
      <c r="J292" s="140">
        <v>77</v>
      </c>
    </row>
    <row r="293" spans="10:10" ht="18.75">
      <c r="J293" s="140">
        <v>77.5</v>
      </c>
    </row>
    <row r="294" spans="10:10" ht="18.75">
      <c r="J294" s="140">
        <v>78</v>
      </c>
    </row>
    <row r="295" spans="10:10" ht="18.75">
      <c r="J295" s="140">
        <v>78.5</v>
      </c>
    </row>
    <row r="296" spans="10:10" ht="18.75">
      <c r="J296" s="140">
        <v>79</v>
      </c>
    </row>
    <row r="297" spans="10:10" ht="18.75">
      <c r="J297" s="140">
        <v>79.5</v>
      </c>
    </row>
    <row r="298" spans="10:10" ht="18.75">
      <c r="J298" s="140">
        <v>80</v>
      </c>
    </row>
    <row r="299" spans="10:10" ht="18.75">
      <c r="J299" s="140">
        <v>80.5</v>
      </c>
    </row>
    <row r="300" spans="10:10" ht="18.75">
      <c r="J300" s="140">
        <v>81</v>
      </c>
    </row>
    <row r="301" spans="10:10" ht="18.75">
      <c r="J301" s="140">
        <v>81.5</v>
      </c>
    </row>
    <row r="302" spans="10:10" ht="18.75">
      <c r="J302" s="140">
        <v>82</v>
      </c>
    </row>
    <row r="303" spans="10:10" ht="18.75">
      <c r="J303" s="140">
        <v>82.5</v>
      </c>
    </row>
    <row r="304" spans="10:10" ht="18.75">
      <c r="J304" s="140">
        <v>83</v>
      </c>
    </row>
    <row r="305" spans="10:10" ht="18.75">
      <c r="J305" s="140">
        <v>83.5</v>
      </c>
    </row>
    <row r="306" spans="10:10" ht="18.75">
      <c r="J306" s="140">
        <v>84</v>
      </c>
    </row>
  </sheetData>
  <sheetProtection algorithmName="SHA-512" hashValue="xTb9kEtQ6iU40nKk3v/DX4tk+lyeBas8Hze7D3WCLdQB4W4IteRhwci1yZTnSuqMVaOgcVZRGd/Mtvvcu7+6Fg==" saltValue="Avx/j93kpOho72v9ixGm2A==" spinCount="100000" sheet="1" objects="1" scenarios="1"/>
  <mergeCells count="7">
    <mergeCell ref="W9:Y9"/>
    <mergeCell ref="AC9:AD9"/>
    <mergeCell ref="A2:F2"/>
    <mergeCell ref="I9:J9"/>
    <mergeCell ref="I8:N8"/>
    <mergeCell ref="A3:F4"/>
    <mergeCell ref="P8:T8"/>
  </mergeCells>
  <conditionalFormatting sqref="I11:I110">
    <cfRule type="expression" dxfId="42" priority="16">
      <formula>AND(G11="S",I11&gt;25)</formula>
    </cfRule>
    <cfRule type="expression" dxfId="41" priority="18">
      <formula>AND(G11="S", I11&lt;26)</formula>
    </cfRule>
    <cfRule type="expression" dxfId="40" priority="39">
      <formula>AND(G11="PR",I11&gt;50)</formula>
    </cfRule>
    <cfRule type="expression" dxfId="39" priority="40">
      <formula>AND(G11="PR",I11&lt;51)</formula>
    </cfRule>
    <cfRule type="expression" dxfId="38" priority="41">
      <formula>AND(G11="PR",I11=_xludf.ODD)</formula>
    </cfRule>
    <cfRule type="expression" dxfId="37" priority="42">
      <formula>AND(G11="QD",I11&lt;51)</formula>
    </cfRule>
    <cfRule type="expression" dxfId="36" priority="43">
      <formula>AND(G11="QD", I11=$E$162)</formula>
    </cfRule>
    <cfRule type="expression" dxfId="35" priority="44">
      <formula>AND(G11="QD", I11&lt;&gt;50)</formula>
    </cfRule>
  </conditionalFormatting>
  <conditionalFormatting sqref="I8:L8">
    <cfRule type="expression" dxfId="34" priority="99">
      <formula>AND($G$11="S",I11=N11)</formula>
    </cfRule>
    <cfRule type="expression" dxfId="33" priority="100">
      <formula>AND($G$11="S",I11&lt;&gt;N11)</formula>
    </cfRule>
    <cfRule type="expression" dxfId="32" priority="101">
      <formula>AND($G$11="PR",I11&lt;&gt;$E$162)</formula>
    </cfRule>
    <cfRule type="expression" dxfId="31" priority="102">
      <formula>AND($G$11="PR",I11=$E$162)</formula>
    </cfRule>
    <cfRule type="expression" dxfId="30" priority="103">
      <formula>AND($G$11="QD",$I$11&lt;&gt;$E$162)</formula>
    </cfRule>
    <cfRule type="expression" dxfId="29" priority="104">
      <formula>AND($G$11="QD",$I$11=$E$162)</formula>
    </cfRule>
  </conditionalFormatting>
  <conditionalFormatting sqref="J11:J110">
    <cfRule type="expression" priority="35">
      <formula>J11=""</formula>
    </cfRule>
    <cfRule type="expression" dxfId="28" priority="37">
      <formula>J11&gt;66</formula>
    </cfRule>
    <cfRule type="expression" dxfId="27" priority="38">
      <formula>AND(J11&lt;66.5,J11&lt;&gt;"")</formula>
    </cfRule>
  </conditionalFormatting>
  <conditionalFormatting sqref="M8">
    <cfRule type="expression" dxfId="26" priority="75">
      <formula>AND($G$11="S",M11=S11)</formula>
    </cfRule>
    <cfRule type="expression" dxfId="25" priority="76">
      <formula>AND($G$11="S",M11&lt;&gt;S11)</formula>
    </cfRule>
    <cfRule type="expression" dxfId="24" priority="77">
      <formula>AND($G$11="PR",M11&lt;&gt;$E$162)</formula>
    </cfRule>
    <cfRule type="expression" dxfId="23" priority="78">
      <formula>AND($G$11="PR",M11=$E$162)</formula>
    </cfRule>
    <cfRule type="expression" dxfId="22" priority="79">
      <formula>AND($G$11="QD",$I$11&lt;&gt;$E$162)</formula>
    </cfRule>
    <cfRule type="expression" dxfId="21" priority="80">
      <formula>AND($G$11="QD",$I$11=$E$162)</formula>
    </cfRule>
  </conditionalFormatting>
  <conditionalFormatting sqref="N8">
    <cfRule type="expression" dxfId="20" priority="57">
      <formula>AND($G$11="S",N11=U11)</formula>
    </cfRule>
    <cfRule type="expression" dxfId="19" priority="58">
      <formula>AND($G$11="S",N11&lt;&gt;U11)</formula>
    </cfRule>
    <cfRule type="expression" dxfId="18" priority="59">
      <formula>AND($G$11="PR",N11&lt;&gt;$E$162)</formula>
    </cfRule>
    <cfRule type="expression" dxfId="17" priority="60">
      <formula>AND($G$11="PR",N11=$E$162)</formula>
    </cfRule>
    <cfRule type="expression" dxfId="16" priority="61">
      <formula>AND($G$11="QD",$I$11&lt;&gt;$E$162)</formula>
    </cfRule>
    <cfRule type="expression" dxfId="15" priority="62">
      <formula>AND($G$11="QD",$I$11=$E$162)</formula>
    </cfRule>
  </conditionalFormatting>
  <conditionalFormatting sqref="N11:N110">
    <cfRule type="expression" dxfId="14" priority="36">
      <formula>N11=0</formula>
    </cfRule>
  </conditionalFormatting>
  <dataValidations count="8">
    <dataValidation type="list" allowBlank="1" showInputMessage="1" showErrorMessage="1" sqref="T11:T110" xr:uid="{CACD53A5-F228-4484-B537-8A0BEA9883C4}">
      <formula1>$T$162:$T$165</formula1>
    </dataValidation>
    <dataValidation type="list" allowBlank="1" showInputMessage="1" showErrorMessage="1" sqref="Q11:Q110" xr:uid="{A804EB18-9545-4D83-B70C-BD772555AE73}">
      <formula1>$P$162:$P$163</formula1>
    </dataValidation>
    <dataValidation type="list" allowBlank="1" showInputMessage="1" showErrorMessage="1" sqref="M11:M110" xr:uid="{41E90DCD-0513-49A3-93BC-CE49A2E1E635}">
      <formula1>$M$162:$M$166</formula1>
    </dataValidation>
    <dataValidation type="list" allowBlank="1" showInputMessage="1" showErrorMessage="1" sqref="I11:I110" xr:uid="{71756B6B-5A6A-406D-B91A-D6E830BBD298}">
      <formula1>$I$162:$I$258</formula1>
    </dataValidation>
    <dataValidation type="list" allowBlank="1" showInputMessage="1" showErrorMessage="1" sqref="J11:J110" xr:uid="{D0FF55D0-79A5-42A7-9796-AC4DD33E96C2}">
      <formula1>$J$162:$J$306</formula1>
    </dataValidation>
    <dataValidation type="list" allowBlank="1" showInputMessage="1" showErrorMessage="1" prompt="S - Up to 25 Inches in Width_x000a_PR - Up to 50 Inches in Width_x000a_QUAD - Up to 100 Inches in Width" sqref="G11:G110" xr:uid="{04F0E371-6408-481C-B0C6-C7370506857A}">
      <formula1>$G$162:$G$164</formula1>
    </dataValidation>
    <dataValidation type="list" allowBlank="1" showInputMessage="1" showErrorMessage="1" sqref="H11:H110" xr:uid="{FCECF631-969F-439A-AB87-883A4A019A75}">
      <formula1>$H$162:$H$163</formula1>
    </dataValidation>
    <dataValidation type="list" allowBlank="1" showInputMessage="1" showErrorMessage="1" sqref="B6:D6" xr:uid="{5482728A-BF71-4C4E-96FE-4011E5F6993C}">
      <formula1>$K$162:$K$165</formula1>
    </dataValidation>
  </dataValidations>
  <pageMargins left="0.7" right="0.7" top="0.75" bottom="0.75" header="0.3" footer="0.3"/>
  <pageSetup scale="50" fitToHeight="0" orientation="landscape" horizontalDpi="1200" verticalDpi="1200" r:id="rId1"/>
  <ignoredErrors>
    <ignoredError sqref="O177:O181 V186:V190 AA208:AA212" twoDigitTextYear="1"/>
    <ignoredError sqref="T163:T165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423060-3FE2-4C94-BADE-0843B6E7B889}">
          <x14:formula1>
            <xm:f>'PAINT LABOR COSTS'!$B$27:$B$58</xm:f>
          </x14:formula1>
          <xm:sqref>K11:K110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EFAF0-4E9D-40C4-A20F-862CC81A8A84}">
  <sheetPr codeName="Sheet6">
    <tabColor rgb="FF92D050"/>
    <pageSetUpPr fitToPage="1"/>
  </sheetPr>
  <dimension ref="A1:BB245"/>
  <sheetViews>
    <sheetView zoomScaleNormal="100" zoomScaleSheetLayoutView="100" workbookViewId="0">
      <selection sqref="A1:Z16"/>
    </sheetView>
  </sheetViews>
  <sheetFormatPr defaultRowHeight="15"/>
  <cols>
    <col min="1" max="1" width="9.140625" style="2"/>
    <col min="2" max="4" width="12.140625" style="2" customWidth="1"/>
    <col min="5" max="5" width="12.7109375" style="2" customWidth="1"/>
    <col min="6" max="7" width="9.140625" style="2"/>
    <col min="8" max="8" width="11.7109375" style="2" customWidth="1"/>
    <col min="9" max="9" width="14.28515625" style="2" customWidth="1"/>
    <col min="10" max="10" width="31.140625" style="2" customWidth="1"/>
    <col min="11" max="11" width="11.5703125" style="2" customWidth="1"/>
    <col min="12" max="12" width="10.5703125" style="92" customWidth="1"/>
    <col min="13" max="13" width="10.42578125" style="92" customWidth="1"/>
    <col min="14" max="14" width="9.42578125" style="92" customWidth="1"/>
    <col min="15" max="15" width="11.140625" style="92" customWidth="1"/>
    <col min="16" max="17" width="9.5703125" style="2" customWidth="1"/>
    <col min="18" max="18" width="11.7109375" style="2" customWidth="1"/>
    <col min="19" max="19" width="14" style="2" customWidth="1"/>
    <col min="20" max="20" width="11.7109375" style="2" customWidth="1"/>
    <col min="21" max="21" width="14.140625" style="2" customWidth="1"/>
    <col min="22" max="22" width="11.42578125" style="2" customWidth="1"/>
    <col min="23" max="23" width="9.85546875" style="2" customWidth="1"/>
    <col min="24" max="24" width="11" style="2" customWidth="1"/>
    <col min="25" max="25" width="9.7109375" style="2" customWidth="1"/>
    <col min="26" max="26" width="9.5703125" style="2" customWidth="1"/>
    <col min="27" max="27" width="2.42578125" style="111" customWidth="1"/>
    <col min="28" max="28" width="11.5703125" customWidth="1"/>
    <col min="29" max="29" width="12.140625" customWidth="1"/>
    <col min="30" max="30" width="10.28515625" customWidth="1"/>
    <col min="31" max="31" width="12" customWidth="1"/>
    <col min="32" max="32" width="16.5703125" customWidth="1"/>
    <col min="33" max="33" width="14.5703125" style="40" customWidth="1"/>
    <col min="34" max="34" width="14.28515625" customWidth="1"/>
    <col min="35" max="35" width="12.42578125" customWidth="1"/>
    <col min="36" max="36" width="11" customWidth="1"/>
    <col min="37" max="37" width="10.140625" customWidth="1"/>
    <col min="38" max="38" width="10.42578125" customWidth="1"/>
    <col min="39" max="39" width="11.28515625" bestFit="1" customWidth="1"/>
    <col min="40" max="40" width="10.85546875" customWidth="1"/>
    <col min="41" max="41" width="9.85546875" customWidth="1"/>
    <col min="42" max="42" width="11.140625" customWidth="1"/>
    <col min="43" max="43" width="10.5703125" customWidth="1"/>
    <col min="44" max="44" width="14.85546875" customWidth="1"/>
    <col min="45" max="45" width="12.85546875" customWidth="1"/>
    <col min="46" max="46" width="13.42578125" customWidth="1"/>
    <col min="47" max="47" width="12.42578125" customWidth="1"/>
    <col min="48" max="48" width="12.5703125" customWidth="1"/>
    <col min="49" max="49" width="11" customWidth="1"/>
    <col min="50" max="50" width="11.7109375" customWidth="1"/>
    <col min="53" max="53" width="10.42578125" customWidth="1"/>
  </cols>
  <sheetData>
    <row r="1" spans="1:54">
      <c r="L1" s="216" t="e">
        <f>1-E8/#REF!</f>
        <v>#REF!</v>
      </c>
    </row>
    <row r="2" spans="1:54">
      <c r="L2" s="139"/>
    </row>
    <row r="3" spans="1:54">
      <c r="A3" s="337" t="s">
        <v>492</v>
      </c>
      <c r="B3" s="337"/>
      <c r="C3" s="337"/>
      <c r="D3" s="337"/>
      <c r="E3" s="337"/>
      <c r="F3" s="337"/>
      <c r="G3" s="254"/>
      <c r="H3" s="337" t="s">
        <v>424</v>
      </c>
      <c r="I3" s="337"/>
      <c r="J3" s="337"/>
      <c r="L3" s="151" t="e">
        <f>1-E8/#REF!</f>
        <v>#REF!</v>
      </c>
      <c r="M3" s="151">
        <f>1-E8/B8</f>
        <v>0.24812030075187974</v>
      </c>
      <c r="N3" s="151">
        <f>1-E8/C8</f>
        <v>0.32432432432432445</v>
      </c>
      <c r="O3" s="151">
        <f>1-E8/D8</f>
        <v>0.38650306748466257</v>
      </c>
    </row>
    <row r="4" spans="1:54" ht="15.75" thickBot="1">
      <c r="A4" s="399" t="s">
        <v>195</v>
      </c>
      <c r="B4" s="399" t="s">
        <v>195</v>
      </c>
      <c r="C4" s="399" t="s">
        <v>195</v>
      </c>
      <c r="D4" s="399" t="s">
        <v>195</v>
      </c>
      <c r="E4" s="399" t="s">
        <v>195</v>
      </c>
      <c r="F4" s="399" t="s">
        <v>195</v>
      </c>
      <c r="G4" s="254"/>
      <c r="H4" s="400" t="s">
        <v>493</v>
      </c>
      <c r="I4" s="400"/>
      <c r="J4" s="400"/>
    </row>
    <row r="5" spans="1:54">
      <c r="B5" s="2" t="s">
        <v>361</v>
      </c>
      <c r="C5" s="2" t="s">
        <v>195</v>
      </c>
      <c r="D5" s="2" t="s">
        <v>246</v>
      </c>
      <c r="H5" s="401" t="s">
        <v>44</v>
      </c>
      <c r="I5" s="401"/>
      <c r="J5" s="401"/>
    </row>
    <row r="6" spans="1:54">
      <c r="A6" s="31"/>
      <c r="B6" s="31">
        <v>1.33</v>
      </c>
      <c r="C6" s="31">
        <f>B6+0.15</f>
        <v>1.48</v>
      </c>
      <c r="D6" s="31">
        <f>C6+0.15</f>
        <v>1.63</v>
      </c>
      <c r="E6" s="31" t="s">
        <v>140</v>
      </c>
      <c r="F6" s="31"/>
      <c r="H6" s="402" t="s">
        <v>494</v>
      </c>
      <c r="I6" s="402"/>
      <c r="J6" s="402"/>
      <c r="AD6">
        <v>4753</v>
      </c>
    </row>
    <row r="7" spans="1:54" ht="15.75" thickBot="1">
      <c r="A7" s="96"/>
      <c r="B7" s="96">
        <v>0.03</v>
      </c>
      <c r="C7" s="96">
        <v>0.05</v>
      </c>
      <c r="D7" s="96">
        <v>0.08</v>
      </c>
      <c r="E7" s="96" t="s">
        <v>247</v>
      </c>
      <c r="F7" s="96"/>
      <c r="L7" s="303" t="s">
        <v>495</v>
      </c>
      <c r="M7" s="303"/>
      <c r="N7" s="303"/>
      <c r="O7" s="303"/>
      <c r="P7" s="337" t="s">
        <v>426</v>
      </c>
      <c r="Q7" s="337"/>
      <c r="R7" s="337"/>
      <c r="S7" s="337"/>
      <c r="T7" s="337"/>
      <c r="U7" s="337"/>
      <c r="V7" s="337"/>
      <c r="W7" s="337"/>
      <c r="X7" s="337"/>
      <c r="Y7" s="337"/>
      <c r="Z7" s="337"/>
      <c r="AC7" s="105">
        <v>0.1333</v>
      </c>
      <c r="AG7" s="39"/>
      <c r="AI7" s="181">
        <v>30</v>
      </c>
      <c r="AJ7" s="181"/>
      <c r="AK7" s="181"/>
      <c r="AL7" s="181"/>
      <c r="AM7" s="181"/>
      <c r="AN7" s="181"/>
      <c r="AO7" s="181"/>
      <c r="AP7" s="181"/>
      <c r="AQ7" s="181"/>
    </row>
    <row r="8" spans="1:54" ht="15.75" thickBot="1">
      <c r="B8" s="275">
        <f t="shared" ref="B8:D8" si="0">SUM(B10:B109)</f>
        <v>5976.1639431420226</v>
      </c>
      <c r="C8" s="275">
        <f t="shared" si="0"/>
        <v>6650.1673953760865</v>
      </c>
      <c r="D8" s="275">
        <f t="shared" si="0"/>
        <v>7324.1708476101476</v>
      </c>
      <c r="E8" s="22">
        <f>SUM(E10:E109)</f>
        <v>4493.3563482270847</v>
      </c>
      <c r="G8" s="2" t="s">
        <v>428</v>
      </c>
      <c r="H8" s="2" t="s">
        <v>429</v>
      </c>
      <c r="I8" s="43" t="s">
        <v>496</v>
      </c>
      <c r="L8" s="303" t="s">
        <v>393</v>
      </c>
      <c r="M8" s="303"/>
      <c r="N8" s="303" t="s">
        <v>438</v>
      </c>
      <c r="O8" s="303"/>
      <c r="P8" s="2" t="s">
        <v>430</v>
      </c>
      <c r="R8" s="181"/>
      <c r="S8" s="181"/>
      <c r="T8" s="22" t="str">
        <f>IF(AND(A4="RETAIL", T10="YES"),'Comp Hardware'!L11,IF(AND(A4="BLDR",T10="YES"),'Comp Hardware'!M11,IF(AND(A4="WHOLE",T10="YES"),'Comp Hardware'!N11,IF(AND(A4="LCR",T10="YES"),'Comp Hardware'!N11,""))))</f>
        <v/>
      </c>
      <c r="U8" s="181" t="str">
        <f>IF(AND(A4="RETAIL", U10="YES"),'Comp Hardware'!L9,IF(AND(A4="BLDR",U10="YES"),'Comp Hardware'!M9,IF(AND(A4="WHOLE",U10="YES"),'Comp Hardware'!N9,IF(AND(A4="LCR",U10="YES"),'Comp Hardware'!N9,""))))</f>
        <v/>
      </c>
      <c r="V8" s="2" t="str">
        <f>IF(AND(A4="RETAIL", V10="YES"),'Comp Hardware'!L10,IF(AND(A4="BLDR",V10="YES"),'Comp Hardware'!M10,IF(AND(A4="WHOLE",V10="YES"),'Comp Hardware'!N10,IF(AND(A4="LCR",V10="YES"),'Comp Hardware'!N10,""))))</f>
        <v/>
      </c>
      <c r="W8" s="2" t="s">
        <v>431</v>
      </c>
      <c r="Z8" s="181"/>
      <c r="AC8" s="234">
        <f>$AF$162</f>
        <v>54.900500000000008</v>
      </c>
      <c r="AD8" s="234">
        <f>$AF$165</f>
        <v>68.307500000000005</v>
      </c>
      <c r="AE8" s="234">
        <f>$AF$168</f>
        <v>83.360400000000013</v>
      </c>
      <c r="AG8" s="114"/>
      <c r="AI8" s="2" t="s">
        <v>497</v>
      </c>
      <c r="AJ8" s="2" t="s">
        <v>497</v>
      </c>
      <c r="AK8" s="2" t="s">
        <v>435</v>
      </c>
      <c r="AL8" s="2" t="s">
        <v>435</v>
      </c>
      <c r="AM8" s="2" t="s">
        <v>435</v>
      </c>
      <c r="AN8" s="2" t="s">
        <v>435</v>
      </c>
      <c r="AO8" s="2" t="s">
        <v>435</v>
      </c>
      <c r="AP8" s="2" t="s">
        <v>435</v>
      </c>
      <c r="AQ8" s="2" t="s">
        <v>435</v>
      </c>
      <c r="AS8" s="104">
        <v>50</v>
      </c>
      <c r="AT8" s="2" t="s">
        <v>498</v>
      </c>
      <c r="AU8" s="2"/>
      <c r="AV8" s="181">
        <v>100</v>
      </c>
      <c r="AW8" s="181">
        <f>'Comp Hardware'!H53</f>
        <v>44.199999999999996</v>
      </c>
      <c r="AX8" s="104">
        <v>25</v>
      </c>
      <c r="AY8" s="104">
        <v>25</v>
      </c>
      <c r="AZ8" s="104">
        <v>10</v>
      </c>
      <c r="BA8" s="104">
        <v>175</v>
      </c>
    </row>
    <row r="9" spans="1:54" ht="17.25">
      <c r="A9" s="2" t="s">
        <v>368</v>
      </c>
      <c r="E9" s="2" t="s">
        <v>247</v>
      </c>
      <c r="F9" s="2" t="s">
        <v>369</v>
      </c>
      <c r="G9" s="2" t="s">
        <v>499</v>
      </c>
      <c r="H9" s="2" t="s">
        <v>500</v>
      </c>
      <c r="I9" s="2" t="s">
        <v>439</v>
      </c>
      <c r="J9" s="2" t="s">
        <v>371</v>
      </c>
      <c r="K9" s="2" t="s">
        <v>372</v>
      </c>
      <c r="L9" s="92" t="s">
        <v>361</v>
      </c>
      <c r="M9" s="92" t="s">
        <v>501</v>
      </c>
      <c r="N9" s="92" t="s">
        <v>361</v>
      </c>
      <c r="O9" s="92" t="s">
        <v>501</v>
      </c>
      <c r="P9" s="2" t="s">
        <v>441</v>
      </c>
      <c r="Q9" s="2" t="s">
        <v>442</v>
      </c>
      <c r="R9" s="2" t="s">
        <v>502</v>
      </c>
      <c r="S9" s="2" t="s">
        <v>503</v>
      </c>
      <c r="T9" s="2" t="s">
        <v>504</v>
      </c>
      <c r="U9" s="2" t="s">
        <v>443</v>
      </c>
      <c r="V9" s="2" t="s">
        <v>444</v>
      </c>
      <c r="W9" s="2" t="s">
        <v>445</v>
      </c>
      <c r="X9" s="2" t="s">
        <v>505</v>
      </c>
      <c r="Y9" s="2" t="s">
        <v>506</v>
      </c>
      <c r="Z9" s="2" t="s">
        <v>507</v>
      </c>
      <c r="AB9" s="2" t="s">
        <v>508</v>
      </c>
      <c r="AC9" s="113" t="s">
        <v>509</v>
      </c>
      <c r="AD9" s="25" t="s">
        <v>510</v>
      </c>
      <c r="AE9" s="25">
        <f>IF(SUM(L10:L109)=0,0,1)</f>
        <v>1</v>
      </c>
      <c r="AF9" s="38" t="s">
        <v>511</v>
      </c>
      <c r="AG9" s="133" t="s">
        <v>512</v>
      </c>
      <c r="AH9" s="38" t="s">
        <v>513</v>
      </c>
      <c r="AI9" s="38" t="s">
        <v>514</v>
      </c>
      <c r="AJ9" s="38" t="s">
        <v>515</v>
      </c>
      <c r="AK9" s="38" t="s">
        <v>516</v>
      </c>
      <c r="AL9" s="38" t="s">
        <v>517</v>
      </c>
      <c r="AM9" s="38" t="s">
        <v>385</v>
      </c>
      <c r="AN9" s="38" t="s">
        <v>386</v>
      </c>
      <c r="AO9" s="38" t="s">
        <v>387</v>
      </c>
      <c r="AP9" s="38" t="s">
        <v>388</v>
      </c>
      <c r="AQ9" s="38" t="s">
        <v>389</v>
      </c>
      <c r="AR9" s="38" t="s">
        <v>390</v>
      </c>
      <c r="AS9" s="38" t="s">
        <v>518</v>
      </c>
      <c r="AT9" s="38" t="s">
        <v>519</v>
      </c>
      <c r="AU9" s="38" t="s">
        <v>442</v>
      </c>
      <c r="AV9" s="38" t="s">
        <v>520</v>
      </c>
      <c r="AW9" s="38" t="s">
        <v>521</v>
      </c>
      <c r="AX9" s="38" t="s">
        <v>522</v>
      </c>
      <c r="AY9" s="38" t="s">
        <v>523</v>
      </c>
      <c r="AZ9" s="38" t="s">
        <v>524</v>
      </c>
      <c r="BA9" s="38" t="s">
        <v>525</v>
      </c>
      <c r="BB9" s="38" t="s">
        <v>526</v>
      </c>
    </row>
    <row r="10" spans="1:54" ht="15.75">
      <c r="A10" s="2">
        <v>1</v>
      </c>
      <c r="B10" s="277">
        <f>E10*$B$6</f>
        <v>1453.360108877682</v>
      </c>
      <c r="C10" s="277">
        <f>E10*$C$6</f>
        <v>1617.2729031120068</v>
      </c>
      <c r="D10" s="277">
        <f>E10*$D$6</f>
        <v>1781.1856973463318</v>
      </c>
      <c r="E10" s="22">
        <f>IF(V10="NO",SUM(AF10:BB10),SUM(AF10:BB10)*2)</f>
        <v>1092.7519615621668</v>
      </c>
      <c r="F10" s="160">
        <v>2</v>
      </c>
      <c r="G10" s="187" t="s">
        <v>457</v>
      </c>
      <c r="H10" s="160" t="s">
        <v>527</v>
      </c>
      <c r="I10" s="160" t="s">
        <v>528</v>
      </c>
      <c r="J10" s="75" t="str">
        <f>IFERROR(VLOOKUP(I10,'PAINT LABOR COSTS'!$B$59:$C$61,2,FALSE),"Pick Color")</f>
        <v>TRDPLX-COMP (PRIME +PAINT)</v>
      </c>
      <c r="K10" s="160" t="s">
        <v>396</v>
      </c>
      <c r="L10" s="198">
        <v>16</v>
      </c>
      <c r="M10" s="199">
        <v>0</v>
      </c>
      <c r="N10" s="198">
        <v>68</v>
      </c>
      <c r="O10" s="199">
        <v>0</v>
      </c>
      <c r="P10" s="160" t="s">
        <v>394</v>
      </c>
      <c r="Q10" s="160" t="s">
        <v>419</v>
      </c>
      <c r="R10" s="160" t="s">
        <v>419</v>
      </c>
      <c r="S10" s="160" t="s">
        <v>419</v>
      </c>
      <c r="T10" s="160" t="s">
        <v>419</v>
      </c>
      <c r="U10" s="160" t="s">
        <v>419</v>
      </c>
      <c r="V10" s="160" t="s">
        <v>419</v>
      </c>
      <c r="W10" s="160">
        <v>0</v>
      </c>
      <c r="X10" s="160" t="s">
        <v>419</v>
      </c>
      <c r="Y10" s="160">
        <v>0</v>
      </c>
      <c r="Z10" s="160" t="s">
        <v>419</v>
      </c>
      <c r="AB10" s="2">
        <f t="shared" ref="AB10:AB41" si="1">IF(G10="S",(L10+M10)*(N10+O10)*F10,IF(G10="PR",(L10+M10)*(N10+O10)*2*F10,0))</f>
        <v>4352</v>
      </c>
      <c r="AC10" s="277">
        <f t="shared" ref="AC10:AC41" si="2">IF(H10="BB",0.1333*AB10*$AF$163*2,IF(H10="LOU",0,IF(H10="RP",0,0)))</f>
        <v>13.40162672030297</v>
      </c>
      <c r="AD10" s="277">
        <f t="shared" ref="AD10:AD41" si="3">IF(H10="BB",0,IF(H10="LOU",(((AE10/$AE$8)*0.86)/2)*$AD$8,IF(H10="RP",(((AE10/$AE$8)*0.86)/2)*$AD$8,0)))</f>
        <v>0</v>
      </c>
      <c r="AE10" s="234">
        <f t="shared" ref="AE10:AE41" si="4">IF(AND(L10&lt;&gt;"",N10&lt;&gt;""),F10*$AE$8*$AE$9,0)</f>
        <v>166.72080000000003</v>
      </c>
      <c r="AF10" s="104">
        <f t="shared" ref="AF10:AF41" si="5">IF(H10="",0,SUM(AC10:AE10))</f>
        <v>180.122426720303</v>
      </c>
      <c r="AG10" s="279">
        <f t="shared" ref="AG10:AG41" si="6">IF(H10="BB",(AB10/$AG$163*$AG$161),IF(H10="LOU",(AB10*$AG$167),IF(H10="RP",(AB10*$AG$167),0)))</f>
        <v>0.15212414465247501</v>
      </c>
      <c r="AH10" s="279">
        <f t="shared" ref="AH10:AH41" si="7">IF(H10="BB",(AB10*$AH$167*$AH$161),IF(H10="RP",(AB10*$AH$167*$AH$161),IF(H10="LOU",(AB10*$AH$167*$AH$161),0)))</f>
        <v>0.22193953745454548</v>
      </c>
      <c r="AI10" s="104">
        <f t="shared" ref="AI10:AI41" si="8">IF(H10="BB",(AB10*$AI$162*$AI$7/60),IF(H10="RP",(AB10*$AI$164*$AI$7/60),IF(H10="LOU",(AB10*$AI$166*$AI$7/60),0)))</f>
        <v>40.691200000000002</v>
      </c>
      <c r="AJ10" s="104">
        <f t="shared" ref="AJ10:AJ41" si="9">IF(H10="BB",AB10*$AJ$162,IF(H10="RP",AB10*$AJ$164,IF(H10="LOU",AB10*$AJ$166,0)))</f>
        <v>17.882368</v>
      </c>
      <c r="AK10" s="104">
        <f t="shared" ref="AK10:AK41" si="10">IF(H10="BB",AB10*$AK$162,IF(H10="RP",AB10*$AK$164,IF(H10="LOU",AB10*$AK$166,0)))</f>
        <v>146.35776000000001</v>
      </c>
      <c r="AL10" s="104">
        <f t="shared" ref="AL10:AL41" si="11">IF(OR(I10="NoPriPnt"),0,IF(H10="BB",AB10*$AL$162,IF(H10="RP",AB10*$AL$164,IF(H10="LOU",AB10*$AL$166,0))))</f>
        <v>19.906047999999998</v>
      </c>
      <c r="AM10" s="104">
        <f t="shared" ref="AM10:AM41" si="12">IF(OR(I10="NoPriPnt"),0,IF(H10="BB",AB10*$AM$162,IF(H10="RP",AB10*$AM$164,IF(H10="LOU",AB10*$AM$166,0))))</f>
        <v>33.225827555555561</v>
      </c>
      <c r="AN10" s="104">
        <f t="shared" ref="AN10:AN41" si="13">IF(OR(I10="NoPriPnt"),0,IF(H10="BB",AB10*$AN$162,IF(H10="RP",AB10*$AN$164,IF(H10="LOU",AB10*$AN$166,0))))</f>
        <v>24.371199999999998</v>
      </c>
      <c r="AO10" s="104">
        <f t="shared" ref="AO10:AO41" si="14">IF(OR(I10="NoPriPnt"),0,IF(H10="BB",AB10*$AO$162,IF(H10="RP",AB10*$AO$164,IF(H10="LOU",AB10*$AO$166,0))))</f>
        <v>43.82493380210061</v>
      </c>
      <c r="AP10" s="181">
        <f>IF(I10="BB-CFPNT",VLOOKUP(I10,'PAINT LABOR COSTS'!$B$59:$M$61,12,0)*(AB10/144),0)</f>
        <v>43.824933802100617</v>
      </c>
      <c r="AQ10" s="181">
        <f t="shared" ref="AQ10:AQ41" si="15">IF(I10="BB-112-3265",0,IF(I10="NoPriPnt",0,IF(H10="BB",AB10*$AN$162,IF(H10="RP",AB10*$AN$164,IF(H10="LOU",AB10*$AN$166,0)))))</f>
        <v>24.371199999999998</v>
      </c>
      <c r="AR10" s="104">
        <f t="shared" ref="AR10:AR41" si="16">IF(K10="DELIVERY",$AR$167*F10,IF(K10="PICKUP",$AR$163*F10,IF(K10="SHIP/CR",$AR$165*F10,IF(K10="LCR",$AR$171*F10,IF(K10="INSTALL",$AR$169*F10,0)))))</f>
        <v>120</v>
      </c>
      <c r="AS10" s="104">
        <f t="shared" ref="AS10:AS41" si="17">IF(AND(L10&gt;30,L10&lt;97),$AS$8,0)*F10</f>
        <v>0</v>
      </c>
      <c r="AT10" s="181" cm="1">
        <f t="array" ref="AT10">IF(P10="NO",0,IF(AND(N10&lt;49,$A$4="RETAIL"),'Comp Hardware'!$L$6,IF(AND(N10&gt;48,N10&lt;96,$A$4="RETAIL"),'Comp Hardware'!$L$7,IF(AND(N10&gt;=96,$A$4="RETAIL"),'Comp Hardware'!$L$8,IF(AND(N10&lt;49,$A$4="BLDR"),'Comp Hardware'!$M$6,IF(AND(N10&gt;48,N10&lt;96,$A$4="BLDR"),'Comp Hardware'!$M$7,IF(AND(N10&gt;=96,$A$4="BLDR"),'Comp Hardware'!$M$8,IF(AND(N10&lt;49,$A$4="WHOLE"),'Comp Hardware'!$N$6,IF(AND(N10&gt;48,N10&lt;96,$A$4="WHOLE"),'Comp Hardware'!$N$7,IF(AND(N10&gt;=96,$A$4="WHOLE"),'Comp Hardware'!$N$8,IF(AND(N10&lt;49,$A$4="LCR"),'Comp Hardware'!$N$6,IF(AND(N10&gt;48,N10&lt;96,$A$4="LCR"),'Comp Hardware'!$N$7,IF(AND(N10&gt;=96,$A$4="LCR"),'Comp Hardware'!$N$8,_xludf.na)))))))))))))*F10</f>
        <v>397.79999999999995</v>
      </c>
      <c r="AU10" s="181" cm="1">
        <f t="array" ref="AU10">IF(Q10="NO",0,IF(AND(N10&lt;49,$A$4="RETAIL"),'Comp Hardware'!$G$171,IF(AND(N10&gt;48,N10&lt;96,$A$4="RETAIL"),'Comp Hardware'!$G$171*1.5,IF(AND(N10&gt;=96,$A$4="RETAIL"),'Comp Hardware'!$G$171*2,IF(AND(N10&lt;49,$A$4="BLDR"),'Comp Hardware'!$H$171,IF(AND(N10&gt;48,N10&lt;96,$A$4="BLDR"),'Comp Hardware'!$H$171*1.5,IF(AND(N10&gt;=96,$A$4="BLDR"),'Comp Hardware'!$H$171*2,IF(AND(N10&lt;49,$A$4="WHOLE"),'Comp Hardware'!$I$171,IF(AND(N10&gt;48,N10&lt;96,$A$4="WHOLE"),'Comp Hardware'!$I$171*1.5,IF(AND(N10&gt;=96,$A$4="WHOLE"),'Comp Hardware'!$I$171*2,IF(AND(N10&lt;49,$A$4="LCR"),'Comp Hardware'!$I$171,IF(AND(N10&gt;48,N10&lt;96,$A$4="LCR"),'Comp Hardware'!$I$171*1.5,IF(AND(N10&gt;=96,$A$4="LCR"),'Comp Hardware'!$I$171*2,_xludf.na)))))))))))))*F10</f>
        <v>0</v>
      </c>
      <c r="AV10" s="104">
        <f t="shared" ref="AV10:AV41" si="18">IF(R10="NO",0,IF(AND(G10="S",R10="YES"),$AV$8/2,IF(AND(G10="PR",R10="YES"),$AV$8,0)))*F10</f>
        <v>0</v>
      </c>
      <c r="AW10" s="104">
        <f t="shared" ref="AW10:AW41" si="19">IF(S10="NO",0,IF(AND(G10="S",S10="YES"),$AW$8/2*F10,$AW$8*F10))</f>
        <v>0</v>
      </c>
      <c r="AX10" s="104">
        <f t="shared" ref="AX10:AX41" si="20">IF(W10="+1",$AX$8, IF(W10="+2",$AX$8*2,IF(W10="+3",$AX$8*3,0)))*F10</f>
        <v>0</v>
      </c>
      <c r="AY10" s="104">
        <f t="shared" ref="AY10:AY41" si="21">IF(X10="NO",0,IF(AND(X10="YES",G10="PR"),$AY$8, IF(AND(X10="YES",G10="S"),$AY$8/2,0)))*F10</f>
        <v>0</v>
      </c>
      <c r="AZ10" s="104">
        <f t="shared" ref="AZ10:AZ41" si="22">IF(Y10="+1",$AZ$8, IF(Y10="+2",$AZ$8*2,IF(Y10="+3",$AZ$8*3,0)))*F10</f>
        <v>0</v>
      </c>
      <c r="BA10" s="104">
        <f t="shared" ref="BA10:BA41" si="23">IF(Z10="NO",0,IF(AND(G10="S",Z10="YES"),$AV$8/2,IF(AND(G10="PR",Z10="YES"),$AV$8,0)))*F10</f>
        <v>0</v>
      </c>
    </row>
    <row r="11" spans="1:54" ht="15.75">
      <c r="A11" s="2">
        <v>2</v>
      </c>
      <c r="B11" s="277">
        <f t="shared" ref="B11:B74" si="24">E11*$B$6</f>
        <v>546.67906008452712</v>
      </c>
      <c r="C11" s="277">
        <f t="shared" ref="C11:C74" si="25">E11*$C$6</f>
        <v>608.33459317676693</v>
      </c>
      <c r="D11" s="277">
        <f t="shared" ref="D11:D74" si="26">E11*$D$6</f>
        <v>669.99012626900685</v>
      </c>
      <c r="E11" s="22">
        <f t="shared" ref="E11:E74" si="27">IF(V11="NO",SUM(AF11:BB11),SUM(AF11:BB11)*2)</f>
        <v>411.03688728159932</v>
      </c>
      <c r="F11" s="160">
        <v>1</v>
      </c>
      <c r="G11" s="187" t="s">
        <v>457</v>
      </c>
      <c r="H11" s="160" t="s">
        <v>527</v>
      </c>
      <c r="I11" s="160" t="s">
        <v>528</v>
      </c>
      <c r="J11" s="75" t="str">
        <f>IFERROR(VLOOKUP(I11,'PAINT LABOR COSTS'!$B$59:$C$61,2,FALSE),"Pick Color")</f>
        <v>TRDPLX-COMP (PRIME +PAINT)</v>
      </c>
      <c r="K11" s="160" t="s">
        <v>396</v>
      </c>
      <c r="L11" s="198">
        <v>15</v>
      </c>
      <c r="M11" s="199">
        <v>0</v>
      </c>
      <c r="N11" s="198">
        <v>48</v>
      </c>
      <c r="O11" s="199">
        <v>0</v>
      </c>
      <c r="P11" s="160" t="s">
        <v>394</v>
      </c>
      <c r="Q11" s="160" t="s">
        <v>419</v>
      </c>
      <c r="R11" s="160" t="s">
        <v>419</v>
      </c>
      <c r="S11" s="160" t="s">
        <v>419</v>
      </c>
      <c r="T11" s="160" t="s">
        <v>419</v>
      </c>
      <c r="U11" s="160" t="s">
        <v>419</v>
      </c>
      <c r="V11" s="160" t="s">
        <v>419</v>
      </c>
      <c r="W11" s="160">
        <v>0</v>
      </c>
      <c r="X11" s="160" t="s">
        <v>419</v>
      </c>
      <c r="Y11" s="160">
        <v>0</v>
      </c>
      <c r="Z11" s="160" t="s">
        <v>419</v>
      </c>
      <c r="AB11" s="2">
        <f t="shared" si="1"/>
        <v>1440</v>
      </c>
      <c r="AC11" s="277">
        <f t="shared" si="2"/>
        <v>4.4343617824531876</v>
      </c>
      <c r="AD11" s="277">
        <f t="shared" si="3"/>
        <v>0</v>
      </c>
      <c r="AE11" s="234">
        <f t="shared" si="4"/>
        <v>83.360400000000013</v>
      </c>
      <c r="AF11" s="104">
        <f t="shared" si="5"/>
        <v>87.794761782453207</v>
      </c>
      <c r="AG11" s="279">
        <f t="shared" si="6"/>
        <v>5.0335194921774816E-2</v>
      </c>
      <c r="AH11" s="279">
        <f t="shared" si="7"/>
        <v>7.3435876363636368E-2</v>
      </c>
      <c r="AI11" s="104">
        <f t="shared" si="8"/>
        <v>13.464</v>
      </c>
      <c r="AJ11" s="104">
        <f t="shared" si="9"/>
        <v>5.9169599999999996</v>
      </c>
      <c r="AK11" s="104">
        <f t="shared" si="10"/>
        <v>48.427199999999999</v>
      </c>
      <c r="AL11" s="104">
        <f t="shared" si="11"/>
        <v>6.5865599999999995</v>
      </c>
      <c r="AM11" s="104">
        <f t="shared" si="12"/>
        <v>10.993840000000001</v>
      </c>
      <c r="AN11" s="104">
        <f t="shared" si="13"/>
        <v>8.0640000000000001</v>
      </c>
      <c r="AO11" s="104">
        <f t="shared" si="14"/>
        <v>14.500897213930349</v>
      </c>
      <c r="AP11" s="181">
        <f>IF(I11="BB-CFPNT",VLOOKUP(I11,'PAINT LABOR COSTS'!$B$59:$M$61,12,0)*(AB11/144),0)</f>
        <v>14.500897213930351</v>
      </c>
      <c r="AQ11" s="181">
        <f t="shared" si="15"/>
        <v>8.0640000000000001</v>
      </c>
      <c r="AR11" s="104">
        <f t="shared" si="16"/>
        <v>60</v>
      </c>
      <c r="AS11" s="104">
        <f t="shared" si="17"/>
        <v>0</v>
      </c>
      <c r="AT11" s="181" cm="1">
        <f t="array" ref="AT11">IF(P11="NO",0,IF(AND(N11&lt;49,$A$4="RETAIL"),'Comp Hardware'!$L$6,IF(AND(N11&gt;48,N11&lt;96,$A$4="RETAIL"),'Comp Hardware'!$L$7,IF(AND(N11&gt;=96,$A$4="RETAIL"),'Comp Hardware'!$L$8,IF(AND(N11&lt;49,$A$4="BLDR"),'Comp Hardware'!$M$6,IF(AND(N11&gt;48,N11&lt;96,$A$4="BLDR"),'Comp Hardware'!$M$7,IF(AND(N11&gt;=96,$A$4="BLDR"),'Comp Hardware'!$M$8,IF(AND(N11&lt;49,$A$4="WHOLE"),'Comp Hardware'!$N$6,IF(AND(N11&gt;48,N11&lt;96,$A$4="WHOLE"),'Comp Hardware'!$N$7,IF(AND(N11&gt;=96,$A$4="WHOLE"),'Comp Hardware'!$N$8,IF(AND(N11&lt;49,$A$4="LCR"),'Comp Hardware'!$N$6,IF(AND(N11&gt;48,N11&lt;96,$A$4="LCR"),'Comp Hardware'!$N$7,IF(AND(N11&gt;=96,$A$4="LCR"),'Comp Hardware'!$N$8,_xludf.na)))))))))))))*F11</f>
        <v>132.6</v>
      </c>
      <c r="AU11" s="181" cm="1">
        <f t="array" ref="AU11">IF(Q11="NO",0,IF(AND(N11&lt;49,$A$4="RETAIL"),'Comp Hardware'!$G$171,IF(AND(N11&gt;48,N11&lt;96,$A$4="RETAIL"),'Comp Hardware'!$G$171*1.5,IF(AND(N11&gt;=96,$A$4="RETAIL"),'Comp Hardware'!$G$171*2,IF(AND(N11&lt;49,$A$4="BLDR"),'Comp Hardware'!$H$171,IF(AND(N11&gt;48,N11&lt;96,$A$4="BLDR"),'Comp Hardware'!$H$171*1.5,IF(AND(N11&gt;=96,$A$4="BLDR"),'Comp Hardware'!$H$171*2,IF(AND(N11&lt;49,$A$4="WHOLE"),'Comp Hardware'!$I$171,IF(AND(N11&gt;48,N11&lt;96,$A$4="WHOLE"),'Comp Hardware'!$I$171*1.5,IF(AND(N11&gt;=96,$A$4="WHOLE"),'Comp Hardware'!$I$171*2,IF(AND(N11&lt;49,$A$4="LCR"),'Comp Hardware'!$I$171,IF(AND(N11&gt;48,N11&lt;96,$A$4="LCR"),'Comp Hardware'!$I$171*1.5,IF(AND(N11&gt;=96,$A$4="LCR"),'Comp Hardware'!$I$171*2,_xludf.na)))))))))))))*F11</f>
        <v>0</v>
      </c>
      <c r="AV11" s="104">
        <f t="shared" si="18"/>
        <v>0</v>
      </c>
      <c r="AW11" s="104">
        <f t="shared" si="19"/>
        <v>0</v>
      </c>
      <c r="AX11" s="104">
        <f t="shared" si="20"/>
        <v>0</v>
      </c>
      <c r="AY11" s="104">
        <f t="shared" si="21"/>
        <v>0</v>
      </c>
      <c r="AZ11" s="104">
        <f t="shared" si="22"/>
        <v>0</v>
      </c>
      <c r="BA11" s="104">
        <f t="shared" si="23"/>
        <v>0</v>
      </c>
    </row>
    <row r="12" spans="1:54" ht="15.75">
      <c r="A12" s="2">
        <v>3</v>
      </c>
      <c r="B12" s="277">
        <f t="shared" si="24"/>
        <v>961.61351957373449</v>
      </c>
      <c r="C12" s="277">
        <f t="shared" si="25"/>
        <v>1070.0661721572383</v>
      </c>
      <c r="D12" s="277">
        <f t="shared" si="26"/>
        <v>1178.518824740742</v>
      </c>
      <c r="E12" s="22">
        <f t="shared" si="27"/>
        <v>723.01768389002586</v>
      </c>
      <c r="F12" s="160">
        <v>2</v>
      </c>
      <c r="G12" s="187" t="s">
        <v>457</v>
      </c>
      <c r="H12" s="160" t="s">
        <v>527</v>
      </c>
      <c r="I12" s="160" t="s">
        <v>528</v>
      </c>
      <c r="J12" s="75" t="str">
        <f>IFERROR(VLOOKUP(I12,'PAINT LABOR COSTS'!$B$59:$C$61,2,FALSE),"Pick Color")</f>
        <v>TRDPLX-COMP (PRIME +PAINT)</v>
      </c>
      <c r="K12" s="160" t="s">
        <v>396</v>
      </c>
      <c r="L12" s="198">
        <v>19</v>
      </c>
      <c r="M12" s="199">
        <v>0</v>
      </c>
      <c r="N12" s="198">
        <v>24</v>
      </c>
      <c r="O12" s="199">
        <v>0</v>
      </c>
      <c r="P12" s="160" t="s">
        <v>394</v>
      </c>
      <c r="Q12" s="160" t="s">
        <v>419</v>
      </c>
      <c r="R12" s="160" t="s">
        <v>419</v>
      </c>
      <c r="S12" s="160" t="s">
        <v>419</v>
      </c>
      <c r="T12" s="160" t="s">
        <v>419</v>
      </c>
      <c r="U12" s="160" t="s">
        <v>419</v>
      </c>
      <c r="V12" s="160" t="s">
        <v>419</v>
      </c>
      <c r="W12" s="160">
        <v>0</v>
      </c>
      <c r="X12" s="160" t="s">
        <v>419</v>
      </c>
      <c r="Y12" s="160">
        <v>0</v>
      </c>
      <c r="Z12" s="160" t="s">
        <v>419</v>
      </c>
      <c r="AB12" s="2">
        <f t="shared" si="1"/>
        <v>1824</v>
      </c>
      <c r="AC12" s="277">
        <f t="shared" si="2"/>
        <v>5.6168582577740382</v>
      </c>
      <c r="AD12" s="277">
        <f t="shared" si="3"/>
        <v>0</v>
      </c>
      <c r="AE12" s="234">
        <f t="shared" si="4"/>
        <v>166.72080000000003</v>
      </c>
      <c r="AF12" s="104">
        <f t="shared" si="5"/>
        <v>172.33765825777405</v>
      </c>
      <c r="AG12" s="279">
        <f t="shared" si="6"/>
        <v>6.375791356758144E-2</v>
      </c>
      <c r="AH12" s="279">
        <f t="shared" si="7"/>
        <v>9.3018776727272726E-2</v>
      </c>
      <c r="AI12" s="104">
        <f t="shared" si="8"/>
        <v>17.054400000000001</v>
      </c>
      <c r="AJ12" s="104">
        <f t="shared" si="9"/>
        <v>7.4948159999999993</v>
      </c>
      <c r="AK12" s="104">
        <f t="shared" si="10"/>
        <v>61.341120000000004</v>
      </c>
      <c r="AL12" s="104">
        <f t="shared" si="11"/>
        <v>8.3429760000000002</v>
      </c>
      <c r="AM12" s="104">
        <f t="shared" si="12"/>
        <v>13.925530666666669</v>
      </c>
      <c r="AN12" s="104">
        <f t="shared" si="13"/>
        <v>10.214399999999999</v>
      </c>
      <c r="AO12" s="104">
        <f t="shared" si="14"/>
        <v>18.367803137645108</v>
      </c>
      <c r="AP12" s="181">
        <f>IF(I12="BB-CFPNT",VLOOKUP(I12,'PAINT LABOR COSTS'!$B$59:$M$61,12,0)*(AB12/144),0)</f>
        <v>18.367803137645108</v>
      </c>
      <c r="AQ12" s="181">
        <f t="shared" si="15"/>
        <v>10.214399999999999</v>
      </c>
      <c r="AR12" s="104">
        <f t="shared" si="16"/>
        <v>120</v>
      </c>
      <c r="AS12" s="104">
        <f t="shared" si="17"/>
        <v>0</v>
      </c>
      <c r="AT12" s="181" cm="1">
        <f t="array" ref="AT12">IF(P12="NO",0,IF(AND(N12&lt;49,$A$4="RETAIL"),'Comp Hardware'!$L$6,IF(AND(N12&gt;48,N12&lt;96,$A$4="RETAIL"),'Comp Hardware'!$L$7,IF(AND(N12&gt;=96,$A$4="RETAIL"),'Comp Hardware'!$L$8,IF(AND(N12&lt;49,$A$4="BLDR"),'Comp Hardware'!$M$6,IF(AND(N12&gt;48,N12&lt;96,$A$4="BLDR"),'Comp Hardware'!$M$7,IF(AND(N12&gt;=96,$A$4="BLDR"),'Comp Hardware'!$M$8,IF(AND(N12&lt;49,$A$4="WHOLE"),'Comp Hardware'!$N$6,IF(AND(N12&gt;48,N12&lt;96,$A$4="WHOLE"),'Comp Hardware'!$N$7,IF(AND(N12&gt;=96,$A$4="WHOLE"),'Comp Hardware'!$N$8,IF(AND(N12&lt;49,$A$4="LCR"),'Comp Hardware'!$N$6,IF(AND(N12&gt;48,N12&lt;96,$A$4="LCR"),'Comp Hardware'!$N$7,IF(AND(N12&gt;=96,$A$4="LCR"),'Comp Hardware'!$N$8,_xludf.na)))))))))))))*F12</f>
        <v>265.2</v>
      </c>
      <c r="AU12" s="181" cm="1">
        <f t="array" ref="AU12">IF(Q12="NO",0,IF(AND(N12&lt;49,$A$4="RETAIL"),'Comp Hardware'!$G$171,IF(AND(N12&gt;48,N12&lt;96,$A$4="RETAIL"),'Comp Hardware'!$G$171*1.5,IF(AND(N12&gt;=96,$A$4="RETAIL"),'Comp Hardware'!$G$171*2,IF(AND(N12&lt;49,$A$4="BLDR"),'Comp Hardware'!$H$171,IF(AND(N12&gt;48,N12&lt;96,$A$4="BLDR"),'Comp Hardware'!$H$171*1.5,IF(AND(N12&gt;=96,$A$4="BLDR"),'Comp Hardware'!$H$171*2,IF(AND(N12&lt;49,$A$4="WHOLE"),'Comp Hardware'!$I$171,IF(AND(N12&gt;48,N12&lt;96,$A$4="WHOLE"),'Comp Hardware'!$I$171*1.5,IF(AND(N12&gt;=96,$A$4="WHOLE"),'Comp Hardware'!$I$171*2,IF(AND(N12&lt;49,$A$4="LCR"),'Comp Hardware'!$I$171,IF(AND(N12&gt;48,N12&lt;96,$A$4="LCR"),'Comp Hardware'!$I$171*1.5,IF(AND(N12&gt;=96,$A$4="LCR"),'Comp Hardware'!$I$171*2,_xludf.na)))))))))))))*F12</f>
        <v>0</v>
      </c>
      <c r="AV12" s="104">
        <f t="shared" si="18"/>
        <v>0</v>
      </c>
      <c r="AW12" s="104">
        <f t="shared" si="19"/>
        <v>0</v>
      </c>
      <c r="AX12" s="104">
        <f t="shared" si="20"/>
        <v>0</v>
      </c>
      <c r="AY12" s="104">
        <f t="shared" si="21"/>
        <v>0</v>
      </c>
      <c r="AZ12" s="104">
        <f t="shared" si="22"/>
        <v>0</v>
      </c>
      <c r="BA12" s="104">
        <f t="shared" si="23"/>
        <v>0</v>
      </c>
    </row>
    <row r="13" spans="1:54" ht="15.75">
      <c r="A13" s="2">
        <v>4</v>
      </c>
      <c r="B13" s="277">
        <f t="shared" si="24"/>
        <v>1668.9421825791144</v>
      </c>
      <c r="C13" s="277">
        <f t="shared" si="25"/>
        <v>1857.1687445241273</v>
      </c>
      <c r="D13" s="277">
        <f t="shared" si="26"/>
        <v>2045.39530646914</v>
      </c>
      <c r="E13" s="22">
        <f t="shared" si="27"/>
        <v>1254.843746300086</v>
      </c>
      <c r="F13" s="160">
        <v>2</v>
      </c>
      <c r="G13" s="187" t="s">
        <v>457</v>
      </c>
      <c r="H13" s="160" t="s">
        <v>527</v>
      </c>
      <c r="I13" s="160" t="s">
        <v>528</v>
      </c>
      <c r="J13" s="75" t="str">
        <f>IFERROR(VLOOKUP(I13,'PAINT LABOR COSTS'!$B$59:$C$61,2,FALSE),"Pick Color")</f>
        <v>TRDPLX-COMP (PRIME +PAINT)</v>
      </c>
      <c r="K13" s="160" t="s">
        <v>396</v>
      </c>
      <c r="L13" s="198">
        <v>19</v>
      </c>
      <c r="M13" s="199">
        <v>0</v>
      </c>
      <c r="N13" s="198">
        <v>80</v>
      </c>
      <c r="O13" s="199">
        <v>0</v>
      </c>
      <c r="P13" s="160" t="s">
        <v>394</v>
      </c>
      <c r="Q13" s="160" t="s">
        <v>419</v>
      </c>
      <c r="R13" s="160" t="s">
        <v>419</v>
      </c>
      <c r="S13" s="160" t="s">
        <v>419</v>
      </c>
      <c r="T13" s="160" t="s">
        <v>419</v>
      </c>
      <c r="U13" s="160" t="s">
        <v>419</v>
      </c>
      <c r="V13" s="160" t="s">
        <v>419</v>
      </c>
      <c r="W13" s="160">
        <v>0</v>
      </c>
      <c r="X13" s="160" t="s">
        <v>419</v>
      </c>
      <c r="Y13" s="160">
        <v>0</v>
      </c>
      <c r="Z13" s="160" t="s">
        <v>419</v>
      </c>
      <c r="AB13" s="2">
        <f t="shared" si="1"/>
        <v>6080</v>
      </c>
      <c r="AC13" s="277">
        <f t="shared" si="2"/>
        <v>18.722860859246794</v>
      </c>
      <c r="AD13" s="277">
        <f t="shared" si="3"/>
        <v>0</v>
      </c>
      <c r="AE13" s="234">
        <f t="shared" si="4"/>
        <v>166.72080000000003</v>
      </c>
      <c r="AF13" s="104">
        <f t="shared" si="5"/>
        <v>185.44366085924682</v>
      </c>
      <c r="AG13" s="279">
        <f t="shared" si="6"/>
        <v>0.21252637855860482</v>
      </c>
      <c r="AH13" s="279">
        <f t="shared" si="7"/>
        <v>0.31006258909090911</v>
      </c>
      <c r="AI13" s="104">
        <f t="shared" si="8"/>
        <v>56.848000000000006</v>
      </c>
      <c r="AJ13" s="104">
        <f t="shared" si="9"/>
        <v>24.98272</v>
      </c>
      <c r="AK13" s="104">
        <f t="shared" si="10"/>
        <v>204.47040000000001</v>
      </c>
      <c r="AL13" s="104">
        <f t="shared" si="11"/>
        <v>27.809919999999998</v>
      </c>
      <c r="AM13" s="104">
        <f t="shared" si="12"/>
        <v>46.418435555555561</v>
      </c>
      <c r="AN13" s="104">
        <f t="shared" si="13"/>
        <v>34.048000000000002</v>
      </c>
      <c r="AO13" s="104">
        <f t="shared" si="14"/>
        <v>61.226010458817029</v>
      </c>
      <c r="AP13" s="181">
        <f>IF(I13="BB-CFPNT",VLOOKUP(I13,'PAINT LABOR COSTS'!$B$59:$M$61,12,0)*(AB13/144),0)</f>
        <v>61.226010458817036</v>
      </c>
      <c r="AQ13" s="181">
        <f t="shared" si="15"/>
        <v>34.048000000000002</v>
      </c>
      <c r="AR13" s="104">
        <f t="shared" si="16"/>
        <v>120</v>
      </c>
      <c r="AS13" s="104">
        <f t="shared" si="17"/>
        <v>0</v>
      </c>
      <c r="AT13" s="181" cm="1">
        <f t="array" ref="AT13">IF(P13="NO",0,IF(AND(N13&lt;49,$A$4="RETAIL"),'Comp Hardware'!$L$6,IF(AND(N13&gt;48,N13&lt;96,$A$4="RETAIL"),'Comp Hardware'!$L$7,IF(AND(N13&gt;=96,$A$4="RETAIL"),'Comp Hardware'!$L$8,IF(AND(N13&lt;49,$A$4="BLDR"),'Comp Hardware'!$M$6,IF(AND(N13&gt;48,N13&lt;96,$A$4="BLDR"),'Comp Hardware'!$M$7,IF(AND(N13&gt;=96,$A$4="BLDR"),'Comp Hardware'!$M$8,IF(AND(N13&lt;49,$A$4="WHOLE"),'Comp Hardware'!$N$6,IF(AND(N13&gt;48,N13&lt;96,$A$4="WHOLE"),'Comp Hardware'!$N$7,IF(AND(N13&gt;=96,$A$4="WHOLE"),'Comp Hardware'!$N$8,IF(AND(N13&lt;49,$A$4="LCR"),'Comp Hardware'!$N$6,IF(AND(N13&gt;48,N13&lt;96,$A$4="LCR"),'Comp Hardware'!$N$7,IF(AND(N13&gt;=96,$A$4="LCR"),'Comp Hardware'!$N$8,_xludf.na)))))))))))))*F13</f>
        <v>397.79999999999995</v>
      </c>
      <c r="AU13" s="181" cm="1">
        <f t="array" ref="AU13">IF(Q13="NO",0,IF(AND(N13&lt;49,$A$4="RETAIL"),'Comp Hardware'!$G$171,IF(AND(N13&gt;48,N13&lt;96,$A$4="RETAIL"),'Comp Hardware'!$G$171*1.5,IF(AND(N13&gt;=96,$A$4="RETAIL"),'Comp Hardware'!$G$171*2,IF(AND(N13&lt;49,$A$4="BLDR"),'Comp Hardware'!$H$171,IF(AND(N13&gt;48,N13&lt;96,$A$4="BLDR"),'Comp Hardware'!$H$171*1.5,IF(AND(N13&gt;=96,$A$4="BLDR"),'Comp Hardware'!$H$171*2,IF(AND(N13&lt;49,$A$4="WHOLE"),'Comp Hardware'!$I$171,IF(AND(N13&gt;48,N13&lt;96,$A$4="WHOLE"),'Comp Hardware'!$I$171*1.5,IF(AND(N13&gt;=96,$A$4="WHOLE"),'Comp Hardware'!$I$171*2,IF(AND(N13&lt;49,$A$4="LCR"),'Comp Hardware'!$I$171,IF(AND(N13&gt;48,N13&lt;96,$A$4="LCR"),'Comp Hardware'!$I$171*1.5,IF(AND(N13&gt;=96,$A$4="LCR"),'Comp Hardware'!$I$171*2,_xludf.na)))))))))))))*F13</f>
        <v>0</v>
      </c>
      <c r="AV13" s="104">
        <f t="shared" si="18"/>
        <v>0</v>
      </c>
      <c r="AW13" s="104">
        <f t="shared" si="19"/>
        <v>0</v>
      </c>
      <c r="AX13" s="104">
        <f t="shared" si="20"/>
        <v>0</v>
      </c>
      <c r="AY13" s="104">
        <f t="shared" si="21"/>
        <v>0</v>
      </c>
      <c r="AZ13" s="104">
        <f t="shared" si="22"/>
        <v>0</v>
      </c>
      <c r="BA13" s="104">
        <f t="shared" si="23"/>
        <v>0</v>
      </c>
    </row>
    <row r="14" spans="1:54" ht="15.75">
      <c r="A14" s="2">
        <v>5</v>
      </c>
      <c r="B14" s="277">
        <f t="shared" si="24"/>
        <v>694.74196944603625</v>
      </c>
      <c r="C14" s="277">
        <f t="shared" si="25"/>
        <v>773.09632690235605</v>
      </c>
      <c r="D14" s="277">
        <f t="shared" si="26"/>
        <v>851.45068435867586</v>
      </c>
      <c r="E14" s="22">
        <f t="shared" si="27"/>
        <v>522.36238304213248</v>
      </c>
      <c r="F14" s="160">
        <v>1</v>
      </c>
      <c r="G14" s="187" t="s">
        <v>457</v>
      </c>
      <c r="H14" s="160" t="s">
        <v>527</v>
      </c>
      <c r="I14" s="160" t="s">
        <v>528</v>
      </c>
      <c r="J14" s="75" t="str">
        <f>IFERROR(VLOOKUP(I14,'PAINT LABOR COSTS'!$B$59:$C$61,2,FALSE),"Pick Color")</f>
        <v>TRDPLX-COMP (PRIME +PAINT)</v>
      </c>
      <c r="K14" s="160" t="s">
        <v>396</v>
      </c>
      <c r="L14" s="198">
        <v>16</v>
      </c>
      <c r="M14" s="199">
        <v>0</v>
      </c>
      <c r="N14" s="198">
        <v>60</v>
      </c>
      <c r="O14" s="199">
        <v>0</v>
      </c>
      <c r="P14" s="160" t="s">
        <v>394</v>
      </c>
      <c r="Q14" s="160" t="s">
        <v>419</v>
      </c>
      <c r="R14" s="160" t="s">
        <v>419</v>
      </c>
      <c r="S14" s="160" t="s">
        <v>419</v>
      </c>
      <c r="T14" s="160" t="s">
        <v>419</v>
      </c>
      <c r="U14" s="160" t="s">
        <v>419</v>
      </c>
      <c r="V14" s="160" t="s">
        <v>419</v>
      </c>
      <c r="W14" s="160">
        <v>0</v>
      </c>
      <c r="X14" s="160" t="s">
        <v>419</v>
      </c>
      <c r="Y14" s="160">
        <v>0</v>
      </c>
      <c r="Z14" s="160" t="s">
        <v>419</v>
      </c>
      <c r="AB14" s="2">
        <f t="shared" si="1"/>
        <v>1920</v>
      </c>
      <c r="AC14" s="277">
        <f t="shared" si="2"/>
        <v>5.9124823766042507</v>
      </c>
      <c r="AD14" s="277">
        <f t="shared" si="3"/>
        <v>0</v>
      </c>
      <c r="AE14" s="234">
        <f t="shared" si="4"/>
        <v>83.360400000000013</v>
      </c>
      <c r="AF14" s="104">
        <f t="shared" si="5"/>
        <v>89.272882376604258</v>
      </c>
      <c r="AG14" s="279">
        <f t="shared" si="6"/>
        <v>6.7113593229033097E-2</v>
      </c>
      <c r="AH14" s="279">
        <f t="shared" si="7"/>
        <v>9.7914501818181815E-2</v>
      </c>
      <c r="AI14" s="104">
        <f t="shared" si="8"/>
        <v>17.952000000000002</v>
      </c>
      <c r="AJ14" s="104">
        <f t="shared" si="9"/>
        <v>7.8892799999999994</v>
      </c>
      <c r="AK14" s="104">
        <f t="shared" si="10"/>
        <v>64.569599999999994</v>
      </c>
      <c r="AL14" s="104">
        <f t="shared" si="11"/>
        <v>8.7820800000000006</v>
      </c>
      <c r="AM14" s="104">
        <f t="shared" si="12"/>
        <v>14.658453333333336</v>
      </c>
      <c r="AN14" s="104">
        <f t="shared" si="13"/>
        <v>10.752000000000001</v>
      </c>
      <c r="AO14" s="104">
        <f t="shared" si="14"/>
        <v>19.3345296185738</v>
      </c>
      <c r="AP14" s="181">
        <f>IF(I14="BB-CFPNT",VLOOKUP(I14,'PAINT LABOR COSTS'!$B$59:$M$61,12,0)*(AB14/144),0)</f>
        <v>19.3345296185738</v>
      </c>
      <c r="AQ14" s="181">
        <f t="shared" si="15"/>
        <v>10.752000000000001</v>
      </c>
      <c r="AR14" s="104">
        <f t="shared" si="16"/>
        <v>60</v>
      </c>
      <c r="AS14" s="104">
        <f t="shared" si="17"/>
        <v>0</v>
      </c>
      <c r="AT14" s="181" cm="1">
        <f t="array" ref="AT14">IF(P14="NO",0,IF(AND(N14&lt;49,$A$4="RETAIL"),'Comp Hardware'!$L$6,IF(AND(N14&gt;48,N14&lt;96,$A$4="RETAIL"),'Comp Hardware'!$L$7,IF(AND(N14&gt;=96,$A$4="RETAIL"),'Comp Hardware'!$L$8,IF(AND(N14&lt;49,$A$4="BLDR"),'Comp Hardware'!$M$6,IF(AND(N14&gt;48,N14&lt;96,$A$4="BLDR"),'Comp Hardware'!$M$7,IF(AND(N14&gt;=96,$A$4="BLDR"),'Comp Hardware'!$M$8,IF(AND(N14&lt;49,$A$4="WHOLE"),'Comp Hardware'!$N$6,IF(AND(N14&gt;48,N14&lt;96,$A$4="WHOLE"),'Comp Hardware'!$N$7,IF(AND(N14&gt;=96,$A$4="WHOLE"),'Comp Hardware'!$N$8,IF(AND(N14&lt;49,$A$4="LCR"),'Comp Hardware'!$N$6,IF(AND(N14&gt;48,N14&lt;96,$A$4="LCR"),'Comp Hardware'!$N$7,IF(AND(N14&gt;=96,$A$4="LCR"),'Comp Hardware'!$N$8,_xludf.na)))))))))))))*F14</f>
        <v>198.89999999999998</v>
      </c>
      <c r="AU14" s="181" cm="1">
        <f t="array" ref="AU14">IF(Q14="NO",0,IF(AND(N14&lt;49,$A$4="RETAIL"),'Comp Hardware'!$G$171,IF(AND(N14&gt;48,N14&lt;96,$A$4="RETAIL"),'Comp Hardware'!$G$171*1.5,IF(AND(N14&gt;=96,$A$4="RETAIL"),'Comp Hardware'!$G$171*2,IF(AND(N14&lt;49,$A$4="BLDR"),'Comp Hardware'!$H$171,IF(AND(N14&gt;48,N14&lt;96,$A$4="BLDR"),'Comp Hardware'!$H$171*1.5,IF(AND(N14&gt;=96,$A$4="BLDR"),'Comp Hardware'!$H$171*2,IF(AND(N14&lt;49,$A$4="WHOLE"),'Comp Hardware'!$I$171,IF(AND(N14&gt;48,N14&lt;96,$A$4="WHOLE"),'Comp Hardware'!$I$171*1.5,IF(AND(N14&gt;=96,$A$4="WHOLE"),'Comp Hardware'!$I$171*2,IF(AND(N14&lt;49,$A$4="LCR"),'Comp Hardware'!$I$171,IF(AND(N14&gt;48,N14&lt;96,$A$4="LCR"),'Comp Hardware'!$I$171*1.5,IF(AND(N14&gt;=96,$A$4="LCR"),'Comp Hardware'!$I$171*2,_xludf.na)))))))))))))*F14</f>
        <v>0</v>
      </c>
      <c r="AV14" s="104">
        <f t="shared" si="18"/>
        <v>0</v>
      </c>
      <c r="AW14" s="104">
        <f t="shared" si="19"/>
        <v>0</v>
      </c>
      <c r="AX14" s="104">
        <f t="shared" si="20"/>
        <v>0</v>
      </c>
      <c r="AY14" s="104">
        <f t="shared" si="21"/>
        <v>0</v>
      </c>
      <c r="AZ14" s="104">
        <f t="shared" si="22"/>
        <v>0</v>
      </c>
      <c r="BA14" s="104">
        <f t="shared" si="23"/>
        <v>0</v>
      </c>
    </row>
    <row r="15" spans="1:54" ht="15.75">
      <c r="A15" s="2">
        <v>6</v>
      </c>
      <c r="B15" s="277">
        <f t="shared" si="24"/>
        <v>650.82710258092948</v>
      </c>
      <c r="C15" s="277">
        <f t="shared" si="25"/>
        <v>724.22865550359063</v>
      </c>
      <c r="D15" s="277">
        <f t="shared" si="26"/>
        <v>797.6302084262519</v>
      </c>
      <c r="E15" s="22">
        <f t="shared" si="27"/>
        <v>489.34368615107479</v>
      </c>
      <c r="F15" s="160">
        <v>1</v>
      </c>
      <c r="G15" s="187" t="s">
        <v>457</v>
      </c>
      <c r="H15" s="160" t="s">
        <v>527</v>
      </c>
      <c r="I15" s="160" t="s">
        <v>528</v>
      </c>
      <c r="J15" s="75" t="str">
        <f>IFERROR(VLOOKUP(I15,'PAINT LABOR COSTS'!$B$59:$C$61,2,FALSE),"Pick Color")</f>
        <v>TRDPLX-COMP (PRIME +PAINT)</v>
      </c>
      <c r="K15" s="160" t="s">
        <v>396</v>
      </c>
      <c r="L15" s="198">
        <v>14</v>
      </c>
      <c r="M15" s="199">
        <v>0</v>
      </c>
      <c r="N15" s="198">
        <v>56</v>
      </c>
      <c r="O15" s="199">
        <v>0</v>
      </c>
      <c r="P15" s="160" t="s">
        <v>394</v>
      </c>
      <c r="Q15" s="160" t="s">
        <v>419</v>
      </c>
      <c r="R15" s="160" t="s">
        <v>419</v>
      </c>
      <c r="S15" s="160" t="s">
        <v>419</v>
      </c>
      <c r="T15" s="160" t="s">
        <v>419</v>
      </c>
      <c r="U15" s="160" t="s">
        <v>419</v>
      </c>
      <c r="V15" s="160" t="s">
        <v>419</v>
      </c>
      <c r="W15" s="160">
        <v>0</v>
      </c>
      <c r="X15" s="160" t="s">
        <v>419</v>
      </c>
      <c r="Y15" s="160">
        <v>0</v>
      </c>
      <c r="Z15" s="160" t="s">
        <v>419</v>
      </c>
      <c r="AB15" s="2">
        <f t="shared" si="1"/>
        <v>1568</v>
      </c>
      <c r="AC15" s="277">
        <f t="shared" si="2"/>
        <v>4.8285272742268042</v>
      </c>
      <c r="AD15" s="277">
        <f t="shared" si="3"/>
        <v>0</v>
      </c>
      <c r="AE15" s="234">
        <f t="shared" si="4"/>
        <v>83.360400000000013</v>
      </c>
      <c r="AF15" s="104">
        <f t="shared" si="5"/>
        <v>88.188927274226813</v>
      </c>
      <c r="AG15" s="279">
        <f t="shared" si="6"/>
        <v>5.4809434470377026E-2</v>
      </c>
      <c r="AH15" s="279">
        <f t="shared" si="7"/>
        <v>7.9963509818181816E-2</v>
      </c>
      <c r="AI15" s="104">
        <f t="shared" si="8"/>
        <v>14.660800000000002</v>
      </c>
      <c r="AJ15" s="104">
        <f t="shared" si="9"/>
        <v>6.4429119999999998</v>
      </c>
      <c r="AK15" s="104">
        <f t="shared" si="10"/>
        <v>52.731839999999998</v>
      </c>
      <c r="AL15" s="104">
        <f t="shared" si="11"/>
        <v>7.1720319999999997</v>
      </c>
      <c r="AM15" s="104">
        <f t="shared" si="12"/>
        <v>11.971070222222224</v>
      </c>
      <c r="AN15" s="104">
        <f t="shared" si="13"/>
        <v>8.7807999999999993</v>
      </c>
      <c r="AO15" s="104">
        <f t="shared" si="14"/>
        <v>15.789865855168603</v>
      </c>
      <c r="AP15" s="181">
        <f>IF(I15="BB-CFPNT",VLOOKUP(I15,'PAINT LABOR COSTS'!$B$59:$M$61,12,0)*(AB15/144),0)</f>
        <v>15.789865855168605</v>
      </c>
      <c r="AQ15" s="181">
        <f t="shared" si="15"/>
        <v>8.7807999999999993</v>
      </c>
      <c r="AR15" s="104">
        <f t="shared" si="16"/>
        <v>60</v>
      </c>
      <c r="AS15" s="104">
        <f t="shared" si="17"/>
        <v>0</v>
      </c>
      <c r="AT15" s="181" cm="1">
        <f t="array" ref="AT15">IF(P15="NO",0,IF(AND(N15&lt;49,$A$4="RETAIL"),'Comp Hardware'!$L$6,IF(AND(N15&gt;48,N15&lt;96,$A$4="RETAIL"),'Comp Hardware'!$L$7,IF(AND(N15&gt;=96,$A$4="RETAIL"),'Comp Hardware'!$L$8,IF(AND(N15&lt;49,$A$4="BLDR"),'Comp Hardware'!$M$6,IF(AND(N15&gt;48,N15&lt;96,$A$4="BLDR"),'Comp Hardware'!$M$7,IF(AND(N15&gt;=96,$A$4="BLDR"),'Comp Hardware'!$M$8,IF(AND(N15&lt;49,$A$4="WHOLE"),'Comp Hardware'!$N$6,IF(AND(N15&gt;48,N15&lt;96,$A$4="WHOLE"),'Comp Hardware'!$N$7,IF(AND(N15&gt;=96,$A$4="WHOLE"),'Comp Hardware'!$N$8,IF(AND(N15&lt;49,$A$4="LCR"),'Comp Hardware'!$N$6,IF(AND(N15&gt;48,N15&lt;96,$A$4="LCR"),'Comp Hardware'!$N$7,IF(AND(N15&gt;=96,$A$4="LCR"),'Comp Hardware'!$N$8,_xludf.na)))))))))))))*F15</f>
        <v>198.89999999999998</v>
      </c>
      <c r="AU15" s="181" cm="1">
        <f t="array" ref="AU15">IF(Q15="NO",0,IF(AND(N15&lt;49,$A$4="RETAIL"),'Comp Hardware'!$G$171,IF(AND(N15&gt;48,N15&lt;96,$A$4="RETAIL"),'Comp Hardware'!$G$171*1.5,IF(AND(N15&gt;=96,$A$4="RETAIL"),'Comp Hardware'!$G$171*2,IF(AND(N15&lt;49,$A$4="BLDR"),'Comp Hardware'!$H$171,IF(AND(N15&gt;48,N15&lt;96,$A$4="BLDR"),'Comp Hardware'!$H$171*1.5,IF(AND(N15&gt;=96,$A$4="BLDR"),'Comp Hardware'!$H$171*2,IF(AND(N15&lt;49,$A$4="WHOLE"),'Comp Hardware'!$I$171,IF(AND(N15&gt;48,N15&lt;96,$A$4="WHOLE"),'Comp Hardware'!$I$171*1.5,IF(AND(N15&gt;=96,$A$4="WHOLE"),'Comp Hardware'!$I$171*2,IF(AND(N15&lt;49,$A$4="LCR"),'Comp Hardware'!$I$171,IF(AND(N15&gt;48,N15&lt;96,$A$4="LCR"),'Comp Hardware'!$I$171*1.5,IF(AND(N15&gt;=96,$A$4="LCR"),'Comp Hardware'!$I$171*2,_xludf.na)))))))))))))*F15</f>
        <v>0</v>
      </c>
      <c r="AV15" s="104">
        <f t="shared" si="18"/>
        <v>0</v>
      </c>
      <c r="AW15" s="104">
        <f t="shared" si="19"/>
        <v>0</v>
      </c>
      <c r="AX15" s="104">
        <f t="shared" si="20"/>
        <v>0</v>
      </c>
      <c r="AY15" s="104">
        <f t="shared" si="21"/>
        <v>0</v>
      </c>
      <c r="AZ15" s="104">
        <f t="shared" si="22"/>
        <v>0</v>
      </c>
      <c r="BA15" s="104">
        <f t="shared" si="23"/>
        <v>0</v>
      </c>
    </row>
    <row r="16" spans="1:54" ht="15.75">
      <c r="A16" s="2">
        <v>7</v>
      </c>
      <c r="B16" s="277">
        <f t="shared" si="24"/>
        <v>0</v>
      </c>
      <c r="C16" s="277">
        <f t="shared" si="25"/>
        <v>0</v>
      </c>
      <c r="D16" s="277">
        <f t="shared" si="26"/>
        <v>0</v>
      </c>
      <c r="E16" s="22">
        <f t="shared" si="27"/>
        <v>0</v>
      </c>
      <c r="F16" s="160"/>
      <c r="G16" s="187"/>
      <c r="H16" s="160"/>
      <c r="I16" s="160"/>
      <c r="J16" s="75" t="str">
        <f>IFERROR(VLOOKUP(I16,'PAINT LABOR COSTS'!$B$59:$C$61,2,FALSE),"Pick Color")</f>
        <v>Pick Color</v>
      </c>
      <c r="K16" s="160"/>
      <c r="L16" s="198">
        <v>0</v>
      </c>
      <c r="M16" s="199">
        <v>0</v>
      </c>
      <c r="N16" s="198">
        <v>0</v>
      </c>
      <c r="O16" s="199">
        <v>0</v>
      </c>
      <c r="P16" s="160" t="s">
        <v>419</v>
      </c>
      <c r="Q16" s="160" t="s">
        <v>419</v>
      </c>
      <c r="R16" s="160" t="s">
        <v>419</v>
      </c>
      <c r="S16" s="160" t="s">
        <v>419</v>
      </c>
      <c r="T16" s="160" t="s">
        <v>419</v>
      </c>
      <c r="U16" s="160" t="s">
        <v>419</v>
      </c>
      <c r="V16" s="160" t="s">
        <v>419</v>
      </c>
      <c r="W16" s="160">
        <v>0</v>
      </c>
      <c r="X16" s="160" t="s">
        <v>419</v>
      </c>
      <c r="Y16" s="160">
        <v>0</v>
      </c>
      <c r="Z16" s="160" t="s">
        <v>419</v>
      </c>
      <c r="AB16" s="2">
        <f t="shared" si="1"/>
        <v>0</v>
      </c>
      <c r="AC16" s="277">
        <f t="shared" si="2"/>
        <v>0</v>
      </c>
      <c r="AD16" s="277">
        <f t="shared" si="3"/>
        <v>0</v>
      </c>
      <c r="AE16" s="234">
        <f t="shared" si="4"/>
        <v>0</v>
      </c>
      <c r="AF16" s="104">
        <f t="shared" si="5"/>
        <v>0</v>
      </c>
      <c r="AG16" s="279">
        <f t="shared" si="6"/>
        <v>0</v>
      </c>
      <c r="AH16" s="279">
        <f t="shared" si="7"/>
        <v>0</v>
      </c>
      <c r="AI16" s="104">
        <f t="shared" si="8"/>
        <v>0</v>
      </c>
      <c r="AJ16" s="104">
        <f t="shared" si="9"/>
        <v>0</v>
      </c>
      <c r="AK16" s="104">
        <f t="shared" si="10"/>
        <v>0</v>
      </c>
      <c r="AL16" s="104">
        <f t="shared" si="11"/>
        <v>0</v>
      </c>
      <c r="AM16" s="104">
        <f t="shared" si="12"/>
        <v>0</v>
      </c>
      <c r="AN16" s="104">
        <f t="shared" si="13"/>
        <v>0</v>
      </c>
      <c r="AO16" s="104">
        <f t="shared" si="14"/>
        <v>0</v>
      </c>
      <c r="AP16" s="181">
        <f>IF(I16="BB-CFPNT",VLOOKUP(I16,'PAINT LABOR COSTS'!$B$59:$M$61,12,0)*(AB16/144),0)</f>
        <v>0</v>
      </c>
      <c r="AQ16" s="181">
        <f t="shared" si="15"/>
        <v>0</v>
      </c>
      <c r="AR16" s="104">
        <f t="shared" si="16"/>
        <v>0</v>
      </c>
      <c r="AS16" s="104">
        <f t="shared" si="17"/>
        <v>0</v>
      </c>
      <c r="AT16" s="181" cm="1">
        <f t="array" ref="AT16">IF(P16="NO",0,IF(AND(N16&lt;49,$A$4="RETAIL"),'Comp Hardware'!$L$6,IF(AND(N16&gt;48,N16&lt;96,$A$4="RETAIL"),'Comp Hardware'!$L$7,IF(AND(N16&gt;=96,$A$4="RETAIL"),'Comp Hardware'!$L$8,IF(AND(N16&lt;49,$A$4="BLDR"),'Comp Hardware'!$M$6,IF(AND(N16&gt;48,N16&lt;96,$A$4="BLDR"),'Comp Hardware'!$M$7,IF(AND(N16&gt;=96,$A$4="BLDR"),'Comp Hardware'!$M$8,IF(AND(N16&lt;49,$A$4="WHOLE"),'Comp Hardware'!$N$6,IF(AND(N16&gt;48,N16&lt;96,$A$4="WHOLE"),'Comp Hardware'!$N$7,IF(AND(N16&gt;=96,$A$4="WHOLE"),'Comp Hardware'!$N$8,IF(AND(N16&lt;49,$A$4="LCR"),'Comp Hardware'!$N$6,IF(AND(N16&gt;48,N16&lt;96,$A$4="LCR"),'Comp Hardware'!$N$7,IF(AND(N16&gt;=96,$A$4="LCR"),'Comp Hardware'!$N$8,_xludf.na)))))))))))))*F16</f>
        <v>0</v>
      </c>
      <c r="AU16" s="181" cm="1">
        <f t="array" ref="AU16">IF(Q16="NO",0,IF(AND(N16&lt;49,$A$4="RETAIL"),'Comp Hardware'!$G$171,IF(AND(N16&gt;48,N16&lt;96,$A$4="RETAIL"),'Comp Hardware'!$G$171*1.5,IF(AND(N16&gt;=96,$A$4="RETAIL"),'Comp Hardware'!$G$171*2,IF(AND(N16&lt;49,$A$4="BLDR"),'Comp Hardware'!$H$171,IF(AND(N16&gt;48,N16&lt;96,$A$4="BLDR"),'Comp Hardware'!$H$171*1.5,IF(AND(N16&gt;=96,$A$4="BLDR"),'Comp Hardware'!$H$171*2,IF(AND(N16&lt;49,$A$4="WHOLE"),'Comp Hardware'!$I$171,IF(AND(N16&gt;48,N16&lt;96,$A$4="WHOLE"),'Comp Hardware'!$I$171*1.5,IF(AND(N16&gt;=96,$A$4="WHOLE"),'Comp Hardware'!$I$171*2,IF(AND(N16&lt;49,$A$4="LCR"),'Comp Hardware'!$I$171,IF(AND(N16&gt;48,N16&lt;96,$A$4="LCR"),'Comp Hardware'!$I$171*1.5,IF(AND(N16&gt;=96,$A$4="LCR"),'Comp Hardware'!$I$171*2,_xludf.na)))))))))))))*F16</f>
        <v>0</v>
      </c>
      <c r="AV16" s="104">
        <f t="shared" si="18"/>
        <v>0</v>
      </c>
      <c r="AW16" s="104">
        <f t="shared" si="19"/>
        <v>0</v>
      </c>
      <c r="AX16" s="104">
        <f t="shared" si="20"/>
        <v>0</v>
      </c>
      <c r="AY16" s="104">
        <f t="shared" si="21"/>
        <v>0</v>
      </c>
      <c r="AZ16" s="104">
        <f t="shared" si="22"/>
        <v>0</v>
      </c>
      <c r="BA16" s="104">
        <f t="shared" si="23"/>
        <v>0</v>
      </c>
    </row>
    <row r="17" spans="1:53" ht="15.75">
      <c r="A17" s="2">
        <v>8</v>
      </c>
      <c r="B17" s="277">
        <f t="shared" si="24"/>
        <v>0</v>
      </c>
      <c r="C17" s="277">
        <f t="shared" si="25"/>
        <v>0</v>
      </c>
      <c r="D17" s="277">
        <f t="shared" si="26"/>
        <v>0</v>
      </c>
      <c r="E17" s="22">
        <f t="shared" si="27"/>
        <v>0</v>
      </c>
      <c r="F17" s="160"/>
      <c r="G17" s="187"/>
      <c r="H17" s="160"/>
      <c r="I17" s="160"/>
      <c r="J17" s="75" t="str">
        <f>IFERROR(VLOOKUP(I17,'PAINT LABOR COSTS'!$B$59:$C$61,2,FALSE),"Pick Color")</f>
        <v>Pick Color</v>
      </c>
      <c r="K17" s="160"/>
      <c r="L17" s="198">
        <v>0</v>
      </c>
      <c r="M17" s="199">
        <v>0</v>
      </c>
      <c r="N17" s="198">
        <v>0</v>
      </c>
      <c r="O17" s="199">
        <v>0</v>
      </c>
      <c r="P17" s="160" t="s">
        <v>419</v>
      </c>
      <c r="Q17" s="160" t="s">
        <v>419</v>
      </c>
      <c r="R17" s="160" t="s">
        <v>419</v>
      </c>
      <c r="S17" s="160" t="s">
        <v>419</v>
      </c>
      <c r="T17" s="160" t="s">
        <v>419</v>
      </c>
      <c r="U17" s="160" t="s">
        <v>419</v>
      </c>
      <c r="V17" s="160" t="s">
        <v>419</v>
      </c>
      <c r="W17" s="160">
        <v>0</v>
      </c>
      <c r="X17" s="160" t="s">
        <v>419</v>
      </c>
      <c r="Y17" s="160">
        <v>0</v>
      </c>
      <c r="Z17" s="160" t="s">
        <v>419</v>
      </c>
      <c r="AB17" s="2">
        <f t="shared" si="1"/>
        <v>0</v>
      </c>
      <c r="AC17" s="277">
        <f t="shared" si="2"/>
        <v>0</v>
      </c>
      <c r="AD17" s="277">
        <f t="shared" si="3"/>
        <v>0</v>
      </c>
      <c r="AE17" s="234">
        <f t="shared" si="4"/>
        <v>0</v>
      </c>
      <c r="AF17" s="104">
        <f t="shared" si="5"/>
        <v>0</v>
      </c>
      <c r="AG17" s="279">
        <f t="shared" si="6"/>
        <v>0</v>
      </c>
      <c r="AH17" s="279">
        <f t="shared" si="7"/>
        <v>0</v>
      </c>
      <c r="AI17" s="104">
        <f t="shared" si="8"/>
        <v>0</v>
      </c>
      <c r="AJ17" s="104">
        <f t="shared" si="9"/>
        <v>0</v>
      </c>
      <c r="AK17" s="104">
        <f t="shared" si="10"/>
        <v>0</v>
      </c>
      <c r="AL17" s="104">
        <f t="shared" si="11"/>
        <v>0</v>
      </c>
      <c r="AM17" s="104">
        <f t="shared" si="12"/>
        <v>0</v>
      </c>
      <c r="AN17" s="104">
        <f t="shared" si="13"/>
        <v>0</v>
      </c>
      <c r="AO17" s="104">
        <f t="shared" si="14"/>
        <v>0</v>
      </c>
      <c r="AP17" s="181">
        <f>IF(I17="BB-CFPNT",VLOOKUP(I17,'PAINT LABOR COSTS'!$B$59:$M$61,12,0)*(AB17/144),0)</f>
        <v>0</v>
      </c>
      <c r="AQ17" s="181">
        <f t="shared" si="15"/>
        <v>0</v>
      </c>
      <c r="AR17" s="104">
        <f t="shared" si="16"/>
        <v>0</v>
      </c>
      <c r="AS17" s="104">
        <f t="shared" si="17"/>
        <v>0</v>
      </c>
      <c r="AT17" s="181" cm="1">
        <f t="array" ref="AT17">IF(P17="NO",0,IF(AND(N17&lt;49,$A$4="RETAIL"),'Comp Hardware'!$L$6,IF(AND(N17&gt;48,N17&lt;96,$A$4="RETAIL"),'Comp Hardware'!$L$7,IF(AND(N17&gt;=96,$A$4="RETAIL"),'Comp Hardware'!$L$8,IF(AND(N17&lt;49,$A$4="BLDR"),'Comp Hardware'!$M$6,IF(AND(N17&gt;48,N17&lt;96,$A$4="BLDR"),'Comp Hardware'!$M$7,IF(AND(N17&gt;=96,$A$4="BLDR"),'Comp Hardware'!$M$8,IF(AND(N17&lt;49,$A$4="WHOLE"),'Comp Hardware'!$N$6,IF(AND(N17&gt;48,N17&lt;96,$A$4="WHOLE"),'Comp Hardware'!$N$7,IF(AND(N17&gt;=96,$A$4="WHOLE"),'Comp Hardware'!$N$8,IF(AND(N17&lt;49,$A$4="LCR"),'Comp Hardware'!$N$6,IF(AND(N17&gt;48,N17&lt;96,$A$4="LCR"),'Comp Hardware'!$N$7,IF(AND(N17&gt;=96,$A$4="LCR"),'Comp Hardware'!$N$8,_xludf.na)))))))))))))*F17</f>
        <v>0</v>
      </c>
      <c r="AU17" s="181" cm="1">
        <f t="array" ref="AU17">IF(Q17="NO",0,IF(AND(N17&lt;49,$A$4="RETAIL"),'Comp Hardware'!$G$171,IF(AND(N17&gt;48,N17&lt;96,$A$4="RETAIL"),'Comp Hardware'!$G$171*1.5,IF(AND(N17&gt;=96,$A$4="RETAIL"),'Comp Hardware'!$G$171*2,IF(AND(N17&lt;49,$A$4="BLDR"),'Comp Hardware'!$H$171,IF(AND(N17&gt;48,N17&lt;96,$A$4="BLDR"),'Comp Hardware'!$H$171*1.5,IF(AND(N17&gt;=96,$A$4="BLDR"),'Comp Hardware'!$H$171*2,IF(AND(N17&lt;49,$A$4="WHOLE"),'Comp Hardware'!$I$171,IF(AND(N17&gt;48,N17&lt;96,$A$4="WHOLE"),'Comp Hardware'!$I$171*1.5,IF(AND(N17&gt;=96,$A$4="WHOLE"),'Comp Hardware'!$I$171*2,IF(AND(N17&lt;49,$A$4="LCR"),'Comp Hardware'!$I$171,IF(AND(N17&gt;48,N17&lt;96,$A$4="LCR"),'Comp Hardware'!$I$171*1.5,IF(AND(N17&gt;=96,$A$4="LCR"),'Comp Hardware'!$I$171*2,_xludf.na)))))))))))))*F17</f>
        <v>0</v>
      </c>
      <c r="AV17" s="104">
        <f t="shared" si="18"/>
        <v>0</v>
      </c>
      <c r="AW17" s="104">
        <f t="shared" si="19"/>
        <v>0</v>
      </c>
      <c r="AX17" s="104">
        <f t="shared" si="20"/>
        <v>0</v>
      </c>
      <c r="AY17" s="104">
        <f t="shared" si="21"/>
        <v>0</v>
      </c>
      <c r="AZ17" s="104">
        <f t="shared" si="22"/>
        <v>0</v>
      </c>
      <c r="BA17" s="104">
        <f t="shared" si="23"/>
        <v>0</v>
      </c>
    </row>
    <row r="18" spans="1:53" ht="15.75">
      <c r="A18" s="2">
        <v>9</v>
      </c>
      <c r="B18" s="277">
        <f t="shared" si="24"/>
        <v>0</v>
      </c>
      <c r="C18" s="277">
        <f t="shared" si="25"/>
        <v>0</v>
      </c>
      <c r="D18" s="277">
        <f t="shared" si="26"/>
        <v>0</v>
      </c>
      <c r="E18" s="22">
        <f t="shared" si="27"/>
        <v>0</v>
      </c>
      <c r="F18" s="160"/>
      <c r="G18" s="187"/>
      <c r="H18" s="160"/>
      <c r="I18" s="160"/>
      <c r="J18" s="75" t="str">
        <f>IFERROR(VLOOKUP(I18,'PAINT LABOR COSTS'!$B$59:$C$61,2,FALSE),"Pick Color")</f>
        <v>Pick Color</v>
      </c>
      <c r="K18" s="160"/>
      <c r="L18" s="198">
        <v>0</v>
      </c>
      <c r="M18" s="199">
        <v>0</v>
      </c>
      <c r="N18" s="198">
        <v>0</v>
      </c>
      <c r="O18" s="199">
        <v>0</v>
      </c>
      <c r="P18" s="160" t="s">
        <v>419</v>
      </c>
      <c r="Q18" s="160" t="s">
        <v>419</v>
      </c>
      <c r="R18" s="160" t="s">
        <v>419</v>
      </c>
      <c r="S18" s="160" t="s">
        <v>419</v>
      </c>
      <c r="T18" s="160" t="s">
        <v>419</v>
      </c>
      <c r="U18" s="160" t="s">
        <v>419</v>
      </c>
      <c r="V18" s="160" t="s">
        <v>419</v>
      </c>
      <c r="W18" s="160">
        <v>0</v>
      </c>
      <c r="X18" s="160" t="s">
        <v>419</v>
      </c>
      <c r="Y18" s="160">
        <v>0</v>
      </c>
      <c r="Z18" s="160" t="s">
        <v>419</v>
      </c>
      <c r="AB18" s="2">
        <f t="shared" si="1"/>
        <v>0</v>
      </c>
      <c r="AC18" s="277">
        <f t="shared" si="2"/>
        <v>0</v>
      </c>
      <c r="AD18" s="277">
        <f t="shared" si="3"/>
        <v>0</v>
      </c>
      <c r="AE18" s="234">
        <f t="shared" si="4"/>
        <v>0</v>
      </c>
      <c r="AF18" s="104">
        <f t="shared" si="5"/>
        <v>0</v>
      </c>
      <c r="AG18" s="279">
        <f t="shared" si="6"/>
        <v>0</v>
      </c>
      <c r="AH18" s="279">
        <f t="shared" si="7"/>
        <v>0</v>
      </c>
      <c r="AI18" s="104">
        <f t="shared" si="8"/>
        <v>0</v>
      </c>
      <c r="AJ18" s="104">
        <f t="shared" si="9"/>
        <v>0</v>
      </c>
      <c r="AK18" s="104">
        <f t="shared" si="10"/>
        <v>0</v>
      </c>
      <c r="AL18" s="104">
        <f t="shared" si="11"/>
        <v>0</v>
      </c>
      <c r="AM18" s="104">
        <f t="shared" si="12"/>
        <v>0</v>
      </c>
      <c r="AN18" s="104">
        <f t="shared" si="13"/>
        <v>0</v>
      </c>
      <c r="AO18" s="104">
        <f t="shared" si="14"/>
        <v>0</v>
      </c>
      <c r="AP18" s="181">
        <f>IF(I18="BB-CFPNT",VLOOKUP(I18,'PAINT LABOR COSTS'!$B$59:$M$61,12,0)*(AB18/144),0)</f>
        <v>0</v>
      </c>
      <c r="AQ18" s="181">
        <f t="shared" si="15"/>
        <v>0</v>
      </c>
      <c r="AR18" s="104">
        <f t="shared" si="16"/>
        <v>0</v>
      </c>
      <c r="AS18" s="104">
        <f t="shared" si="17"/>
        <v>0</v>
      </c>
      <c r="AT18" s="181" cm="1">
        <f t="array" ref="AT18">IF(P18="NO",0,IF(AND(N18&lt;49,$A$4="RETAIL"),'Comp Hardware'!$L$6,IF(AND(N18&gt;48,N18&lt;96,$A$4="RETAIL"),'Comp Hardware'!$L$7,IF(AND(N18&gt;=96,$A$4="RETAIL"),'Comp Hardware'!$L$8,IF(AND(N18&lt;49,$A$4="BLDR"),'Comp Hardware'!$M$6,IF(AND(N18&gt;48,N18&lt;96,$A$4="BLDR"),'Comp Hardware'!$M$7,IF(AND(N18&gt;=96,$A$4="BLDR"),'Comp Hardware'!$M$8,IF(AND(N18&lt;49,$A$4="WHOLE"),'Comp Hardware'!$N$6,IF(AND(N18&gt;48,N18&lt;96,$A$4="WHOLE"),'Comp Hardware'!$N$7,IF(AND(N18&gt;=96,$A$4="WHOLE"),'Comp Hardware'!$N$8,IF(AND(N18&lt;49,$A$4="LCR"),'Comp Hardware'!$N$6,IF(AND(N18&gt;48,N18&lt;96,$A$4="LCR"),'Comp Hardware'!$N$7,IF(AND(N18&gt;=96,$A$4="LCR"),'Comp Hardware'!$N$8,_xludf.na)))))))))))))*F18</f>
        <v>0</v>
      </c>
      <c r="AU18" s="181" cm="1">
        <f t="array" ref="AU18">IF(Q18="NO",0,IF(AND(N18&lt;49,$A$4="RETAIL"),'Comp Hardware'!$G$171,IF(AND(N18&gt;48,N18&lt;96,$A$4="RETAIL"),'Comp Hardware'!$G$171*1.5,IF(AND(N18&gt;=96,$A$4="RETAIL"),'Comp Hardware'!$G$171*2,IF(AND(N18&lt;49,$A$4="BLDR"),'Comp Hardware'!$H$171,IF(AND(N18&gt;48,N18&lt;96,$A$4="BLDR"),'Comp Hardware'!$H$171*1.5,IF(AND(N18&gt;=96,$A$4="BLDR"),'Comp Hardware'!$H$171*2,IF(AND(N18&lt;49,$A$4="WHOLE"),'Comp Hardware'!$I$171,IF(AND(N18&gt;48,N18&lt;96,$A$4="WHOLE"),'Comp Hardware'!$I$171*1.5,IF(AND(N18&gt;=96,$A$4="WHOLE"),'Comp Hardware'!$I$171*2,IF(AND(N18&lt;49,$A$4="LCR"),'Comp Hardware'!$I$171,IF(AND(N18&gt;48,N18&lt;96,$A$4="LCR"),'Comp Hardware'!$I$171*1.5,IF(AND(N18&gt;=96,$A$4="LCR"),'Comp Hardware'!$I$171*2,_xludf.na)))))))))))))*F18</f>
        <v>0</v>
      </c>
      <c r="AV18" s="104">
        <f t="shared" si="18"/>
        <v>0</v>
      </c>
      <c r="AW18" s="104">
        <f t="shared" si="19"/>
        <v>0</v>
      </c>
      <c r="AX18" s="104">
        <f t="shared" si="20"/>
        <v>0</v>
      </c>
      <c r="AY18" s="104">
        <f t="shared" si="21"/>
        <v>0</v>
      </c>
      <c r="AZ18" s="104">
        <f t="shared" si="22"/>
        <v>0</v>
      </c>
      <c r="BA18" s="104">
        <f t="shared" si="23"/>
        <v>0</v>
      </c>
    </row>
    <row r="19" spans="1:53" ht="15.75">
      <c r="A19" s="2">
        <v>10</v>
      </c>
      <c r="B19" s="277">
        <f t="shared" si="24"/>
        <v>0</v>
      </c>
      <c r="C19" s="277">
        <f t="shared" si="25"/>
        <v>0</v>
      </c>
      <c r="D19" s="277">
        <f t="shared" si="26"/>
        <v>0</v>
      </c>
      <c r="E19" s="22">
        <f t="shared" si="27"/>
        <v>0</v>
      </c>
      <c r="F19" s="160"/>
      <c r="G19" s="187"/>
      <c r="H19" s="160"/>
      <c r="I19" s="160"/>
      <c r="J19" s="75" t="str">
        <f>IFERROR(VLOOKUP(I19,'PAINT LABOR COSTS'!$B$59:$C$61,2,FALSE),"Pick Color")</f>
        <v>Pick Color</v>
      </c>
      <c r="K19" s="160"/>
      <c r="L19" s="198">
        <v>0</v>
      </c>
      <c r="M19" s="199">
        <v>0</v>
      </c>
      <c r="N19" s="198">
        <v>0</v>
      </c>
      <c r="O19" s="199">
        <v>0</v>
      </c>
      <c r="P19" s="160" t="s">
        <v>419</v>
      </c>
      <c r="Q19" s="160" t="s">
        <v>419</v>
      </c>
      <c r="R19" s="160" t="s">
        <v>419</v>
      </c>
      <c r="S19" s="160" t="s">
        <v>419</v>
      </c>
      <c r="T19" s="160" t="s">
        <v>419</v>
      </c>
      <c r="U19" s="160" t="s">
        <v>419</v>
      </c>
      <c r="V19" s="160" t="s">
        <v>419</v>
      </c>
      <c r="W19" s="160">
        <v>0</v>
      </c>
      <c r="X19" s="160" t="s">
        <v>419</v>
      </c>
      <c r="Y19" s="160">
        <v>0</v>
      </c>
      <c r="Z19" s="160" t="s">
        <v>419</v>
      </c>
      <c r="AB19" s="2">
        <f t="shared" si="1"/>
        <v>0</v>
      </c>
      <c r="AC19" s="277">
        <f t="shared" si="2"/>
        <v>0</v>
      </c>
      <c r="AD19" s="277">
        <f t="shared" si="3"/>
        <v>0</v>
      </c>
      <c r="AE19" s="234">
        <f t="shared" si="4"/>
        <v>0</v>
      </c>
      <c r="AF19" s="104">
        <f t="shared" si="5"/>
        <v>0</v>
      </c>
      <c r="AG19" s="279">
        <f t="shared" si="6"/>
        <v>0</v>
      </c>
      <c r="AH19" s="279">
        <f t="shared" si="7"/>
        <v>0</v>
      </c>
      <c r="AI19" s="104">
        <f t="shared" si="8"/>
        <v>0</v>
      </c>
      <c r="AJ19" s="104">
        <f t="shared" si="9"/>
        <v>0</v>
      </c>
      <c r="AK19" s="104">
        <f t="shared" si="10"/>
        <v>0</v>
      </c>
      <c r="AL19" s="104">
        <f t="shared" si="11"/>
        <v>0</v>
      </c>
      <c r="AM19" s="104">
        <f t="shared" si="12"/>
        <v>0</v>
      </c>
      <c r="AN19" s="104">
        <f t="shared" si="13"/>
        <v>0</v>
      </c>
      <c r="AO19" s="104">
        <f t="shared" si="14"/>
        <v>0</v>
      </c>
      <c r="AP19" s="181">
        <f>IF(I19="BB-CFPNT",VLOOKUP(I19,'PAINT LABOR COSTS'!$B$59:$M$61,12,0)*(AB19/144),0)</f>
        <v>0</v>
      </c>
      <c r="AQ19" s="181">
        <f t="shared" si="15"/>
        <v>0</v>
      </c>
      <c r="AR19" s="104">
        <f t="shared" si="16"/>
        <v>0</v>
      </c>
      <c r="AS19" s="104">
        <f t="shared" si="17"/>
        <v>0</v>
      </c>
      <c r="AT19" s="181" cm="1">
        <f t="array" ref="AT19">IF(P19="NO",0,IF(AND(N19&lt;49,$A$4="RETAIL"),'Comp Hardware'!$L$6,IF(AND(N19&gt;48,N19&lt;96,$A$4="RETAIL"),'Comp Hardware'!$L$7,IF(AND(N19&gt;=96,$A$4="RETAIL"),'Comp Hardware'!$L$8,IF(AND(N19&lt;49,$A$4="BLDR"),'Comp Hardware'!$M$6,IF(AND(N19&gt;48,N19&lt;96,$A$4="BLDR"),'Comp Hardware'!$M$7,IF(AND(N19&gt;=96,$A$4="BLDR"),'Comp Hardware'!$M$8,IF(AND(N19&lt;49,$A$4="WHOLE"),'Comp Hardware'!$N$6,IF(AND(N19&gt;48,N19&lt;96,$A$4="WHOLE"),'Comp Hardware'!$N$7,IF(AND(N19&gt;=96,$A$4="WHOLE"),'Comp Hardware'!$N$8,IF(AND(N19&lt;49,$A$4="LCR"),'Comp Hardware'!$N$6,IF(AND(N19&gt;48,N19&lt;96,$A$4="LCR"),'Comp Hardware'!$N$7,IF(AND(N19&gt;=96,$A$4="LCR"),'Comp Hardware'!$N$8,_xludf.na)))))))))))))*F19</f>
        <v>0</v>
      </c>
      <c r="AU19" s="181" cm="1">
        <f t="array" ref="AU19">IF(Q19="NO",0,IF(AND(N19&lt;49,$A$4="RETAIL"),'Comp Hardware'!$G$171,IF(AND(N19&gt;48,N19&lt;96,$A$4="RETAIL"),'Comp Hardware'!$G$171*1.5,IF(AND(N19&gt;=96,$A$4="RETAIL"),'Comp Hardware'!$G$171*2,IF(AND(N19&lt;49,$A$4="BLDR"),'Comp Hardware'!$H$171,IF(AND(N19&gt;48,N19&lt;96,$A$4="BLDR"),'Comp Hardware'!$H$171*1.5,IF(AND(N19&gt;=96,$A$4="BLDR"),'Comp Hardware'!$H$171*2,IF(AND(N19&lt;49,$A$4="WHOLE"),'Comp Hardware'!$I$171,IF(AND(N19&gt;48,N19&lt;96,$A$4="WHOLE"),'Comp Hardware'!$I$171*1.5,IF(AND(N19&gt;=96,$A$4="WHOLE"),'Comp Hardware'!$I$171*2,IF(AND(N19&lt;49,$A$4="LCR"),'Comp Hardware'!$I$171,IF(AND(N19&gt;48,N19&lt;96,$A$4="LCR"),'Comp Hardware'!$I$171*1.5,IF(AND(N19&gt;=96,$A$4="LCR"),'Comp Hardware'!$I$171*2,_xludf.na)))))))))))))*F19</f>
        <v>0</v>
      </c>
      <c r="AV19" s="104">
        <f t="shared" si="18"/>
        <v>0</v>
      </c>
      <c r="AW19" s="104">
        <f t="shared" si="19"/>
        <v>0</v>
      </c>
      <c r="AX19" s="104">
        <f t="shared" si="20"/>
        <v>0</v>
      </c>
      <c r="AY19" s="104">
        <f t="shared" si="21"/>
        <v>0</v>
      </c>
      <c r="AZ19" s="104">
        <f t="shared" si="22"/>
        <v>0</v>
      </c>
      <c r="BA19" s="104">
        <f t="shared" si="23"/>
        <v>0</v>
      </c>
    </row>
    <row r="20" spans="1:53" ht="15.75">
      <c r="A20" s="2">
        <v>11</v>
      </c>
      <c r="B20" s="277">
        <f t="shared" si="24"/>
        <v>0</v>
      </c>
      <c r="C20" s="277">
        <f t="shared" si="25"/>
        <v>0</v>
      </c>
      <c r="D20" s="277">
        <f t="shared" si="26"/>
        <v>0</v>
      </c>
      <c r="E20" s="22">
        <f t="shared" si="27"/>
        <v>0</v>
      </c>
      <c r="F20" s="160"/>
      <c r="G20" s="187"/>
      <c r="H20" s="160"/>
      <c r="I20" s="160"/>
      <c r="J20" s="75" t="str">
        <f>IFERROR(VLOOKUP(I20,'PAINT LABOR COSTS'!$B$59:$C$61,2,FALSE),"Pick Color")</f>
        <v>Pick Color</v>
      </c>
      <c r="K20" s="160"/>
      <c r="L20" s="198">
        <v>0</v>
      </c>
      <c r="M20" s="199">
        <v>0</v>
      </c>
      <c r="N20" s="198">
        <v>0</v>
      </c>
      <c r="O20" s="199">
        <v>0</v>
      </c>
      <c r="P20" s="160" t="s">
        <v>419</v>
      </c>
      <c r="Q20" s="160" t="s">
        <v>419</v>
      </c>
      <c r="R20" s="160" t="s">
        <v>419</v>
      </c>
      <c r="S20" s="160" t="s">
        <v>419</v>
      </c>
      <c r="T20" s="160" t="s">
        <v>419</v>
      </c>
      <c r="U20" s="160" t="s">
        <v>419</v>
      </c>
      <c r="V20" s="160" t="s">
        <v>419</v>
      </c>
      <c r="W20" s="160">
        <v>0</v>
      </c>
      <c r="X20" s="160" t="s">
        <v>419</v>
      </c>
      <c r="Y20" s="160">
        <v>0</v>
      </c>
      <c r="Z20" s="160" t="s">
        <v>419</v>
      </c>
      <c r="AB20" s="2">
        <f t="shared" si="1"/>
        <v>0</v>
      </c>
      <c r="AC20" s="277">
        <f t="shared" si="2"/>
        <v>0</v>
      </c>
      <c r="AD20" s="277">
        <f t="shared" si="3"/>
        <v>0</v>
      </c>
      <c r="AE20" s="234">
        <f t="shared" si="4"/>
        <v>0</v>
      </c>
      <c r="AF20" s="104">
        <f t="shared" si="5"/>
        <v>0</v>
      </c>
      <c r="AG20" s="279">
        <f t="shared" si="6"/>
        <v>0</v>
      </c>
      <c r="AH20" s="279">
        <f t="shared" si="7"/>
        <v>0</v>
      </c>
      <c r="AI20" s="104">
        <f t="shared" si="8"/>
        <v>0</v>
      </c>
      <c r="AJ20" s="104">
        <f t="shared" si="9"/>
        <v>0</v>
      </c>
      <c r="AK20" s="104">
        <f t="shared" si="10"/>
        <v>0</v>
      </c>
      <c r="AL20" s="104">
        <f t="shared" si="11"/>
        <v>0</v>
      </c>
      <c r="AM20" s="104">
        <f t="shared" si="12"/>
        <v>0</v>
      </c>
      <c r="AN20" s="104">
        <f t="shared" si="13"/>
        <v>0</v>
      </c>
      <c r="AO20" s="104">
        <f t="shared" si="14"/>
        <v>0</v>
      </c>
      <c r="AP20" s="181">
        <f>IF(I20="BB-CFPNT",VLOOKUP(I20,'PAINT LABOR COSTS'!$B$59:$M$61,12,0)*(AB20/144),0)</f>
        <v>0</v>
      </c>
      <c r="AQ20" s="181">
        <f t="shared" si="15"/>
        <v>0</v>
      </c>
      <c r="AR20" s="104">
        <f t="shared" si="16"/>
        <v>0</v>
      </c>
      <c r="AS20" s="104">
        <f t="shared" si="17"/>
        <v>0</v>
      </c>
      <c r="AT20" s="181" cm="1">
        <f t="array" ref="AT20">IF(P20="NO",0,IF(AND(N20&lt;49,$A$4="RETAIL"),'Comp Hardware'!$L$6,IF(AND(N20&gt;48,N20&lt;96,$A$4="RETAIL"),'Comp Hardware'!$L$7,IF(AND(N20&gt;=96,$A$4="RETAIL"),'Comp Hardware'!$L$8,IF(AND(N20&lt;49,$A$4="BLDR"),'Comp Hardware'!$M$6,IF(AND(N20&gt;48,N20&lt;96,$A$4="BLDR"),'Comp Hardware'!$M$7,IF(AND(N20&gt;=96,$A$4="BLDR"),'Comp Hardware'!$M$8,IF(AND(N20&lt;49,$A$4="WHOLE"),'Comp Hardware'!$N$6,IF(AND(N20&gt;48,N20&lt;96,$A$4="WHOLE"),'Comp Hardware'!$N$7,IF(AND(N20&gt;=96,$A$4="WHOLE"),'Comp Hardware'!$N$8,IF(AND(N20&lt;49,$A$4="LCR"),'Comp Hardware'!$N$6,IF(AND(N20&gt;48,N20&lt;96,$A$4="LCR"),'Comp Hardware'!$N$7,IF(AND(N20&gt;=96,$A$4="LCR"),'Comp Hardware'!$N$8,_xludf.na)))))))))))))*F20</f>
        <v>0</v>
      </c>
      <c r="AU20" s="181" cm="1">
        <f t="array" ref="AU20">IF(Q20="NO",0,IF(AND(N20&lt;49,$A$4="RETAIL"),'Comp Hardware'!$G$171,IF(AND(N20&gt;48,N20&lt;96,$A$4="RETAIL"),'Comp Hardware'!$G$171*1.5,IF(AND(N20&gt;=96,$A$4="RETAIL"),'Comp Hardware'!$G$171*2,IF(AND(N20&lt;49,$A$4="BLDR"),'Comp Hardware'!$H$171,IF(AND(N20&gt;48,N20&lt;96,$A$4="BLDR"),'Comp Hardware'!$H$171*1.5,IF(AND(N20&gt;=96,$A$4="BLDR"),'Comp Hardware'!$H$171*2,IF(AND(N20&lt;49,$A$4="WHOLE"),'Comp Hardware'!$I$171,IF(AND(N20&gt;48,N20&lt;96,$A$4="WHOLE"),'Comp Hardware'!$I$171*1.5,IF(AND(N20&gt;=96,$A$4="WHOLE"),'Comp Hardware'!$I$171*2,IF(AND(N20&lt;49,$A$4="LCR"),'Comp Hardware'!$I$171,IF(AND(N20&gt;48,N20&lt;96,$A$4="LCR"),'Comp Hardware'!$I$171*1.5,IF(AND(N20&gt;=96,$A$4="LCR"),'Comp Hardware'!$I$171*2,_xludf.na)))))))))))))*F20</f>
        <v>0</v>
      </c>
      <c r="AV20" s="104">
        <f t="shared" si="18"/>
        <v>0</v>
      </c>
      <c r="AW20" s="104">
        <f t="shared" si="19"/>
        <v>0</v>
      </c>
      <c r="AX20" s="104">
        <f t="shared" si="20"/>
        <v>0</v>
      </c>
      <c r="AY20" s="104">
        <f t="shared" si="21"/>
        <v>0</v>
      </c>
      <c r="AZ20" s="104">
        <f t="shared" si="22"/>
        <v>0</v>
      </c>
      <c r="BA20" s="104">
        <f t="shared" si="23"/>
        <v>0</v>
      </c>
    </row>
    <row r="21" spans="1:53" ht="15.75">
      <c r="A21" s="2">
        <v>12</v>
      </c>
      <c r="B21" s="277">
        <f t="shared" si="24"/>
        <v>0</v>
      </c>
      <c r="C21" s="277">
        <f t="shared" si="25"/>
        <v>0</v>
      </c>
      <c r="D21" s="277">
        <f t="shared" si="26"/>
        <v>0</v>
      </c>
      <c r="E21" s="22">
        <f t="shared" si="27"/>
        <v>0</v>
      </c>
      <c r="F21" s="160"/>
      <c r="G21" s="187"/>
      <c r="H21" s="160"/>
      <c r="I21" s="160"/>
      <c r="J21" s="75" t="str">
        <f>IFERROR(VLOOKUP(I21,'PAINT LABOR COSTS'!$B$59:$C$61,2,FALSE),"Pick Color")</f>
        <v>Pick Color</v>
      </c>
      <c r="K21" s="160"/>
      <c r="L21" s="198">
        <v>0</v>
      </c>
      <c r="M21" s="199">
        <v>0</v>
      </c>
      <c r="N21" s="198">
        <v>0</v>
      </c>
      <c r="O21" s="199">
        <v>0</v>
      </c>
      <c r="P21" s="160" t="s">
        <v>419</v>
      </c>
      <c r="Q21" s="160" t="s">
        <v>419</v>
      </c>
      <c r="R21" s="160" t="s">
        <v>419</v>
      </c>
      <c r="S21" s="160" t="s">
        <v>419</v>
      </c>
      <c r="T21" s="160" t="s">
        <v>419</v>
      </c>
      <c r="U21" s="160" t="s">
        <v>419</v>
      </c>
      <c r="V21" s="160" t="s">
        <v>419</v>
      </c>
      <c r="W21" s="160">
        <v>0</v>
      </c>
      <c r="X21" s="160" t="s">
        <v>419</v>
      </c>
      <c r="Y21" s="160">
        <v>0</v>
      </c>
      <c r="Z21" s="160" t="s">
        <v>419</v>
      </c>
      <c r="AB21" s="2">
        <f t="shared" si="1"/>
        <v>0</v>
      </c>
      <c r="AC21" s="277">
        <f t="shared" si="2"/>
        <v>0</v>
      </c>
      <c r="AD21" s="277">
        <f t="shared" si="3"/>
        <v>0</v>
      </c>
      <c r="AE21" s="234">
        <f t="shared" si="4"/>
        <v>0</v>
      </c>
      <c r="AF21" s="104">
        <f t="shared" si="5"/>
        <v>0</v>
      </c>
      <c r="AG21" s="279">
        <f t="shared" si="6"/>
        <v>0</v>
      </c>
      <c r="AH21" s="279">
        <f t="shared" si="7"/>
        <v>0</v>
      </c>
      <c r="AI21" s="104">
        <f t="shared" si="8"/>
        <v>0</v>
      </c>
      <c r="AJ21" s="104">
        <f t="shared" si="9"/>
        <v>0</v>
      </c>
      <c r="AK21" s="104">
        <f t="shared" si="10"/>
        <v>0</v>
      </c>
      <c r="AL21" s="104">
        <f t="shared" si="11"/>
        <v>0</v>
      </c>
      <c r="AM21" s="104">
        <f t="shared" si="12"/>
        <v>0</v>
      </c>
      <c r="AN21" s="104">
        <f t="shared" si="13"/>
        <v>0</v>
      </c>
      <c r="AO21" s="104">
        <f t="shared" si="14"/>
        <v>0</v>
      </c>
      <c r="AP21" s="181">
        <f>IF(I21="BB-CFPNT",VLOOKUP(I21,'PAINT LABOR COSTS'!$B$59:$M$61,12,0)*(AB21/144),0)</f>
        <v>0</v>
      </c>
      <c r="AQ21" s="181">
        <f t="shared" si="15"/>
        <v>0</v>
      </c>
      <c r="AR21" s="104">
        <f t="shared" si="16"/>
        <v>0</v>
      </c>
      <c r="AS21" s="104">
        <f t="shared" si="17"/>
        <v>0</v>
      </c>
      <c r="AT21" s="181" cm="1">
        <f t="array" ref="AT21">IF(P21="NO",0,IF(AND(N21&lt;49,$A$4="RETAIL"),'Comp Hardware'!$L$6,IF(AND(N21&gt;48,N21&lt;96,$A$4="RETAIL"),'Comp Hardware'!$L$7,IF(AND(N21&gt;=96,$A$4="RETAIL"),'Comp Hardware'!$L$8,IF(AND(N21&lt;49,$A$4="BLDR"),'Comp Hardware'!$M$6,IF(AND(N21&gt;48,N21&lt;96,$A$4="BLDR"),'Comp Hardware'!$M$7,IF(AND(N21&gt;=96,$A$4="BLDR"),'Comp Hardware'!$M$8,IF(AND(N21&lt;49,$A$4="WHOLE"),'Comp Hardware'!$N$6,IF(AND(N21&gt;48,N21&lt;96,$A$4="WHOLE"),'Comp Hardware'!$N$7,IF(AND(N21&gt;=96,$A$4="WHOLE"),'Comp Hardware'!$N$8,IF(AND(N21&lt;49,$A$4="LCR"),'Comp Hardware'!$N$6,IF(AND(N21&gt;48,N21&lt;96,$A$4="LCR"),'Comp Hardware'!$N$7,IF(AND(N21&gt;=96,$A$4="LCR"),'Comp Hardware'!$N$8,_xludf.na)))))))))))))*F21</f>
        <v>0</v>
      </c>
      <c r="AU21" s="181" cm="1">
        <f t="array" ref="AU21">IF(Q21="NO",0,IF(AND(N21&lt;49,$A$4="RETAIL"),'Comp Hardware'!$G$171,IF(AND(N21&gt;48,N21&lt;96,$A$4="RETAIL"),'Comp Hardware'!$G$171*1.5,IF(AND(N21&gt;=96,$A$4="RETAIL"),'Comp Hardware'!$G$171*2,IF(AND(N21&lt;49,$A$4="BLDR"),'Comp Hardware'!$H$171,IF(AND(N21&gt;48,N21&lt;96,$A$4="BLDR"),'Comp Hardware'!$H$171*1.5,IF(AND(N21&gt;=96,$A$4="BLDR"),'Comp Hardware'!$H$171*2,IF(AND(N21&lt;49,$A$4="WHOLE"),'Comp Hardware'!$I$171,IF(AND(N21&gt;48,N21&lt;96,$A$4="WHOLE"),'Comp Hardware'!$I$171*1.5,IF(AND(N21&gt;=96,$A$4="WHOLE"),'Comp Hardware'!$I$171*2,IF(AND(N21&lt;49,$A$4="LCR"),'Comp Hardware'!$I$171,IF(AND(N21&gt;48,N21&lt;96,$A$4="LCR"),'Comp Hardware'!$I$171*1.5,IF(AND(N21&gt;=96,$A$4="LCR"),'Comp Hardware'!$I$171*2,_xludf.na)))))))))))))*F21</f>
        <v>0</v>
      </c>
      <c r="AV21" s="104">
        <f t="shared" si="18"/>
        <v>0</v>
      </c>
      <c r="AW21" s="104">
        <f t="shared" si="19"/>
        <v>0</v>
      </c>
      <c r="AX21" s="104">
        <f t="shared" si="20"/>
        <v>0</v>
      </c>
      <c r="AY21" s="104">
        <f t="shared" si="21"/>
        <v>0</v>
      </c>
      <c r="AZ21" s="104">
        <f t="shared" si="22"/>
        <v>0</v>
      </c>
      <c r="BA21" s="104">
        <f t="shared" si="23"/>
        <v>0</v>
      </c>
    </row>
    <row r="22" spans="1:53" ht="15.75">
      <c r="A22" s="2">
        <v>13</v>
      </c>
      <c r="B22" s="277">
        <f t="shared" si="24"/>
        <v>0</v>
      </c>
      <c r="C22" s="277">
        <f t="shared" si="25"/>
        <v>0</v>
      </c>
      <c r="D22" s="277">
        <f t="shared" si="26"/>
        <v>0</v>
      </c>
      <c r="E22" s="22">
        <f t="shared" si="27"/>
        <v>0</v>
      </c>
      <c r="F22" s="160"/>
      <c r="G22" s="187"/>
      <c r="H22" s="160"/>
      <c r="I22" s="160"/>
      <c r="J22" s="75" t="str">
        <f>IFERROR(VLOOKUP(I22,'PAINT LABOR COSTS'!$B$59:$C$61,2,FALSE),"Pick Color")</f>
        <v>Pick Color</v>
      </c>
      <c r="K22" s="160"/>
      <c r="L22" s="198">
        <v>0</v>
      </c>
      <c r="M22" s="199">
        <v>0</v>
      </c>
      <c r="N22" s="198">
        <v>0</v>
      </c>
      <c r="O22" s="199">
        <v>0</v>
      </c>
      <c r="P22" s="160" t="s">
        <v>419</v>
      </c>
      <c r="Q22" s="160" t="s">
        <v>419</v>
      </c>
      <c r="R22" s="160" t="s">
        <v>419</v>
      </c>
      <c r="S22" s="160" t="s">
        <v>419</v>
      </c>
      <c r="T22" s="160" t="s">
        <v>419</v>
      </c>
      <c r="U22" s="160" t="s">
        <v>419</v>
      </c>
      <c r="V22" s="160" t="s">
        <v>419</v>
      </c>
      <c r="W22" s="160">
        <v>0</v>
      </c>
      <c r="X22" s="160" t="s">
        <v>419</v>
      </c>
      <c r="Y22" s="160">
        <v>0</v>
      </c>
      <c r="Z22" s="160" t="s">
        <v>419</v>
      </c>
      <c r="AB22" s="2">
        <f t="shared" si="1"/>
        <v>0</v>
      </c>
      <c r="AC22" s="277">
        <f t="shared" si="2"/>
        <v>0</v>
      </c>
      <c r="AD22" s="277">
        <f t="shared" si="3"/>
        <v>0</v>
      </c>
      <c r="AE22" s="234">
        <f t="shared" si="4"/>
        <v>0</v>
      </c>
      <c r="AF22" s="104">
        <f t="shared" si="5"/>
        <v>0</v>
      </c>
      <c r="AG22" s="279">
        <f t="shared" si="6"/>
        <v>0</v>
      </c>
      <c r="AH22" s="279">
        <f t="shared" si="7"/>
        <v>0</v>
      </c>
      <c r="AI22" s="104">
        <f t="shared" si="8"/>
        <v>0</v>
      </c>
      <c r="AJ22" s="104">
        <f t="shared" si="9"/>
        <v>0</v>
      </c>
      <c r="AK22" s="104">
        <f t="shared" si="10"/>
        <v>0</v>
      </c>
      <c r="AL22" s="104">
        <f t="shared" si="11"/>
        <v>0</v>
      </c>
      <c r="AM22" s="104">
        <f t="shared" si="12"/>
        <v>0</v>
      </c>
      <c r="AN22" s="104">
        <f t="shared" si="13"/>
        <v>0</v>
      </c>
      <c r="AO22" s="104">
        <f t="shared" si="14"/>
        <v>0</v>
      </c>
      <c r="AP22" s="181">
        <f>IF(I22="BB-CFPNT",VLOOKUP(I22,'PAINT LABOR COSTS'!$B$59:$M$61,12,0)*(AB22/144),0)</f>
        <v>0</v>
      </c>
      <c r="AQ22" s="181">
        <f t="shared" si="15"/>
        <v>0</v>
      </c>
      <c r="AR22" s="104">
        <f t="shared" si="16"/>
        <v>0</v>
      </c>
      <c r="AS22" s="104">
        <f t="shared" si="17"/>
        <v>0</v>
      </c>
      <c r="AT22" s="181" cm="1">
        <f t="array" ref="AT22">IF(P22="NO",0,IF(AND(N22&lt;49,$A$4="RETAIL"),'Comp Hardware'!$L$6,IF(AND(N22&gt;48,N22&lt;96,$A$4="RETAIL"),'Comp Hardware'!$L$7,IF(AND(N22&gt;=96,$A$4="RETAIL"),'Comp Hardware'!$L$8,IF(AND(N22&lt;49,$A$4="BLDR"),'Comp Hardware'!$M$6,IF(AND(N22&gt;48,N22&lt;96,$A$4="BLDR"),'Comp Hardware'!$M$7,IF(AND(N22&gt;=96,$A$4="BLDR"),'Comp Hardware'!$M$8,IF(AND(N22&lt;49,$A$4="WHOLE"),'Comp Hardware'!$N$6,IF(AND(N22&gt;48,N22&lt;96,$A$4="WHOLE"),'Comp Hardware'!$N$7,IF(AND(N22&gt;=96,$A$4="WHOLE"),'Comp Hardware'!$N$8,IF(AND(N22&lt;49,$A$4="LCR"),'Comp Hardware'!$N$6,IF(AND(N22&gt;48,N22&lt;96,$A$4="LCR"),'Comp Hardware'!$N$7,IF(AND(N22&gt;=96,$A$4="LCR"),'Comp Hardware'!$N$8,_xludf.na)))))))))))))*F22</f>
        <v>0</v>
      </c>
      <c r="AU22" s="181" cm="1">
        <f t="array" ref="AU22">IF(Q22="NO",0,IF(AND(N22&lt;49,$A$4="RETAIL"),'Comp Hardware'!$G$171,IF(AND(N22&gt;48,N22&lt;96,$A$4="RETAIL"),'Comp Hardware'!$G$171*1.5,IF(AND(N22&gt;=96,$A$4="RETAIL"),'Comp Hardware'!$G$171*2,IF(AND(N22&lt;49,$A$4="BLDR"),'Comp Hardware'!$H$171,IF(AND(N22&gt;48,N22&lt;96,$A$4="BLDR"),'Comp Hardware'!$H$171*1.5,IF(AND(N22&gt;=96,$A$4="BLDR"),'Comp Hardware'!$H$171*2,IF(AND(N22&lt;49,$A$4="WHOLE"),'Comp Hardware'!$I$171,IF(AND(N22&gt;48,N22&lt;96,$A$4="WHOLE"),'Comp Hardware'!$I$171*1.5,IF(AND(N22&gt;=96,$A$4="WHOLE"),'Comp Hardware'!$I$171*2,IF(AND(N22&lt;49,$A$4="LCR"),'Comp Hardware'!$I$171,IF(AND(N22&gt;48,N22&lt;96,$A$4="LCR"),'Comp Hardware'!$I$171*1.5,IF(AND(N22&gt;=96,$A$4="LCR"),'Comp Hardware'!$I$171*2,_xludf.na)))))))))))))*F22</f>
        <v>0</v>
      </c>
      <c r="AV22" s="104">
        <f t="shared" si="18"/>
        <v>0</v>
      </c>
      <c r="AW22" s="104">
        <f t="shared" si="19"/>
        <v>0</v>
      </c>
      <c r="AX22" s="104">
        <f t="shared" si="20"/>
        <v>0</v>
      </c>
      <c r="AY22" s="104">
        <f t="shared" si="21"/>
        <v>0</v>
      </c>
      <c r="AZ22" s="104">
        <f t="shared" si="22"/>
        <v>0</v>
      </c>
      <c r="BA22" s="104">
        <f t="shared" si="23"/>
        <v>0</v>
      </c>
    </row>
    <row r="23" spans="1:53" ht="15.75">
      <c r="A23" s="2">
        <v>14</v>
      </c>
      <c r="B23" s="277">
        <f t="shared" si="24"/>
        <v>0</v>
      </c>
      <c r="C23" s="277">
        <f t="shared" si="25"/>
        <v>0</v>
      </c>
      <c r="D23" s="277">
        <f t="shared" si="26"/>
        <v>0</v>
      </c>
      <c r="E23" s="22">
        <f t="shared" si="27"/>
        <v>0</v>
      </c>
      <c r="F23" s="160"/>
      <c r="G23" s="187"/>
      <c r="H23" s="160"/>
      <c r="I23" s="160"/>
      <c r="J23" s="75" t="str">
        <f>IFERROR(VLOOKUP(I23,'PAINT LABOR COSTS'!$B$59:$C$61,2,FALSE),"Pick Color")</f>
        <v>Pick Color</v>
      </c>
      <c r="K23" s="160"/>
      <c r="L23" s="198">
        <v>0</v>
      </c>
      <c r="M23" s="199">
        <v>0</v>
      </c>
      <c r="N23" s="198">
        <v>0</v>
      </c>
      <c r="O23" s="199">
        <v>0</v>
      </c>
      <c r="P23" s="160" t="s">
        <v>419</v>
      </c>
      <c r="Q23" s="160" t="s">
        <v>419</v>
      </c>
      <c r="R23" s="160" t="s">
        <v>419</v>
      </c>
      <c r="S23" s="160" t="s">
        <v>419</v>
      </c>
      <c r="T23" s="160" t="s">
        <v>419</v>
      </c>
      <c r="U23" s="160" t="s">
        <v>419</v>
      </c>
      <c r="V23" s="160" t="s">
        <v>419</v>
      </c>
      <c r="W23" s="160">
        <v>0</v>
      </c>
      <c r="X23" s="160" t="s">
        <v>419</v>
      </c>
      <c r="Y23" s="160">
        <v>0</v>
      </c>
      <c r="Z23" s="160" t="s">
        <v>419</v>
      </c>
      <c r="AB23" s="2">
        <f t="shared" si="1"/>
        <v>0</v>
      </c>
      <c r="AC23" s="277">
        <f t="shared" si="2"/>
        <v>0</v>
      </c>
      <c r="AD23" s="277">
        <f t="shared" si="3"/>
        <v>0</v>
      </c>
      <c r="AE23" s="234">
        <f t="shared" si="4"/>
        <v>0</v>
      </c>
      <c r="AF23" s="104">
        <f t="shared" si="5"/>
        <v>0</v>
      </c>
      <c r="AG23" s="279">
        <f t="shared" si="6"/>
        <v>0</v>
      </c>
      <c r="AH23" s="279">
        <f t="shared" si="7"/>
        <v>0</v>
      </c>
      <c r="AI23" s="104">
        <f t="shared" si="8"/>
        <v>0</v>
      </c>
      <c r="AJ23" s="104">
        <f t="shared" si="9"/>
        <v>0</v>
      </c>
      <c r="AK23" s="104">
        <f t="shared" si="10"/>
        <v>0</v>
      </c>
      <c r="AL23" s="104">
        <f t="shared" si="11"/>
        <v>0</v>
      </c>
      <c r="AM23" s="104">
        <f t="shared" si="12"/>
        <v>0</v>
      </c>
      <c r="AN23" s="104">
        <f t="shared" si="13"/>
        <v>0</v>
      </c>
      <c r="AO23" s="104">
        <f t="shared" si="14"/>
        <v>0</v>
      </c>
      <c r="AP23" s="181">
        <f>IF(I23="BB-CFPNT",VLOOKUP(I23,'PAINT LABOR COSTS'!$B$59:$M$61,12,0)*(AB23/144),0)</f>
        <v>0</v>
      </c>
      <c r="AQ23" s="181">
        <f t="shared" si="15"/>
        <v>0</v>
      </c>
      <c r="AR23" s="104">
        <f t="shared" si="16"/>
        <v>0</v>
      </c>
      <c r="AS23" s="104">
        <f t="shared" si="17"/>
        <v>0</v>
      </c>
      <c r="AT23" s="181" cm="1">
        <f t="array" ref="AT23">IF(P23="NO",0,IF(AND(N23&lt;49,$A$4="RETAIL"),'Comp Hardware'!$L$6,IF(AND(N23&gt;48,N23&lt;96,$A$4="RETAIL"),'Comp Hardware'!$L$7,IF(AND(N23&gt;=96,$A$4="RETAIL"),'Comp Hardware'!$L$8,IF(AND(N23&lt;49,$A$4="BLDR"),'Comp Hardware'!$M$6,IF(AND(N23&gt;48,N23&lt;96,$A$4="BLDR"),'Comp Hardware'!$M$7,IF(AND(N23&gt;=96,$A$4="BLDR"),'Comp Hardware'!$M$8,IF(AND(N23&lt;49,$A$4="WHOLE"),'Comp Hardware'!$N$6,IF(AND(N23&gt;48,N23&lt;96,$A$4="WHOLE"),'Comp Hardware'!$N$7,IF(AND(N23&gt;=96,$A$4="WHOLE"),'Comp Hardware'!$N$8,IF(AND(N23&lt;49,$A$4="LCR"),'Comp Hardware'!$N$6,IF(AND(N23&gt;48,N23&lt;96,$A$4="LCR"),'Comp Hardware'!$N$7,IF(AND(N23&gt;=96,$A$4="LCR"),'Comp Hardware'!$N$8,_xludf.na)))))))))))))*F23</f>
        <v>0</v>
      </c>
      <c r="AU23" s="181" cm="1">
        <f t="array" ref="AU23">IF(Q23="NO",0,IF(AND(N23&lt;49,$A$4="RETAIL"),'Comp Hardware'!$G$171,IF(AND(N23&gt;48,N23&lt;96,$A$4="RETAIL"),'Comp Hardware'!$G$171*1.5,IF(AND(N23&gt;=96,$A$4="RETAIL"),'Comp Hardware'!$G$171*2,IF(AND(N23&lt;49,$A$4="BLDR"),'Comp Hardware'!$H$171,IF(AND(N23&gt;48,N23&lt;96,$A$4="BLDR"),'Comp Hardware'!$H$171*1.5,IF(AND(N23&gt;=96,$A$4="BLDR"),'Comp Hardware'!$H$171*2,IF(AND(N23&lt;49,$A$4="WHOLE"),'Comp Hardware'!$I$171,IF(AND(N23&gt;48,N23&lt;96,$A$4="WHOLE"),'Comp Hardware'!$I$171*1.5,IF(AND(N23&gt;=96,$A$4="WHOLE"),'Comp Hardware'!$I$171*2,IF(AND(N23&lt;49,$A$4="LCR"),'Comp Hardware'!$I$171,IF(AND(N23&gt;48,N23&lt;96,$A$4="LCR"),'Comp Hardware'!$I$171*1.5,IF(AND(N23&gt;=96,$A$4="LCR"),'Comp Hardware'!$I$171*2,_xludf.na)))))))))))))*F23</f>
        <v>0</v>
      </c>
      <c r="AV23" s="104">
        <f t="shared" si="18"/>
        <v>0</v>
      </c>
      <c r="AW23" s="104">
        <f t="shared" si="19"/>
        <v>0</v>
      </c>
      <c r="AX23" s="104">
        <f t="shared" si="20"/>
        <v>0</v>
      </c>
      <c r="AY23" s="104">
        <f t="shared" si="21"/>
        <v>0</v>
      </c>
      <c r="AZ23" s="104">
        <f t="shared" si="22"/>
        <v>0</v>
      </c>
      <c r="BA23" s="104">
        <f t="shared" si="23"/>
        <v>0</v>
      </c>
    </row>
    <row r="24" spans="1:53" ht="15.75">
      <c r="A24" s="2">
        <v>15</v>
      </c>
      <c r="B24" s="277">
        <f t="shared" si="24"/>
        <v>0</v>
      </c>
      <c r="C24" s="277">
        <f t="shared" si="25"/>
        <v>0</v>
      </c>
      <c r="D24" s="277">
        <f t="shared" si="26"/>
        <v>0</v>
      </c>
      <c r="E24" s="22">
        <f t="shared" si="27"/>
        <v>0</v>
      </c>
      <c r="F24" s="160"/>
      <c r="G24" s="187"/>
      <c r="H24" s="160"/>
      <c r="I24" s="160"/>
      <c r="J24" s="75" t="str">
        <f>IFERROR(VLOOKUP(I24,'PAINT LABOR COSTS'!$B$59:$C$61,2,FALSE),"Pick Color")</f>
        <v>Pick Color</v>
      </c>
      <c r="K24" s="160"/>
      <c r="L24" s="198">
        <v>0</v>
      </c>
      <c r="M24" s="199">
        <v>0</v>
      </c>
      <c r="N24" s="198">
        <v>0</v>
      </c>
      <c r="O24" s="199">
        <v>0</v>
      </c>
      <c r="P24" s="160" t="s">
        <v>419</v>
      </c>
      <c r="Q24" s="160" t="s">
        <v>419</v>
      </c>
      <c r="R24" s="160" t="s">
        <v>419</v>
      </c>
      <c r="S24" s="160" t="s">
        <v>419</v>
      </c>
      <c r="T24" s="160" t="s">
        <v>419</v>
      </c>
      <c r="U24" s="160" t="s">
        <v>419</v>
      </c>
      <c r="V24" s="160" t="s">
        <v>419</v>
      </c>
      <c r="W24" s="160">
        <v>0</v>
      </c>
      <c r="X24" s="160" t="s">
        <v>419</v>
      </c>
      <c r="Y24" s="160">
        <v>0</v>
      </c>
      <c r="Z24" s="160" t="s">
        <v>419</v>
      </c>
      <c r="AB24" s="2">
        <f t="shared" si="1"/>
        <v>0</v>
      </c>
      <c r="AC24" s="277">
        <f t="shared" si="2"/>
        <v>0</v>
      </c>
      <c r="AD24" s="277">
        <f t="shared" si="3"/>
        <v>0</v>
      </c>
      <c r="AE24" s="234">
        <f t="shared" si="4"/>
        <v>0</v>
      </c>
      <c r="AF24" s="104">
        <f t="shared" si="5"/>
        <v>0</v>
      </c>
      <c r="AG24" s="279">
        <f t="shared" si="6"/>
        <v>0</v>
      </c>
      <c r="AH24" s="279">
        <f t="shared" si="7"/>
        <v>0</v>
      </c>
      <c r="AI24" s="104">
        <f t="shared" si="8"/>
        <v>0</v>
      </c>
      <c r="AJ24" s="104">
        <f t="shared" si="9"/>
        <v>0</v>
      </c>
      <c r="AK24" s="104">
        <f t="shared" si="10"/>
        <v>0</v>
      </c>
      <c r="AL24" s="104">
        <f t="shared" si="11"/>
        <v>0</v>
      </c>
      <c r="AM24" s="104">
        <f t="shared" si="12"/>
        <v>0</v>
      </c>
      <c r="AN24" s="104">
        <f t="shared" si="13"/>
        <v>0</v>
      </c>
      <c r="AO24" s="104">
        <f t="shared" si="14"/>
        <v>0</v>
      </c>
      <c r="AP24" s="181">
        <f>IF(I24="BB-CFPNT",VLOOKUP(I24,'PAINT LABOR COSTS'!$B$59:$M$61,12,0)*(AB24/144),0)</f>
        <v>0</v>
      </c>
      <c r="AQ24" s="181">
        <f t="shared" si="15"/>
        <v>0</v>
      </c>
      <c r="AR24" s="104">
        <f t="shared" si="16"/>
        <v>0</v>
      </c>
      <c r="AS24" s="104">
        <f t="shared" si="17"/>
        <v>0</v>
      </c>
      <c r="AT24" s="181" cm="1">
        <f t="array" ref="AT24">IF(P24="NO",0,IF(AND(N24&lt;49,$A$4="RETAIL"),'Comp Hardware'!$L$6,IF(AND(N24&gt;48,N24&lt;96,$A$4="RETAIL"),'Comp Hardware'!$L$7,IF(AND(N24&gt;=96,$A$4="RETAIL"),'Comp Hardware'!$L$8,IF(AND(N24&lt;49,$A$4="BLDR"),'Comp Hardware'!$M$6,IF(AND(N24&gt;48,N24&lt;96,$A$4="BLDR"),'Comp Hardware'!$M$7,IF(AND(N24&gt;=96,$A$4="BLDR"),'Comp Hardware'!$M$8,IF(AND(N24&lt;49,$A$4="WHOLE"),'Comp Hardware'!$N$6,IF(AND(N24&gt;48,N24&lt;96,$A$4="WHOLE"),'Comp Hardware'!$N$7,IF(AND(N24&gt;=96,$A$4="WHOLE"),'Comp Hardware'!$N$8,IF(AND(N24&lt;49,$A$4="LCR"),'Comp Hardware'!$N$6,IF(AND(N24&gt;48,N24&lt;96,$A$4="LCR"),'Comp Hardware'!$N$7,IF(AND(N24&gt;=96,$A$4="LCR"),'Comp Hardware'!$N$8,_xludf.na)))))))))))))*F24</f>
        <v>0</v>
      </c>
      <c r="AU24" s="181" cm="1">
        <f t="array" ref="AU24">IF(Q24="NO",0,IF(AND(N24&lt;49,$A$4="RETAIL"),'Comp Hardware'!$G$171,IF(AND(N24&gt;48,N24&lt;96,$A$4="RETAIL"),'Comp Hardware'!$G$171*1.5,IF(AND(N24&gt;=96,$A$4="RETAIL"),'Comp Hardware'!$G$171*2,IF(AND(N24&lt;49,$A$4="BLDR"),'Comp Hardware'!$H$171,IF(AND(N24&gt;48,N24&lt;96,$A$4="BLDR"),'Comp Hardware'!$H$171*1.5,IF(AND(N24&gt;=96,$A$4="BLDR"),'Comp Hardware'!$H$171*2,IF(AND(N24&lt;49,$A$4="WHOLE"),'Comp Hardware'!$I$171,IF(AND(N24&gt;48,N24&lt;96,$A$4="WHOLE"),'Comp Hardware'!$I$171*1.5,IF(AND(N24&gt;=96,$A$4="WHOLE"),'Comp Hardware'!$I$171*2,IF(AND(N24&lt;49,$A$4="LCR"),'Comp Hardware'!$I$171,IF(AND(N24&gt;48,N24&lt;96,$A$4="LCR"),'Comp Hardware'!$I$171*1.5,IF(AND(N24&gt;=96,$A$4="LCR"),'Comp Hardware'!$I$171*2,_xludf.na)))))))))))))*F24</f>
        <v>0</v>
      </c>
      <c r="AV24" s="104">
        <f t="shared" si="18"/>
        <v>0</v>
      </c>
      <c r="AW24" s="104">
        <f t="shared" si="19"/>
        <v>0</v>
      </c>
      <c r="AX24" s="104">
        <f t="shared" si="20"/>
        <v>0</v>
      </c>
      <c r="AY24" s="104">
        <f t="shared" si="21"/>
        <v>0</v>
      </c>
      <c r="AZ24" s="104">
        <f t="shared" si="22"/>
        <v>0</v>
      </c>
      <c r="BA24" s="104">
        <f t="shared" si="23"/>
        <v>0</v>
      </c>
    </row>
    <row r="25" spans="1:53" ht="15.75">
      <c r="A25" s="2">
        <v>16</v>
      </c>
      <c r="B25" s="277">
        <f t="shared" si="24"/>
        <v>0</v>
      </c>
      <c r="C25" s="277">
        <f t="shared" si="25"/>
        <v>0</v>
      </c>
      <c r="D25" s="277">
        <f t="shared" si="26"/>
        <v>0</v>
      </c>
      <c r="E25" s="22">
        <f t="shared" si="27"/>
        <v>0</v>
      </c>
      <c r="F25" s="160"/>
      <c r="G25" s="187"/>
      <c r="H25" s="160"/>
      <c r="I25" s="160"/>
      <c r="J25" s="75" t="str">
        <f>IFERROR(VLOOKUP(I25,'PAINT LABOR COSTS'!$B$59:$C$61,2,FALSE),"Pick Color")</f>
        <v>Pick Color</v>
      </c>
      <c r="K25" s="160"/>
      <c r="L25" s="198">
        <v>0</v>
      </c>
      <c r="M25" s="199">
        <v>0</v>
      </c>
      <c r="N25" s="198">
        <v>0</v>
      </c>
      <c r="O25" s="199">
        <v>0</v>
      </c>
      <c r="P25" s="160" t="s">
        <v>419</v>
      </c>
      <c r="Q25" s="160" t="s">
        <v>419</v>
      </c>
      <c r="R25" s="160" t="s">
        <v>419</v>
      </c>
      <c r="S25" s="160" t="s">
        <v>419</v>
      </c>
      <c r="T25" s="160" t="s">
        <v>419</v>
      </c>
      <c r="U25" s="160" t="s">
        <v>419</v>
      </c>
      <c r="V25" s="160" t="s">
        <v>419</v>
      </c>
      <c r="W25" s="160">
        <v>0</v>
      </c>
      <c r="X25" s="160" t="s">
        <v>419</v>
      </c>
      <c r="Y25" s="160">
        <v>0</v>
      </c>
      <c r="Z25" s="160" t="s">
        <v>419</v>
      </c>
      <c r="AB25" s="2">
        <f t="shared" si="1"/>
        <v>0</v>
      </c>
      <c r="AC25" s="277">
        <f t="shared" si="2"/>
        <v>0</v>
      </c>
      <c r="AD25" s="277">
        <f t="shared" si="3"/>
        <v>0</v>
      </c>
      <c r="AE25" s="234">
        <f t="shared" si="4"/>
        <v>0</v>
      </c>
      <c r="AF25" s="104">
        <f t="shared" si="5"/>
        <v>0</v>
      </c>
      <c r="AG25" s="279">
        <f t="shared" si="6"/>
        <v>0</v>
      </c>
      <c r="AH25" s="279">
        <f t="shared" si="7"/>
        <v>0</v>
      </c>
      <c r="AI25" s="104">
        <f t="shared" si="8"/>
        <v>0</v>
      </c>
      <c r="AJ25" s="104">
        <f t="shared" si="9"/>
        <v>0</v>
      </c>
      <c r="AK25" s="104">
        <f t="shared" si="10"/>
        <v>0</v>
      </c>
      <c r="AL25" s="104">
        <f t="shared" si="11"/>
        <v>0</v>
      </c>
      <c r="AM25" s="104">
        <f t="shared" si="12"/>
        <v>0</v>
      </c>
      <c r="AN25" s="104">
        <f t="shared" si="13"/>
        <v>0</v>
      </c>
      <c r="AO25" s="104">
        <f t="shared" si="14"/>
        <v>0</v>
      </c>
      <c r="AP25" s="181">
        <f>IF(I25="BB-CFPNT",VLOOKUP(I25,'PAINT LABOR COSTS'!$B$59:$M$61,12,0)*(AB25/144),0)</f>
        <v>0</v>
      </c>
      <c r="AQ25" s="181">
        <f t="shared" si="15"/>
        <v>0</v>
      </c>
      <c r="AR25" s="104">
        <f t="shared" si="16"/>
        <v>0</v>
      </c>
      <c r="AS25" s="104">
        <f t="shared" si="17"/>
        <v>0</v>
      </c>
      <c r="AT25" s="181" cm="1">
        <f t="array" ref="AT25">IF(P25="NO",0,IF(AND(N25&lt;49,$A$4="RETAIL"),'Comp Hardware'!$L$6,IF(AND(N25&gt;48,N25&lt;96,$A$4="RETAIL"),'Comp Hardware'!$L$7,IF(AND(N25&gt;=96,$A$4="RETAIL"),'Comp Hardware'!$L$8,IF(AND(N25&lt;49,$A$4="BLDR"),'Comp Hardware'!$M$6,IF(AND(N25&gt;48,N25&lt;96,$A$4="BLDR"),'Comp Hardware'!$M$7,IF(AND(N25&gt;=96,$A$4="BLDR"),'Comp Hardware'!$M$8,IF(AND(N25&lt;49,$A$4="WHOLE"),'Comp Hardware'!$N$6,IF(AND(N25&gt;48,N25&lt;96,$A$4="WHOLE"),'Comp Hardware'!$N$7,IF(AND(N25&gt;=96,$A$4="WHOLE"),'Comp Hardware'!$N$8,IF(AND(N25&lt;49,$A$4="LCR"),'Comp Hardware'!$N$6,IF(AND(N25&gt;48,N25&lt;96,$A$4="LCR"),'Comp Hardware'!$N$7,IF(AND(N25&gt;=96,$A$4="LCR"),'Comp Hardware'!$N$8,_xludf.na)))))))))))))*F25</f>
        <v>0</v>
      </c>
      <c r="AU25" s="181" cm="1">
        <f t="array" ref="AU25">IF(Q25="NO",0,IF(AND(N25&lt;49,$A$4="RETAIL"),'Comp Hardware'!$G$171,IF(AND(N25&gt;48,N25&lt;96,$A$4="RETAIL"),'Comp Hardware'!$G$171*1.5,IF(AND(N25&gt;=96,$A$4="RETAIL"),'Comp Hardware'!$G$171*2,IF(AND(N25&lt;49,$A$4="BLDR"),'Comp Hardware'!$H$171,IF(AND(N25&gt;48,N25&lt;96,$A$4="BLDR"),'Comp Hardware'!$H$171*1.5,IF(AND(N25&gt;=96,$A$4="BLDR"),'Comp Hardware'!$H$171*2,IF(AND(N25&lt;49,$A$4="WHOLE"),'Comp Hardware'!$I$171,IF(AND(N25&gt;48,N25&lt;96,$A$4="WHOLE"),'Comp Hardware'!$I$171*1.5,IF(AND(N25&gt;=96,$A$4="WHOLE"),'Comp Hardware'!$I$171*2,IF(AND(N25&lt;49,$A$4="LCR"),'Comp Hardware'!$I$171,IF(AND(N25&gt;48,N25&lt;96,$A$4="LCR"),'Comp Hardware'!$I$171*1.5,IF(AND(N25&gt;=96,$A$4="LCR"),'Comp Hardware'!$I$171*2,_xludf.na)))))))))))))*F25</f>
        <v>0</v>
      </c>
      <c r="AV25" s="104">
        <f t="shared" si="18"/>
        <v>0</v>
      </c>
      <c r="AW25" s="104">
        <f t="shared" si="19"/>
        <v>0</v>
      </c>
      <c r="AX25" s="104">
        <f t="shared" si="20"/>
        <v>0</v>
      </c>
      <c r="AY25" s="104">
        <f t="shared" si="21"/>
        <v>0</v>
      </c>
      <c r="AZ25" s="104">
        <f t="shared" si="22"/>
        <v>0</v>
      </c>
      <c r="BA25" s="104">
        <f t="shared" si="23"/>
        <v>0</v>
      </c>
    </row>
    <row r="26" spans="1:53" ht="15.75">
      <c r="A26" s="2">
        <v>17</v>
      </c>
      <c r="B26" s="277">
        <f t="shared" si="24"/>
        <v>0</v>
      </c>
      <c r="C26" s="277">
        <f t="shared" si="25"/>
        <v>0</v>
      </c>
      <c r="D26" s="277">
        <f t="shared" si="26"/>
        <v>0</v>
      </c>
      <c r="E26" s="22">
        <f t="shared" si="27"/>
        <v>0</v>
      </c>
      <c r="F26" s="160"/>
      <c r="G26" s="187"/>
      <c r="H26" s="160"/>
      <c r="I26" s="160"/>
      <c r="J26" s="75" t="str">
        <f>IFERROR(VLOOKUP(I26,'PAINT LABOR COSTS'!$B$59:$C$61,2,FALSE),"Pick Color")</f>
        <v>Pick Color</v>
      </c>
      <c r="K26" s="160"/>
      <c r="L26" s="198">
        <v>0</v>
      </c>
      <c r="M26" s="199">
        <v>0</v>
      </c>
      <c r="N26" s="198">
        <v>0</v>
      </c>
      <c r="O26" s="199">
        <v>0</v>
      </c>
      <c r="P26" s="160" t="s">
        <v>419</v>
      </c>
      <c r="Q26" s="160" t="s">
        <v>419</v>
      </c>
      <c r="R26" s="160" t="s">
        <v>419</v>
      </c>
      <c r="S26" s="160" t="s">
        <v>419</v>
      </c>
      <c r="T26" s="160" t="s">
        <v>419</v>
      </c>
      <c r="U26" s="160" t="s">
        <v>419</v>
      </c>
      <c r="V26" s="160" t="s">
        <v>419</v>
      </c>
      <c r="W26" s="160">
        <v>0</v>
      </c>
      <c r="X26" s="160" t="s">
        <v>419</v>
      </c>
      <c r="Y26" s="160">
        <v>0</v>
      </c>
      <c r="Z26" s="160" t="s">
        <v>419</v>
      </c>
      <c r="AB26" s="2">
        <f t="shared" si="1"/>
        <v>0</v>
      </c>
      <c r="AC26" s="277">
        <f t="shared" si="2"/>
        <v>0</v>
      </c>
      <c r="AD26" s="277">
        <f t="shared" si="3"/>
        <v>0</v>
      </c>
      <c r="AE26" s="234">
        <f t="shared" si="4"/>
        <v>0</v>
      </c>
      <c r="AF26" s="104">
        <f t="shared" si="5"/>
        <v>0</v>
      </c>
      <c r="AG26" s="279">
        <f t="shared" si="6"/>
        <v>0</v>
      </c>
      <c r="AH26" s="279">
        <f t="shared" si="7"/>
        <v>0</v>
      </c>
      <c r="AI26" s="104">
        <f t="shared" si="8"/>
        <v>0</v>
      </c>
      <c r="AJ26" s="104">
        <f t="shared" si="9"/>
        <v>0</v>
      </c>
      <c r="AK26" s="104">
        <f t="shared" si="10"/>
        <v>0</v>
      </c>
      <c r="AL26" s="104">
        <f t="shared" si="11"/>
        <v>0</v>
      </c>
      <c r="AM26" s="104">
        <f t="shared" si="12"/>
        <v>0</v>
      </c>
      <c r="AN26" s="104">
        <f t="shared" si="13"/>
        <v>0</v>
      </c>
      <c r="AO26" s="104">
        <f t="shared" si="14"/>
        <v>0</v>
      </c>
      <c r="AP26" s="181">
        <f>IF(I26="BB-CFPNT",VLOOKUP(I26,'PAINT LABOR COSTS'!$B$59:$M$61,12,0)*(AB26/144),0)</f>
        <v>0</v>
      </c>
      <c r="AQ26" s="181">
        <f t="shared" si="15"/>
        <v>0</v>
      </c>
      <c r="AR26" s="104">
        <f t="shared" si="16"/>
        <v>0</v>
      </c>
      <c r="AS26" s="104">
        <f t="shared" si="17"/>
        <v>0</v>
      </c>
      <c r="AT26" s="181" cm="1">
        <f t="array" ref="AT26">IF(P26="NO",0,IF(AND(N26&lt;49,$A$4="RETAIL"),'Comp Hardware'!$L$6,IF(AND(N26&gt;48,N26&lt;96,$A$4="RETAIL"),'Comp Hardware'!$L$7,IF(AND(N26&gt;=96,$A$4="RETAIL"),'Comp Hardware'!$L$8,IF(AND(N26&lt;49,$A$4="BLDR"),'Comp Hardware'!$M$6,IF(AND(N26&gt;48,N26&lt;96,$A$4="BLDR"),'Comp Hardware'!$M$7,IF(AND(N26&gt;=96,$A$4="BLDR"),'Comp Hardware'!$M$8,IF(AND(N26&lt;49,$A$4="WHOLE"),'Comp Hardware'!$N$6,IF(AND(N26&gt;48,N26&lt;96,$A$4="WHOLE"),'Comp Hardware'!$N$7,IF(AND(N26&gt;=96,$A$4="WHOLE"),'Comp Hardware'!$N$8,IF(AND(N26&lt;49,$A$4="LCR"),'Comp Hardware'!$N$6,IF(AND(N26&gt;48,N26&lt;96,$A$4="LCR"),'Comp Hardware'!$N$7,IF(AND(N26&gt;=96,$A$4="LCR"),'Comp Hardware'!$N$8,_xludf.na)))))))))))))*F26</f>
        <v>0</v>
      </c>
      <c r="AU26" s="181" cm="1">
        <f t="array" ref="AU26">IF(Q26="NO",0,IF(AND(N26&lt;49,$A$4="RETAIL"),'Comp Hardware'!$G$171,IF(AND(N26&gt;48,N26&lt;96,$A$4="RETAIL"),'Comp Hardware'!$G$171*1.5,IF(AND(N26&gt;=96,$A$4="RETAIL"),'Comp Hardware'!$G$171*2,IF(AND(N26&lt;49,$A$4="BLDR"),'Comp Hardware'!$H$171,IF(AND(N26&gt;48,N26&lt;96,$A$4="BLDR"),'Comp Hardware'!$H$171*1.5,IF(AND(N26&gt;=96,$A$4="BLDR"),'Comp Hardware'!$H$171*2,IF(AND(N26&lt;49,$A$4="WHOLE"),'Comp Hardware'!$I$171,IF(AND(N26&gt;48,N26&lt;96,$A$4="WHOLE"),'Comp Hardware'!$I$171*1.5,IF(AND(N26&gt;=96,$A$4="WHOLE"),'Comp Hardware'!$I$171*2,IF(AND(N26&lt;49,$A$4="LCR"),'Comp Hardware'!$I$171,IF(AND(N26&gt;48,N26&lt;96,$A$4="LCR"),'Comp Hardware'!$I$171*1.5,IF(AND(N26&gt;=96,$A$4="LCR"),'Comp Hardware'!$I$171*2,_xludf.na)))))))))))))*F26</f>
        <v>0</v>
      </c>
      <c r="AV26" s="104">
        <f t="shared" si="18"/>
        <v>0</v>
      </c>
      <c r="AW26" s="104">
        <f t="shared" si="19"/>
        <v>0</v>
      </c>
      <c r="AX26" s="104">
        <f t="shared" si="20"/>
        <v>0</v>
      </c>
      <c r="AY26" s="104">
        <f t="shared" si="21"/>
        <v>0</v>
      </c>
      <c r="AZ26" s="104">
        <f t="shared" si="22"/>
        <v>0</v>
      </c>
      <c r="BA26" s="104">
        <f t="shared" si="23"/>
        <v>0</v>
      </c>
    </row>
    <row r="27" spans="1:53" ht="15.75">
      <c r="A27" s="2">
        <v>18</v>
      </c>
      <c r="B27" s="277">
        <f t="shared" si="24"/>
        <v>0</v>
      </c>
      <c r="C27" s="277">
        <f t="shared" si="25"/>
        <v>0</v>
      </c>
      <c r="D27" s="277">
        <f t="shared" si="26"/>
        <v>0</v>
      </c>
      <c r="E27" s="22">
        <f t="shared" si="27"/>
        <v>0</v>
      </c>
      <c r="F27" s="160"/>
      <c r="G27" s="187"/>
      <c r="H27" s="160"/>
      <c r="I27" s="160"/>
      <c r="J27" s="75" t="str">
        <f>IFERROR(VLOOKUP(I27,'PAINT LABOR COSTS'!$B$59:$C$61,2,FALSE),"Pick Color")</f>
        <v>Pick Color</v>
      </c>
      <c r="K27" s="160"/>
      <c r="L27" s="198">
        <v>0</v>
      </c>
      <c r="M27" s="199">
        <v>0</v>
      </c>
      <c r="N27" s="198">
        <v>0</v>
      </c>
      <c r="O27" s="199">
        <v>0</v>
      </c>
      <c r="P27" s="160" t="s">
        <v>419</v>
      </c>
      <c r="Q27" s="160" t="s">
        <v>419</v>
      </c>
      <c r="R27" s="160" t="s">
        <v>419</v>
      </c>
      <c r="S27" s="160" t="s">
        <v>419</v>
      </c>
      <c r="T27" s="160" t="s">
        <v>419</v>
      </c>
      <c r="U27" s="160" t="s">
        <v>419</v>
      </c>
      <c r="V27" s="160" t="s">
        <v>419</v>
      </c>
      <c r="W27" s="160">
        <v>0</v>
      </c>
      <c r="X27" s="160" t="s">
        <v>419</v>
      </c>
      <c r="Y27" s="160">
        <v>0</v>
      </c>
      <c r="Z27" s="160" t="s">
        <v>419</v>
      </c>
      <c r="AB27" s="2">
        <f t="shared" si="1"/>
        <v>0</v>
      </c>
      <c r="AC27" s="277">
        <f t="shared" si="2"/>
        <v>0</v>
      </c>
      <c r="AD27" s="277">
        <f t="shared" si="3"/>
        <v>0</v>
      </c>
      <c r="AE27" s="234">
        <f t="shared" si="4"/>
        <v>0</v>
      </c>
      <c r="AF27" s="104">
        <f t="shared" si="5"/>
        <v>0</v>
      </c>
      <c r="AG27" s="279">
        <f t="shared" si="6"/>
        <v>0</v>
      </c>
      <c r="AH27" s="279">
        <f t="shared" si="7"/>
        <v>0</v>
      </c>
      <c r="AI27" s="104">
        <f t="shared" si="8"/>
        <v>0</v>
      </c>
      <c r="AJ27" s="104">
        <f t="shared" si="9"/>
        <v>0</v>
      </c>
      <c r="AK27" s="104">
        <f t="shared" si="10"/>
        <v>0</v>
      </c>
      <c r="AL27" s="104">
        <f t="shared" si="11"/>
        <v>0</v>
      </c>
      <c r="AM27" s="104">
        <f t="shared" si="12"/>
        <v>0</v>
      </c>
      <c r="AN27" s="104">
        <f t="shared" si="13"/>
        <v>0</v>
      </c>
      <c r="AO27" s="104">
        <f t="shared" si="14"/>
        <v>0</v>
      </c>
      <c r="AP27" s="181">
        <f>IF(I27="BB-CFPNT",VLOOKUP(I27,'PAINT LABOR COSTS'!$B$59:$M$61,12,0)*(AB27/144),0)</f>
        <v>0</v>
      </c>
      <c r="AQ27" s="181">
        <f t="shared" si="15"/>
        <v>0</v>
      </c>
      <c r="AR27" s="104">
        <f t="shared" si="16"/>
        <v>0</v>
      </c>
      <c r="AS27" s="104">
        <f t="shared" si="17"/>
        <v>0</v>
      </c>
      <c r="AT27" s="181" cm="1">
        <f t="array" ref="AT27">IF(P27="NO",0,IF(AND(N27&lt;49,$A$4="RETAIL"),'Comp Hardware'!$L$6,IF(AND(N27&gt;48,N27&lt;96,$A$4="RETAIL"),'Comp Hardware'!$L$7,IF(AND(N27&gt;=96,$A$4="RETAIL"),'Comp Hardware'!$L$8,IF(AND(N27&lt;49,$A$4="BLDR"),'Comp Hardware'!$M$6,IF(AND(N27&gt;48,N27&lt;96,$A$4="BLDR"),'Comp Hardware'!$M$7,IF(AND(N27&gt;=96,$A$4="BLDR"),'Comp Hardware'!$M$8,IF(AND(N27&lt;49,$A$4="WHOLE"),'Comp Hardware'!$N$6,IF(AND(N27&gt;48,N27&lt;96,$A$4="WHOLE"),'Comp Hardware'!$N$7,IF(AND(N27&gt;=96,$A$4="WHOLE"),'Comp Hardware'!$N$8,IF(AND(N27&lt;49,$A$4="LCR"),'Comp Hardware'!$N$6,IF(AND(N27&gt;48,N27&lt;96,$A$4="LCR"),'Comp Hardware'!$N$7,IF(AND(N27&gt;=96,$A$4="LCR"),'Comp Hardware'!$N$8,_xludf.na)))))))))))))*F27</f>
        <v>0</v>
      </c>
      <c r="AU27" s="181" cm="1">
        <f t="array" ref="AU27">IF(Q27="NO",0,IF(AND(N27&lt;49,$A$4="RETAIL"),'Comp Hardware'!$G$171,IF(AND(N27&gt;48,N27&lt;96,$A$4="RETAIL"),'Comp Hardware'!$G$171*1.5,IF(AND(N27&gt;=96,$A$4="RETAIL"),'Comp Hardware'!$G$171*2,IF(AND(N27&lt;49,$A$4="BLDR"),'Comp Hardware'!$H$171,IF(AND(N27&gt;48,N27&lt;96,$A$4="BLDR"),'Comp Hardware'!$H$171*1.5,IF(AND(N27&gt;=96,$A$4="BLDR"),'Comp Hardware'!$H$171*2,IF(AND(N27&lt;49,$A$4="WHOLE"),'Comp Hardware'!$I$171,IF(AND(N27&gt;48,N27&lt;96,$A$4="WHOLE"),'Comp Hardware'!$I$171*1.5,IF(AND(N27&gt;=96,$A$4="WHOLE"),'Comp Hardware'!$I$171*2,IF(AND(N27&lt;49,$A$4="LCR"),'Comp Hardware'!$I$171,IF(AND(N27&gt;48,N27&lt;96,$A$4="LCR"),'Comp Hardware'!$I$171*1.5,IF(AND(N27&gt;=96,$A$4="LCR"),'Comp Hardware'!$I$171*2,_xludf.na)))))))))))))*F27</f>
        <v>0</v>
      </c>
      <c r="AV27" s="104">
        <f t="shared" si="18"/>
        <v>0</v>
      </c>
      <c r="AW27" s="104">
        <f t="shared" si="19"/>
        <v>0</v>
      </c>
      <c r="AX27" s="104">
        <f t="shared" si="20"/>
        <v>0</v>
      </c>
      <c r="AY27" s="104">
        <f t="shared" si="21"/>
        <v>0</v>
      </c>
      <c r="AZ27" s="104">
        <f t="shared" si="22"/>
        <v>0</v>
      </c>
      <c r="BA27" s="104">
        <f t="shared" si="23"/>
        <v>0</v>
      </c>
    </row>
    <row r="28" spans="1:53" ht="15.75">
      <c r="A28" s="2">
        <v>19</v>
      </c>
      <c r="B28" s="277">
        <f t="shared" si="24"/>
        <v>0</v>
      </c>
      <c r="C28" s="277">
        <f t="shared" si="25"/>
        <v>0</v>
      </c>
      <c r="D28" s="277">
        <f t="shared" si="26"/>
        <v>0</v>
      </c>
      <c r="E28" s="22">
        <f t="shared" si="27"/>
        <v>0</v>
      </c>
      <c r="F28" s="160"/>
      <c r="G28" s="187"/>
      <c r="H28" s="160"/>
      <c r="I28" s="160"/>
      <c r="J28" s="75" t="str">
        <f>IFERROR(VLOOKUP(I28,'PAINT LABOR COSTS'!$B$59:$C$61,2,FALSE),"Pick Color")</f>
        <v>Pick Color</v>
      </c>
      <c r="K28" s="160"/>
      <c r="L28" s="198">
        <v>0</v>
      </c>
      <c r="M28" s="199">
        <v>0</v>
      </c>
      <c r="N28" s="198">
        <v>0</v>
      </c>
      <c r="O28" s="199">
        <v>0</v>
      </c>
      <c r="P28" s="160" t="s">
        <v>419</v>
      </c>
      <c r="Q28" s="160" t="s">
        <v>419</v>
      </c>
      <c r="R28" s="160" t="s">
        <v>419</v>
      </c>
      <c r="S28" s="160" t="s">
        <v>419</v>
      </c>
      <c r="T28" s="160" t="s">
        <v>419</v>
      </c>
      <c r="U28" s="160" t="s">
        <v>419</v>
      </c>
      <c r="V28" s="160" t="s">
        <v>419</v>
      </c>
      <c r="W28" s="160">
        <v>0</v>
      </c>
      <c r="X28" s="160" t="s">
        <v>419</v>
      </c>
      <c r="Y28" s="160">
        <v>0</v>
      </c>
      <c r="Z28" s="160" t="s">
        <v>419</v>
      </c>
      <c r="AB28" s="2">
        <f t="shared" si="1"/>
        <v>0</v>
      </c>
      <c r="AC28" s="277">
        <f t="shared" si="2"/>
        <v>0</v>
      </c>
      <c r="AD28" s="277">
        <f t="shared" si="3"/>
        <v>0</v>
      </c>
      <c r="AE28" s="234">
        <f t="shared" si="4"/>
        <v>0</v>
      </c>
      <c r="AF28" s="104">
        <f t="shared" si="5"/>
        <v>0</v>
      </c>
      <c r="AG28" s="279">
        <f t="shared" si="6"/>
        <v>0</v>
      </c>
      <c r="AH28" s="279">
        <f t="shared" si="7"/>
        <v>0</v>
      </c>
      <c r="AI28" s="104">
        <f t="shared" si="8"/>
        <v>0</v>
      </c>
      <c r="AJ28" s="104">
        <f t="shared" si="9"/>
        <v>0</v>
      </c>
      <c r="AK28" s="104">
        <f t="shared" si="10"/>
        <v>0</v>
      </c>
      <c r="AL28" s="104">
        <f t="shared" si="11"/>
        <v>0</v>
      </c>
      <c r="AM28" s="104">
        <f t="shared" si="12"/>
        <v>0</v>
      </c>
      <c r="AN28" s="104">
        <f t="shared" si="13"/>
        <v>0</v>
      </c>
      <c r="AO28" s="104">
        <f t="shared" si="14"/>
        <v>0</v>
      </c>
      <c r="AP28" s="181">
        <f>IF(I28="BB-CFPNT",VLOOKUP(I28,'PAINT LABOR COSTS'!$B$59:$M$61,12,0)*(AB28/144),0)</f>
        <v>0</v>
      </c>
      <c r="AQ28" s="181">
        <f t="shared" si="15"/>
        <v>0</v>
      </c>
      <c r="AR28" s="104">
        <f t="shared" si="16"/>
        <v>0</v>
      </c>
      <c r="AS28" s="104">
        <f t="shared" si="17"/>
        <v>0</v>
      </c>
      <c r="AT28" s="181" cm="1">
        <f t="array" ref="AT28">IF(P28="NO",0,IF(AND(N28&lt;49,$A$4="RETAIL"),'Comp Hardware'!$L$6,IF(AND(N28&gt;48,N28&lt;96,$A$4="RETAIL"),'Comp Hardware'!$L$7,IF(AND(N28&gt;=96,$A$4="RETAIL"),'Comp Hardware'!$L$8,IF(AND(N28&lt;49,$A$4="BLDR"),'Comp Hardware'!$M$6,IF(AND(N28&gt;48,N28&lt;96,$A$4="BLDR"),'Comp Hardware'!$M$7,IF(AND(N28&gt;=96,$A$4="BLDR"),'Comp Hardware'!$M$8,IF(AND(N28&lt;49,$A$4="WHOLE"),'Comp Hardware'!$N$6,IF(AND(N28&gt;48,N28&lt;96,$A$4="WHOLE"),'Comp Hardware'!$N$7,IF(AND(N28&gt;=96,$A$4="WHOLE"),'Comp Hardware'!$N$8,IF(AND(N28&lt;49,$A$4="LCR"),'Comp Hardware'!$N$6,IF(AND(N28&gt;48,N28&lt;96,$A$4="LCR"),'Comp Hardware'!$N$7,IF(AND(N28&gt;=96,$A$4="LCR"),'Comp Hardware'!$N$8,_xludf.na)))))))))))))*F28</f>
        <v>0</v>
      </c>
      <c r="AU28" s="181" cm="1">
        <f t="array" ref="AU28">IF(Q28="NO",0,IF(AND(N28&lt;49,$A$4="RETAIL"),'Comp Hardware'!$G$171,IF(AND(N28&gt;48,N28&lt;96,$A$4="RETAIL"),'Comp Hardware'!$G$171*1.5,IF(AND(N28&gt;=96,$A$4="RETAIL"),'Comp Hardware'!$G$171*2,IF(AND(N28&lt;49,$A$4="BLDR"),'Comp Hardware'!$H$171,IF(AND(N28&gt;48,N28&lt;96,$A$4="BLDR"),'Comp Hardware'!$H$171*1.5,IF(AND(N28&gt;=96,$A$4="BLDR"),'Comp Hardware'!$H$171*2,IF(AND(N28&lt;49,$A$4="WHOLE"),'Comp Hardware'!$I$171,IF(AND(N28&gt;48,N28&lt;96,$A$4="WHOLE"),'Comp Hardware'!$I$171*1.5,IF(AND(N28&gt;=96,$A$4="WHOLE"),'Comp Hardware'!$I$171*2,IF(AND(N28&lt;49,$A$4="LCR"),'Comp Hardware'!$I$171,IF(AND(N28&gt;48,N28&lt;96,$A$4="LCR"),'Comp Hardware'!$I$171*1.5,IF(AND(N28&gt;=96,$A$4="LCR"),'Comp Hardware'!$I$171*2,_xludf.na)))))))))))))*F28</f>
        <v>0</v>
      </c>
      <c r="AV28" s="104">
        <f t="shared" si="18"/>
        <v>0</v>
      </c>
      <c r="AW28" s="104">
        <f t="shared" si="19"/>
        <v>0</v>
      </c>
      <c r="AX28" s="104">
        <f t="shared" si="20"/>
        <v>0</v>
      </c>
      <c r="AY28" s="104">
        <f t="shared" si="21"/>
        <v>0</v>
      </c>
      <c r="AZ28" s="104">
        <f t="shared" si="22"/>
        <v>0</v>
      </c>
      <c r="BA28" s="104">
        <f t="shared" si="23"/>
        <v>0</v>
      </c>
    </row>
    <row r="29" spans="1:53" ht="15.75">
      <c r="A29" s="2">
        <v>20</v>
      </c>
      <c r="B29" s="277">
        <f t="shared" si="24"/>
        <v>0</v>
      </c>
      <c r="C29" s="277">
        <f t="shared" si="25"/>
        <v>0</v>
      </c>
      <c r="D29" s="277">
        <f t="shared" si="26"/>
        <v>0</v>
      </c>
      <c r="E29" s="22">
        <f t="shared" si="27"/>
        <v>0</v>
      </c>
      <c r="F29" s="160"/>
      <c r="G29" s="187"/>
      <c r="H29" s="160"/>
      <c r="I29" s="160"/>
      <c r="J29" s="75" t="str">
        <f>IFERROR(VLOOKUP(I29,'PAINT LABOR COSTS'!$B$59:$C$61,2,FALSE),"Pick Color")</f>
        <v>Pick Color</v>
      </c>
      <c r="K29" s="160"/>
      <c r="L29" s="198">
        <v>0</v>
      </c>
      <c r="M29" s="199">
        <v>0</v>
      </c>
      <c r="N29" s="198">
        <v>0</v>
      </c>
      <c r="O29" s="199">
        <v>0</v>
      </c>
      <c r="P29" s="160" t="s">
        <v>419</v>
      </c>
      <c r="Q29" s="160" t="s">
        <v>419</v>
      </c>
      <c r="R29" s="160" t="s">
        <v>419</v>
      </c>
      <c r="S29" s="160" t="s">
        <v>419</v>
      </c>
      <c r="T29" s="160" t="s">
        <v>419</v>
      </c>
      <c r="U29" s="160" t="s">
        <v>419</v>
      </c>
      <c r="V29" s="160" t="s">
        <v>419</v>
      </c>
      <c r="W29" s="160">
        <v>0</v>
      </c>
      <c r="X29" s="160" t="s">
        <v>419</v>
      </c>
      <c r="Y29" s="160">
        <v>0</v>
      </c>
      <c r="Z29" s="160" t="s">
        <v>419</v>
      </c>
      <c r="AB29" s="2">
        <f t="shared" si="1"/>
        <v>0</v>
      </c>
      <c r="AC29" s="277">
        <f t="shared" si="2"/>
        <v>0</v>
      </c>
      <c r="AD29" s="277">
        <f t="shared" si="3"/>
        <v>0</v>
      </c>
      <c r="AE29" s="234">
        <f t="shared" si="4"/>
        <v>0</v>
      </c>
      <c r="AF29" s="104">
        <f t="shared" si="5"/>
        <v>0</v>
      </c>
      <c r="AG29" s="279">
        <f t="shared" si="6"/>
        <v>0</v>
      </c>
      <c r="AH29" s="279">
        <f t="shared" si="7"/>
        <v>0</v>
      </c>
      <c r="AI29" s="104">
        <f t="shared" si="8"/>
        <v>0</v>
      </c>
      <c r="AJ29" s="104">
        <f t="shared" si="9"/>
        <v>0</v>
      </c>
      <c r="AK29" s="104">
        <f t="shared" si="10"/>
        <v>0</v>
      </c>
      <c r="AL29" s="104">
        <f t="shared" si="11"/>
        <v>0</v>
      </c>
      <c r="AM29" s="104">
        <f t="shared" si="12"/>
        <v>0</v>
      </c>
      <c r="AN29" s="104">
        <f t="shared" si="13"/>
        <v>0</v>
      </c>
      <c r="AO29" s="104">
        <f t="shared" si="14"/>
        <v>0</v>
      </c>
      <c r="AP29" s="181">
        <f>IF(I29="BB-CFPNT",VLOOKUP(I29,'PAINT LABOR COSTS'!$B$59:$M$61,12,0)*(AB29/144),0)</f>
        <v>0</v>
      </c>
      <c r="AQ29" s="181">
        <f t="shared" si="15"/>
        <v>0</v>
      </c>
      <c r="AR29" s="104">
        <f t="shared" si="16"/>
        <v>0</v>
      </c>
      <c r="AS29" s="104">
        <f t="shared" si="17"/>
        <v>0</v>
      </c>
      <c r="AT29" s="181" cm="1">
        <f t="array" ref="AT29">IF(P29="NO",0,IF(AND(N29&lt;49,$A$4="RETAIL"),'Comp Hardware'!$L$6,IF(AND(N29&gt;48,N29&lt;96,$A$4="RETAIL"),'Comp Hardware'!$L$7,IF(AND(N29&gt;=96,$A$4="RETAIL"),'Comp Hardware'!$L$8,IF(AND(N29&lt;49,$A$4="BLDR"),'Comp Hardware'!$M$6,IF(AND(N29&gt;48,N29&lt;96,$A$4="BLDR"),'Comp Hardware'!$M$7,IF(AND(N29&gt;=96,$A$4="BLDR"),'Comp Hardware'!$M$8,IF(AND(N29&lt;49,$A$4="WHOLE"),'Comp Hardware'!$N$6,IF(AND(N29&gt;48,N29&lt;96,$A$4="WHOLE"),'Comp Hardware'!$N$7,IF(AND(N29&gt;=96,$A$4="WHOLE"),'Comp Hardware'!$N$8,IF(AND(N29&lt;49,$A$4="LCR"),'Comp Hardware'!$N$6,IF(AND(N29&gt;48,N29&lt;96,$A$4="LCR"),'Comp Hardware'!$N$7,IF(AND(N29&gt;=96,$A$4="LCR"),'Comp Hardware'!$N$8,_xludf.na)))))))))))))*F29</f>
        <v>0</v>
      </c>
      <c r="AU29" s="181" cm="1">
        <f t="array" ref="AU29">IF(Q29="NO",0,IF(AND(N29&lt;49,$A$4="RETAIL"),'Comp Hardware'!$G$171,IF(AND(N29&gt;48,N29&lt;96,$A$4="RETAIL"),'Comp Hardware'!$G$171*1.5,IF(AND(N29&gt;=96,$A$4="RETAIL"),'Comp Hardware'!$G$171*2,IF(AND(N29&lt;49,$A$4="BLDR"),'Comp Hardware'!$H$171,IF(AND(N29&gt;48,N29&lt;96,$A$4="BLDR"),'Comp Hardware'!$H$171*1.5,IF(AND(N29&gt;=96,$A$4="BLDR"),'Comp Hardware'!$H$171*2,IF(AND(N29&lt;49,$A$4="WHOLE"),'Comp Hardware'!$I$171,IF(AND(N29&gt;48,N29&lt;96,$A$4="WHOLE"),'Comp Hardware'!$I$171*1.5,IF(AND(N29&gt;=96,$A$4="WHOLE"),'Comp Hardware'!$I$171*2,IF(AND(N29&lt;49,$A$4="LCR"),'Comp Hardware'!$I$171,IF(AND(N29&gt;48,N29&lt;96,$A$4="LCR"),'Comp Hardware'!$I$171*1.5,IF(AND(N29&gt;=96,$A$4="LCR"),'Comp Hardware'!$I$171*2,_xludf.na)))))))))))))*F29</f>
        <v>0</v>
      </c>
      <c r="AV29" s="104">
        <f t="shared" si="18"/>
        <v>0</v>
      </c>
      <c r="AW29" s="104">
        <f t="shared" si="19"/>
        <v>0</v>
      </c>
      <c r="AX29" s="104">
        <f t="shared" si="20"/>
        <v>0</v>
      </c>
      <c r="AY29" s="104">
        <f t="shared" si="21"/>
        <v>0</v>
      </c>
      <c r="AZ29" s="104">
        <f t="shared" si="22"/>
        <v>0</v>
      </c>
      <c r="BA29" s="104">
        <f t="shared" si="23"/>
        <v>0</v>
      </c>
    </row>
    <row r="30" spans="1:53" ht="15.75">
      <c r="A30" s="2">
        <v>21</v>
      </c>
      <c r="B30" s="277">
        <f t="shared" si="24"/>
        <v>0</v>
      </c>
      <c r="C30" s="277">
        <f t="shared" si="25"/>
        <v>0</v>
      </c>
      <c r="D30" s="277">
        <f t="shared" si="26"/>
        <v>0</v>
      </c>
      <c r="E30" s="22">
        <f t="shared" si="27"/>
        <v>0</v>
      </c>
      <c r="F30" s="160"/>
      <c r="G30" s="187"/>
      <c r="H30" s="160"/>
      <c r="I30" s="160"/>
      <c r="J30" s="75" t="str">
        <f>IFERROR(VLOOKUP(I30,'PAINT LABOR COSTS'!$B$59:$C$61,2,FALSE),"Pick Color")</f>
        <v>Pick Color</v>
      </c>
      <c r="K30" s="160"/>
      <c r="L30" s="198">
        <v>0</v>
      </c>
      <c r="M30" s="199">
        <v>0</v>
      </c>
      <c r="N30" s="198">
        <v>0</v>
      </c>
      <c r="O30" s="199">
        <v>0</v>
      </c>
      <c r="P30" s="160" t="s">
        <v>419</v>
      </c>
      <c r="Q30" s="160" t="s">
        <v>419</v>
      </c>
      <c r="R30" s="160" t="s">
        <v>419</v>
      </c>
      <c r="S30" s="160" t="s">
        <v>419</v>
      </c>
      <c r="T30" s="160" t="s">
        <v>419</v>
      </c>
      <c r="U30" s="160" t="s">
        <v>419</v>
      </c>
      <c r="V30" s="160" t="s">
        <v>419</v>
      </c>
      <c r="W30" s="160">
        <v>0</v>
      </c>
      <c r="X30" s="160" t="s">
        <v>419</v>
      </c>
      <c r="Y30" s="160">
        <v>0</v>
      </c>
      <c r="Z30" s="160" t="s">
        <v>419</v>
      </c>
      <c r="AB30" s="2">
        <f t="shared" si="1"/>
        <v>0</v>
      </c>
      <c r="AC30" s="277">
        <f t="shared" si="2"/>
        <v>0</v>
      </c>
      <c r="AD30" s="277">
        <f t="shared" si="3"/>
        <v>0</v>
      </c>
      <c r="AE30" s="234">
        <f t="shared" si="4"/>
        <v>0</v>
      </c>
      <c r="AF30" s="104">
        <f t="shared" si="5"/>
        <v>0</v>
      </c>
      <c r="AG30" s="279">
        <f t="shared" si="6"/>
        <v>0</v>
      </c>
      <c r="AH30" s="279">
        <f t="shared" si="7"/>
        <v>0</v>
      </c>
      <c r="AI30" s="104">
        <f t="shared" si="8"/>
        <v>0</v>
      </c>
      <c r="AJ30" s="104">
        <f t="shared" si="9"/>
        <v>0</v>
      </c>
      <c r="AK30" s="104">
        <f t="shared" si="10"/>
        <v>0</v>
      </c>
      <c r="AL30" s="104">
        <f t="shared" si="11"/>
        <v>0</v>
      </c>
      <c r="AM30" s="104">
        <f t="shared" si="12"/>
        <v>0</v>
      </c>
      <c r="AN30" s="104">
        <f t="shared" si="13"/>
        <v>0</v>
      </c>
      <c r="AO30" s="104">
        <f t="shared" si="14"/>
        <v>0</v>
      </c>
      <c r="AP30" s="181">
        <f>IF(I30="BB-CFPNT",VLOOKUP(I30,'PAINT LABOR COSTS'!$B$59:$M$61,12,0)*(AB30/144),0)</f>
        <v>0</v>
      </c>
      <c r="AQ30" s="181">
        <f t="shared" si="15"/>
        <v>0</v>
      </c>
      <c r="AR30" s="104">
        <f t="shared" si="16"/>
        <v>0</v>
      </c>
      <c r="AS30" s="104">
        <f t="shared" si="17"/>
        <v>0</v>
      </c>
      <c r="AT30" s="181" cm="1">
        <f t="array" ref="AT30">IF(P30="NO",0,IF(AND(N30&lt;49,$A$4="RETAIL"),'Comp Hardware'!$L$6,IF(AND(N30&gt;48,N30&lt;96,$A$4="RETAIL"),'Comp Hardware'!$L$7,IF(AND(N30&gt;=96,$A$4="RETAIL"),'Comp Hardware'!$L$8,IF(AND(N30&lt;49,$A$4="BLDR"),'Comp Hardware'!$M$6,IF(AND(N30&gt;48,N30&lt;96,$A$4="BLDR"),'Comp Hardware'!$M$7,IF(AND(N30&gt;=96,$A$4="BLDR"),'Comp Hardware'!$M$8,IF(AND(N30&lt;49,$A$4="WHOLE"),'Comp Hardware'!$N$6,IF(AND(N30&gt;48,N30&lt;96,$A$4="WHOLE"),'Comp Hardware'!$N$7,IF(AND(N30&gt;=96,$A$4="WHOLE"),'Comp Hardware'!$N$8,IF(AND(N30&lt;49,$A$4="LCR"),'Comp Hardware'!$N$6,IF(AND(N30&gt;48,N30&lt;96,$A$4="LCR"),'Comp Hardware'!$N$7,IF(AND(N30&gt;=96,$A$4="LCR"),'Comp Hardware'!$N$8,_xludf.na)))))))))))))*F30</f>
        <v>0</v>
      </c>
      <c r="AU30" s="181" cm="1">
        <f t="array" ref="AU30">IF(Q30="NO",0,IF(AND(N30&lt;49,$A$4="RETAIL"),'Comp Hardware'!$G$171,IF(AND(N30&gt;48,N30&lt;96,$A$4="RETAIL"),'Comp Hardware'!$G$171*1.5,IF(AND(N30&gt;=96,$A$4="RETAIL"),'Comp Hardware'!$G$171*2,IF(AND(N30&lt;49,$A$4="BLDR"),'Comp Hardware'!$H$171,IF(AND(N30&gt;48,N30&lt;96,$A$4="BLDR"),'Comp Hardware'!$H$171*1.5,IF(AND(N30&gt;=96,$A$4="BLDR"),'Comp Hardware'!$H$171*2,IF(AND(N30&lt;49,$A$4="WHOLE"),'Comp Hardware'!$I$171,IF(AND(N30&gt;48,N30&lt;96,$A$4="WHOLE"),'Comp Hardware'!$I$171*1.5,IF(AND(N30&gt;=96,$A$4="WHOLE"),'Comp Hardware'!$I$171*2,IF(AND(N30&lt;49,$A$4="LCR"),'Comp Hardware'!$I$171,IF(AND(N30&gt;48,N30&lt;96,$A$4="LCR"),'Comp Hardware'!$I$171*1.5,IF(AND(N30&gt;=96,$A$4="LCR"),'Comp Hardware'!$I$171*2,_xludf.na)))))))))))))*F30</f>
        <v>0</v>
      </c>
      <c r="AV30" s="104">
        <f t="shared" si="18"/>
        <v>0</v>
      </c>
      <c r="AW30" s="104">
        <f t="shared" si="19"/>
        <v>0</v>
      </c>
      <c r="AX30" s="104">
        <f t="shared" si="20"/>
        <v>0</v>
      </c>
      <c r="AY30" s="104">
        <f t="shared" si="21"/>
        <v>0</v>
      </c>
      <c r="AZ30" s="104">
        <f t="shared" si="22"/>
        <v>0</v>
      </c>
      <c r="BA30" s="104">
        <f t="shared" si="23"/>
        <v>0</v>
      </c>
    </row>
    <row r="31" spans="1:53">
      <c r="A31" s="2">
        <v>22</v>
      </c>
      <c r="B31" s="277">
        <f t="shared" si="24"/>
        <v>0</v>
      </c>
      <c r="C31" s="277">
        <f t="shared" si="25"/>
        <v>0</v>
      </c>
      <c r="D31" s="277">
        <f t="shared" si="26"/>
        <v>0</v>
      </c>
      <c r="E31" s="22">
        <f t="shared" si="27"/>
        <v>0</v>
      </c>
      <c r="F31" s="160"/>
      <c r="G31" s="160"/>
      <c r="H31" s="160"/>
      <c r="I31" s="160"/>
      <c r="J31" s="75" t="str">
        <f>IFERROR(VLOOKUP(I31,'PAINT LABOR COSTS'!$B$59:$C$61,2,FALSE),"Pick Color")</f>
        <v>Pick Color</v>
      </c>
      <c r="K31" s="160"/>
      <c r="L31" s="198">
        <v>0</v>
      </c>
      <c r="M31" s="199">
        <v>0</v>
      </c>
      <c r="N31" s="198">
        <v>0</v>
      </c>
      <c r="O31" s="199">
        <v>0</v>
      </c>
      <c r="P31" s="160" t="s">
        <v>419</v>
      </c>
      <c r="Q31" s="160" t="s">
        <v>419</v>
      </c>
      <c r="R31" s="160" t="s">
        <v>419</v>
      </c>
      <c r="S31" s="160" t="s">
        <v>419</v>
      </c>
      <c r="T31" s="160" t="s">
        <v>419</v>
      </c>
      <c r="U31" s="160" t="s">
        <v>419</v>
      </c>
      <c r="V31" s="160" t="s">
        <v>419</v>
      </c>
      <c r="W31" s="160">
        <v>0</v>
      </c>
      <c r="X31" s="160" t="s">
        <v>419</v>
      </c>
      <c r="Y31" s="160">
        <v>0</v>
      </c>
      <c r="Z31" s="160" t="s">
        <v>419</v>
      </c>
      <c r="AB31" s="2">
        <f t="shared" si="1"/>
        <v>0</v>
      </c>
      <c r="AC31" s="277">
        <f t="shared" si="2"/>
        <v>0</v>
      </c>
      <c r="AD31" s="277">
        <f t="shared" si="3"/>
        <v>0</v>
      </c>
      <c r="AE31" s="234">
        <f t="shared" si="4"/>
        <v>0</v>
      </c>
      <c r="AF31" s="104">
        <f t="shared" si="5"/>
        <v>0</v>
      </c>
      <c r="AG31" s="279">
        <f t="shared" si="6"/>
        <v>0</v>
      </c>
      <c r="AH31" s="279">
        <f t="shared" si="7"/>
        <v>0</v>
      </c>
      <c r="AI31" s="104">
        <f t="shared" si="8"/>
        <v>0</v>
      </c>
      <c r="AJ31" s="104">
        <f t="shared" si="9"/>
        <v>0</v>
      </c>
      <c r="AK31" s="104">
        <f t="shared" si="10"/>
        <v>0</v>
      </c>
      <c r="AL31" s="104">
        <f t="shared" si="11"/>
        <v>0</v>
      </c>
      <c r="AM31" s="104">
        <f t="shared" si="12"/>
        <v>0</v>
      </c>
      <c r="AN31" s="104">
        <f t="shared" si="13"/>
        <v>0</v>
      </c>
      <c r="AO31" s="104">
        <f t="shared" si="14"/>
        <v>0</v>
      </c>
      <c r="AP31" s="181">
        <f>IF(I31="BB-CFPNT",VLOOKUP(I31,'PAINT LABOR COSTS'!$B$59:$M$61,12,0)*(AB31/144),0)</f>
        <v>0</v>
      </c>
      <c r="AQ31" s="181">
        <f t="shared" si="15"/>
        <v>0</v>
      </c>
      <c r="AR31" s="104">
        <f t="shared" si="16"/>
        <v>0</v>
      </c>
      <c r="AS31" s="104">
        <f t="shared" si="17"/>
        <v>0</v>
      </c>
      <c r="AT31" s="181" cm="1">
        <f t="array" ref="AT31">IF(P31="NO",0,IF(AND(N31&lt;49,$A$4="RETAIL"),'Comp Hardware'!$L$6,IF(AND(N31&gt;48,N31&lt;96,$A$4="RETAIL"),'Comp Hardware'!$L$7,IF(AND(N31&gt;=96,$A$4="RETAIL"),'Comp Hardware'!$L$8,IF(AND(N31&lt;49,$A$4="BLDR"),'Comp Hardware'!$M$6,IF(AND(N31&gt;48,N31&lt;96,$A$4="BLDR"),'Comp Hardware'!$M$7,IF(AND(N31&gt;=96,$A$4="BLDR"),'Comp Hardware'!$M$8,IF(AND(N31&lt;49,$A$4="WHOLE"),'Comp Hardware'!$N$6,IF(AND(N31&gt;48,N31&lt;96,$A$4="WHOLE"),'Comp Hardware'!$N$7,IF(AND(N31&gt;=96,$A$4="WHOLE"),'Comp Hardware'!$N$8,IF(AND(N31&lt;49,$A$4="LCR"),'Comp Hardware'!$N$6,IF(AND(N31&gt;48,N31&lt;96,$A$4="LCR"),'Comp Hardware'!$N$7,IF(AND(N31&gt;=96,$A$4="LCR"),'Comp Hardware'!$N$8,_xludf.na)))))))))))))*F31</f>
        <v>0</v>
      </c>
      <c r="AU31" s="181" cm="1">
        <f t="array" ref="AU31">IF(Q31="NO",0,IF(AND(N31&lt;49,$A$4="RETAIL"),'Comp Hardware'!$G$171,IF(AND(N31&gt;48,N31&lt;96,$A$4="RETAIL"),'Comp Hardware'!$G$171*1.5,IF(AND(N31&gt;=96,$A$4="RETAIL"),'Comp Hardware'!$G$171*2,IF(AND(N31&lt;49,$A$4="BLDR"),'Comp Hardware'!$H$171,IF(AND(N31&gt;48,N31&lt;96,$A$4="BLDR"),'Comp Hardware'!$H$171*1.5,IF(AND(N31&gt;=96,$A$4="BLDR"),'Comp Hardware'!$H$171*2,IF(AND(N31&lt;49,$A$4="WHOLE"),'Comp Hardware'!$I$171,IF(AND(N31&gt;48,N31&lt;96,$A$4="WHOLE"),'Comp Hardware'!$I$171*1.5,IF(AND(N31&gt;=96,$A$4="WHOLE"),'Comp Hardware'!$I$171*2,IF(AND(N31&lt;49,$A$4="LCR"),'Comp Hardware'!$I$171,IF(AND(N31&gt;48,N31&lt;96,$A$4="LCR"),'Comp Hardware'!$I$171*1.5,IF(AND(N31&gt;=96,$A$4="LCR"),'Comp Hardware'!$I$171*2,_xludf.na)))))))))))))*F31</f>
        <v>0</v>
      </c>
      <c r="AV31" s="104">
        <f t="shared" si="18"/>
        <v>0</v>
      </c>
      <c r="AW31" s="104">
        <f t="shared" si="19"/>
        <v>0</v>
      </c>
      <c r="AX31" s="104">
        <f t="shared" si="20"/>
        <v>0</v>
      </c>
      <c r="AY31" s="104">
        <f t="shared" si="21"/>
        <v>0</v>
      </c>
      <c r="AZ31" s="104">
        <f t="shared" si="22"/>
        <v>0</v>
      </c>
      <c r="BA31" s="104">
        <f t="shared" si="23"/>
        <v>0</v>
      </c>
    </row>
    <row r="32" spans="1:53">
      <c r="A32" s="2">
        <v>23</v>
      </c>
      <c r="B32" s="277">
        <f t="shared" si="24"/>
        <v>0</v>
      </c>
      <c r="C32" s="277">
        <f t="shared" si="25"/>
        <v>0</v>
      </c>
      <c r="D32" s="277">
        <f t="shared" si="26"/>
        <v>0</v>
      </c>
      <c r="E32" s="22">
        <f t="shared" si="27"/>
        <v>0</v>
      </c>
      <c r="F32" s="160"/>
      <c r="G32" s="160"/>
      <c r="H32" s="160"/>
      <c r="I32" s="160"/>
      <c r="J32" s="75" t="str">
        <f>IFERROR(VLOOKUP(I32,'PAINT LABOR COSTS'!$B$59:$C$61,2,FALSE),"Pick Color")</f>
        <v>Pick Color</v>
      </c>
      <c r="K32" s="160"/>
      <c r="L32" s="198">
        <v>0</v>
      </c>
      <c r="M32" s="199">
        <v>0</v>
      </c>
      <c r="N32" s="198">
        <v>0</v>
      </c>
      <c r="O32" s="199">
        <v>0</v>
      </c>
      <c r="P32" s="160" t="s">
        <v>419</v>
      </c>
      <c r="Q32" s="160" t="s">
        <v>419</v>
      </c>
      <c r="R32" s="160" t="s">
        <v>419</v>
      </c>
      <c r="S32" s="160" t="s">
        <v>419</v>
      </c>
      <c r="T32" s="160" t="s">
        <v>419</v>
      </c>
      <c r="U32" s="160" t="s">
        <v>419</v>
      </c>
      <c r="V32" s="160" t="s">
        <v>419</v>
      </c>
      <c r="W32" s="160">
        <v>0</v>
      </c>
      <c r="X32" s="160" t="s">
        <v>419</v>
      </c>
      <c r="Y32" s="160">
        <v>0</v>
      </c>
      <c r="Z32" s="160" t="s">
        <v>419</v>
      </c>
      <c r="AB32" s="2">
        <f t="shared" si="1"/>
        <v>0</v>
      </c>
      <c r="AC32" s="277">
        <f t="shared" si="2"/>
        <v>0</v>
      </c>
      <c r="AD32" s="277">
        <f t="shared" si="3"/>
        <v>0</v>
      </c>
      <c r="AE32" s="234">
        <f t="shared" si="4"/>
        <v>0</v>
      </c>
      <c r="AF32" s="104">
        <f t="shared" si="5"/>
        <v>0</v>
      </c>
      <c r="AG32" s="279">
        <f t="shared" si="6"/>
        <v>0</v>
      </c>
      <c r="AH32" s="279">
        <f t="shared" si="7"/>
        <v>0</v>
      </c>
      <c r="AI32" s="104">
        <f t="shared" si="8"/>
        <v>0</v>
      </c>
      <c r="AJ32" s="104">
        <f t="shared" si="9"/>
        <v>0</v>
      </c>
      <c r="AK32" s="104">
        <f t="shared" si="10"/>
        <v>0</v>
      </c>
      <c r="AL32" s="104">
        <f t="shared" si="11"/>
        <v>0</v>
      </c>
      <c r="AM32" s="104">
        <f t="shared" si="12"/>
        <v>0</v>
      </c>
      <c r="AN32" s="104">
        <f t="shared" si="13"/>
        <v>0</v>
      </c>
      <c r="AO32" s="104">
        <f t="shared" si="14"/>
        <v>0</v>
      </c>
      <c r="AP32" s="181">
        <f>IF(I32="BB-CFPNT",VLOOKUP(I32,'PAINT LABOR COSTS'!$B$59:$M$61,12,0)*(AB32/144),0)</f>
        <v>0</v>
      </c>
      <c r="AQ32" s="181">
        <f t="shared" si="15"/>
        <v>0</v>
      </c>
      <c r="AR32" s="104">
        <f t="shared" si="16"/>
        <v>0</v>
      </c>
      <c r="AS32" s="104">
        <f t="shared" si="17"/>
        <v>0</v>
      </c>
      <c r="AT32" s="181" cm="1">
        <f t="array" ref="AT32">IF(P32="NO",0,IF(AND(N32&lt;49,$A$4="RETAIL"),'Comp Hardware'!$L$6,IF(AND(N32&gt;48,N32&lt;96,$A$4="RETAIL"),'Comp Hardware'!$L$7,IF(AND(N32&gt;=96,$A$4="RETAIL"),'Comp Hardware'!$L$8,IF(AND(N32&lt;49,$A$4="BLDR"),'Comp Hardware'!$M$6,IF(AND(N32&gt;48,N32&lt;96,$A$4="BLDR"),'Comp Hardware'!$M$7,IF(AND(N32&gt;=96,$A$4="BLDR"),'Comp Hardware'!$M$8,IF(AND(N32&lt;49,$A$4="WHOLE"),'Comp Hardware'!$N$6,IF(AND(N32&gt;48,N32&lt;96,$A$4="WHOLE"),'Comp Hardware'!$N$7,IF(AND(N32&gt;=96,$A$4="WHOLE"),'Comp Hardware'!$N$8,IF(AND(N32&lt;49,$A$4="LCR"),'Comp Hardware'!$N$6,IF(AND(N32&gt;48,N32&lt;96,$A$4="LCR"),'Comp Hardware'!$N$7,IF(AND(N32&gt;=96,$A$4="LCR"),'Comp Hardware'!$N$8,_xludf.na)))))))))))))*F32</f>
        <v>0</v>
      </c>
      <c r="AU32" s="181" cm="1">
        <f t="array" ref="AU32">IF(Q32="NO",0,IF(AND(N32&lt;49,$A$4="RETAIL"),'Comp Hardware'!$G$171,IF(AND(N32&gt;48,N32&lt;96,$A$4="RETAIL"),'Comp Hardware'!$G$171*1.5,IF(AND(N32&gt;=96,$A$4="RETAIL"),'Comp Hardware'!$G$171*2,IF(AND(N32&lt;49,$A$4="BLDR"),'Comp Hardware'!$H$171,IF(AND(N32&gt;48,N32&lt;96,$A$4="BLDR"),'Comp Hardware'!$H$171*1.5,IF(AND(N32&gt;=96,$A$4="BLDR"),'Comp Hardware'!$H$171*2,IF(AND(N32&lt;49,$A$4="WHOLE"),'Comp Hardware'!$I$171,IF(AND(N32&gt;48,N32&lt;96,$A$4="WHOLE"),'Comp Hardware'!$I$171*1.5,IF(AND(N32&gt;=96,$A$4="WHOLE"),'Comp Hardware'!$I$171*2,IF(AND(N32&lt;49,$A$4="LCR"),'Comp Hardware'!$I$171,IF(AND(N32&gt;48,N32&lt;96,$A$4="LCR"),'Comp Hardware'!$I$171*1.5,IF(AND(N32&gt;=96,$A$4="LCR"),'Comp Hardware'!$I$171*2,_xludf.na)))))))))))))*F32</f>
        <v>0</v>
      </c>
      <c r="AV32" s="104">
        <f t="shared" si="18"/>
        <v>0</v>
      </c>
      <c r="AW32" s="104">
        <f t="shared" si="19"/>
        <v>0</v>
      </c>
      <c r="AX32" s="104">
        <f t="shared" si="20"/>
        <v>0</v>
      </c>
      <c r="AY32" s="104">
        <f t="shared" si="21"/>
        <v>0</v>
      </c>
      <c r="AZ32" s="104">
        <f t="shared" si="22"/>
        <v>0</v>
      </c>
      <c r="BA32" s="104">
        <f t="shared" si="23"/>
        <v>0</v>
      </c>
    </row>
    <row r="33" spans="1:53">
      <c r="A33" s="2">
        <v>24</v>
      </c>
      <c r="B33" s="277">
        <f t="shared" si="24"/>
        <v>0</v>
      </c>
      <c r="C33" s="277">
        <f t="shared" si="25"/>
        <v>0</v>
      </c>
      <c r="D33" s="277">
        <f t="shared" si="26"/>
        <v>0</v>
      </c>
      <c r="E33" s="22">
        <f t="shared" si="27"/>
        <v>0</v>
      </c>
      <c r="F33" s="160"/>
      <c r="G33" s="160"/>
      <c r="H33" s="160"/>
      <c r="I33" s="160"/>
      <c r="J33" s="75" t="str">
        <f>IFERROR(VLOOKUP(I33,'PAINT LABOR COSTS'!$B$59:$C$61,2,FALSE),"Pick Color")</f>
        <v>Pick Color</v>
      </c>
      <c r="K33" s="160"/>
      <c r="L33" s="198">
        <v>0</v>
      </c>
      <c r="M33" s="199">
        <v>0</v>
      </c>
      <c r="N33" s="198">
        <v>0</v>
      </c>
      <c r="O33" s="199">
        <v>0</v>
      </c>
      <c r="P33" s="160" t="s">
        <v>419</v>
      </c>
      <c r="Q33" s="160" t="s">
        <v>419</v>
      </c>
      <c r="R33" s="160" t="s">
        <v>419</v>
      </c>
      <c r="S33" s="160" t="s">
        <v>419</v>
      </c>
      <c r="T33" s="160" t="s">
        <v>419</v>
      </c>
      <c r="U33" s="160" t="s">
        <v>419</v>
      </c>
      <c r="V33" s="160" t="s">
        <v>419</v>
      </c>
      <c r="W33" s="160">
        <v>0</v>
      </c>
      <c r="X33" s="160" t="s">
        <v>419</v>
      </c>
      <c r="Y33" s="160">
        <v>0</v>
      </c>
      <c r="Z33" s="160" t="s">
        <v>419</v>
      </c>
      <c r="AB33" s="2">
        <f t="shared" si="1"/>
        <v>0</v>
      </c>
      <c r="AC33" s="277">
        <f t="shared" si="2"/>
        <v>0</v>
      </c>
      <c r="AD33" s="277">
        <f t="shared" si="3"/>
        <v>0</v>
      </c>
      <c r="AE33" s="234">
        <f t="shared" si="4"/>
        <v>0</v>
      </c>
      <c r="AF33" s="104">
        <f t="shared" si="5"/>
        <v>0</v>
      </c>
      <c r="AG33" s="279">
        <f t="shared" si="6"/>
        <v>0</v>
      </c>
      <c r="AH33" s="279">
        <f t="shared" si="7"/>
        <v>0</v>
      </c>
      <c r="AI33" s="104">
        <f t="shared" si="8"/>
        <v>0</v>
      </c>
      <c r="AJ33" s="104">
        <f t="shared" si="9"/>
        <v>0</v>
      </c>
      <c r="AK33" s="104">
        <f t="shared" si="10"/>
        <v>0</v>
      </c>
      <c r="AL33" s="104">
        <f t="shared" si="11"/>
        <v>0</v>
      </c>
      <c r="AM33" s="104">
        <f t="shared" si="12"/>
        <v>0</v>
      </c>
      <c r="AN33" s="104">
        <f t="shared" si="13"/>
        <v>0</v>
      </c>
      <c r="AO33" s="104">
        <f t="shared" si="14"/>
        <v>0</v>
      </c>
      <c r="AP33" s="181">
        <f>IF(I33="BB-CFPNT",VLOOKUP(I33,'PAINT LABOR COSTS'!$B$59:$M$61,12,0)*(AB33/144),0)</f>
        <v>0</v>
      </c>
      <c r="AQ33" s="181">
        <f t="shared" si="15"/>
        <v>0</v>
      </c>
      <c r="AR33" s="104">
        <f t="shared" si="16"/>
        <v>0</v>
      </c>
      <c r="AS33" s="104">
        <f t="shared" si="17"/>
        <v>0</v>
      </c>
      <c r="AT33" s="181" cm="1">
        <f t="array" ref="AT33">IF(P33="NO",0,IF(AND(N33&lt;49,$A$4="RETAIL"),'Comp Hardware'!$L$6,IF(AND(N33&gt;48,N33&lt;96,$A$4="RETAIL"),'Comp Hardware'!$L$7,IF(AND(N33&gt;=96,$A$4="RETAIL"),'Comp Hardware'!$L$8,IF(AND(N33&lt;49,$A$4="BLDR"),'Comp Hardware'!$M$6,IF(AND(N33&gt;48,N33&lt;96,$A$4="BLDR"),'Comp Hardware'!$M$7,IF(AND(N33&gt;=96,$A$4="BLDR"),'Comp Hardware'!$M$8,IF(AND(N33&lt;49,$A$4="WHOLE"),'Comp Hardware'!$N$6,IF(AND(N33&gt;48,N33&lt;96,$A$4="WHOLE"),'Comp Hardware'!$N$7,IF(AND(N33&gt;=96,$A$4="WHOLE"),'Comp Hardware'!$N$8,IF(AND(N33&lt;49,$A$4="LCR"),'Comp Hardware'!$N$6,IF(AND(N33&gt;48,N33&lt;96,$A$4="LCR"),'Comp Hardware'!$N$7,IF(AND(N33&gt;=96,$A$4="LCR"),'Comp Hardware'!$N$8,_xludf.na)))))))))))))*F33</f>
        <v>0</v>
      </c>
      <c r="AU33" s="181" cm="1">
        <f t="array" ref="AU33">IF(Q33="NO",0,IF(AND(N33&lt;49,$A$4="RETAIL"),'Comp Hardware'!$G$171,IF(AND(N33&gt;48,N33&lt;96,$A$4="RETAIL"),'Comp Hardware'!$G$171*1.5,IF(AND(N33&gt;=96,$A$4="RETAIL"),'Comp Hardware'!$G$171*2,IF(AND(N33&lt;49,$A$4="BLDR"),'Comp Hardware'!$H$171,IF(AND(N33&gt;48,N33&lt;96,$A$4="BLDR"),'Comp Hardware'!$H$171*1.5,IF(AND(N33&gt;=96,$A$4="BLDR"),'Comp Hardware'!$H$171*2,IF(AND(N33&lt;49,$A$4="WHOLE"),'Comp Hardware'!$I$171,IF(AND(N33&gt;48,N33&lt;96,$A$4="WHOLE"),'Comp Hardware'!$I$171*1.5,IF(AND(N33&gt;=96,$A$4="WHOLE"),'Comp Hardware'!$I$171*2,IF(AND(N33&lt;49,$A$4="LCR"),'Comp Hardware'!$I$171,IF(AND(N33&gt;48,N33&lt;96,$A$4="LCR"),'Comp Hardware'!$I$171*1.5,IF(AND(N33&gt;=96,$A$4="LCR"),'Comp Hardware'!$I$171*2,_xludf.na)))))))))))))*F33</f>
        <v>0</v>
      </c>
      <c r="AV33" s="104">
        <f t="shared" si="18"/>
        <v>0</v>
      </c>
      <c r="AW33" s="104">
        <f t="shared" si="19"/>
        <v>0</v>
      </c>
      <c r="AX33" s="104">
        <f t="shared" si="20"/>
        <v>0</v>
      </c>
      <c r="AY33" s="104">
        <f t="shared" si="21"/>
        <v>0</v>
      </c>
      <c r="AZ33" s="104">
        <f t="shared" si="22"/>
        <v>0</v>
      </c>
      <c r="BA33" s="104">
        <f t="shared" si="23"/>
        <v>0</v>
      </c>
    </row>
    <row r="34" spans="1:53">
      <c r="A34" s="2">
        <v>25</v>
      </c>
      <c r="B34" s="277">
        <f t="shared" si="24"/>
        <v>0</v>
      </c>
      <c r="C34" s="277">
        <f t="shared" si="25"/>
        <v>0</v>
      </c>
      <c r="D34" s="277">
        <f t="shared" si="26"/>
        <v>0</v>
      </c>
      <c r="E34" s="22">
        <f t="shared" si="27"/>
        <v>0</v>
      </c>
      <c r="F34" s="160"/>
      <c r="G34" s="160"/>
      <c r="H34" s="160"/>
      <c r="I34" s="160"/>
      <c r="J34" s="75" t="str">
        <f>IFERROR(VLOOKUP(I34,'PAINT LABOR COSTS'!$B$59:$C$61,2,FALSE),"Pick Color")</f>
        <v>Pick Color</v>
      </c>
      <c r="K34" s="160"/>
      <c r="L34" s="198">
        <v>0</v>
      </c>
      <c r="M34" s="199">
        <v>0</v>
      </c>
      <c r="N34" s="198">
        <v>0</v>
      </c>
      <c r="O34" s="199">
        <v>0</v>
      </c>
      <c r="P34" s="160" t="s">
        <v>419</v>
      </c>
      <c r="Q34" s="160" t="s">
        <v>419</v>
      </c>
      <c r="R34" s="160" t="s">
        <v>419</v>
      </c>
      <c r="S34" s="160" t="s">
        <v>419</v>
      </c>
      <c r="T34" s="160" t="s">
        <v>419</v>
      </c>
      <c r="U34" s="160" t="s">
        <v>419</v>
      </c>
      <c r="V34" s="160" t="s">
        <v>419</v>
      </c>
      <c r="W34" s="160">
        <v>0</v>
      </c>
      <c r="X34" s="160" t="s">
        <v>419</v>
      </c>
      <c r="Y34" s="160">
        <v>0</v>
      </c>
      <c r="Z34" s="160" t="s">
        <v>419</v>
      </c>
      <c r="AB34" s="2">
        <f t="shared" si="1"/>
        <v>0</v>
      </c>
      <c r="AC34" s="277">
        <f t="shared" si="2"/>
        <v>0</v>
      </c>
      <c r="AD34" s="277">
        <f t="shared" si="3"/>
        <v>0</v>
      </c>
      <c r="AE34" s="234">
        <f t="shared" si="4"/>
        <v>0</v>
      </c>
      <c r="AF34" s="104">
        <f t="shared" si="5"/>
        <v>0</v>
      </c>
      <c r="AG34" s="279">
        <f t="shared" si="6"/>
        <v>0</v>
      </c>
      <c r="AH34" s="279">
        <f t="shared" si="7"/>
        <v>0</v>
      </c>
      <c r="AI34" s="104">
        <f t="shared" si="8"/>
        <v>0</v>
      </c>
      <c r="AJ34" s="104">
        <f t="shared" si="9"/>
        <v>0</v>
      </c>
      <c r="AK34" s="104">
        <f t="shared" si="10"/>
        <v>0</v>
      </c>
      <c r="AL34" s="104">
        <f t="shared" si="11"/>
        <v>0</v>
      </c>
      <c r="AM34" s="104">
        <f t="shared" si="12"/>
        <v>0</v>
      </c>
      <c r="AN34" s="104">
        <f t="shared" si="13"/>
        <v>0</v>
      </c>
      <c r="AO34" s="104">
        <f t="shared" si="14"/>
        <v>0</v>
      </c>
      <c r="AP34" s="181">
        <f>IF(I34="BB-CFPNT",VLOOKUP(I34,'PAINT LABOR COSTS'!$B$59:$M$61,12,0)*(AB34/144),0)</f>
        <v>0</v>
      </c>
      <c r="AQ34" s="181">
        <f t="shared" si="15"/>
        <v>0</v>
      </c>
      <c r="AR34" s="104">
        <f t="shared" si="16"/>
        <v>0</v>
      </c>
      <c r="AS34" s="104">
        <f t="shared" si="17"/>
        <v>0</v>
      </c>
      <c r="AT34" s="181" cm="1">
        <f t="array" ref="AT34">IF(P34="NO",0,IF(AND(N34&lt;49,$A$4="RETAIL"),'Comp Hardware'!$L$6,IF(AND(N34&gt;48,N34&lt;96,$A$4="RETAIL"),'Comp Hardware'!$L$7,IF(AND(N34&gt;=96,$A$4="RETAIL"),'Comp Hardware'!$L$8,IF(AND(N34&lt;49,$A$4="BLDR"),'Comp Hardware'!$M$6,IF(AND(N34&gt;48,N34&lt;96,$A$4="BLDR"),'Comp Hardware'!$M$7,IF(AND(N34&gt;=96,$A$4="BLDR"),'Comp Hardware'!$M$8,IF(AND(N34&lt;49,$A$4="WHOLE"),'Comp Hardware'!$N$6,IF(AND(N34&gt;48,N34&lt;96,$A$4="WHOLE"),'Comp Hardware'!$N$7,IF(AND(N34&gt;=96,$A$4="WHOLE"),'Comp Hardware'!$N$8,IF(AND(N34&lt;49,$A$4="LCR"),'Comp Hardware'!$N$6,IF(AND(N34&gt;48,N34&lt;96,$A$4="LCR"),'Comp Hardware'!$N$7,IF(AND(N34&gt;=96,$A$4="LCR"),'Comp Hardware'!$N$8,_xludf.na)))))))))))))*F34</f>
        <v>0</v>
      </c>
      <c r="AU34" s="181" cm="1">
        <f t="array" ref="AU34">IF(Q34="NO",0,IF(AND(N34&lt;49,$A$4="RETAIL"),'Comp Hardware'!$G$171,IF(AND(N34&gt;48,N34&lt;96,$A$4="RETAIL"),'Comp Hardware'!$G$171*1.5,IF(AND(N34&gt;=96,$A$4="RETAIL"),'Comp Hardware'!$G$171*2,IF(AND(N34&lt;49,$A$4="BLDR"),'Comp Hardware'!$H$171,IF(AND(N34&gt;48,N34&lt;96,$A$4="BLDR"),'Comp Hardware'!$H$171*1.5,IF(AND(N34&gt;=96,$A$4="BLDR"),'Comp Hardware'!$H$171*2,IF(AND(N34&lt;49,$A$4="WHOLE"),'Comp Hardware'!$I$171,IF(AND(N34&gt;48,N34&lt;96,$A$4="WHOLE"),'Comp Hardware'!$I$171*1.5,IF(AND(N34&gt;=96,$A$4="WHOLE"),'Comp Hardware'!$I$171*2,IF(AND(N34&lt;49,$A$4="LCR"),'Comp Hardware'!$I$171,IF(AND(N34&gt;48,N34&lt;96,$A$4="LCR"),'Comp Hardware'!$I$171*1.5,IF(AND(N34&gt;=96,$A$4="LCR"),'Comp Hardware'!$I$171*2,_xludf.na)))))))))))))*F34</f>
        <v>0</v>
      </c>
      <c r="AV34" s="104">
        <f t="shared" si="18"/>
        <v>0</v>
      </c>
      <c r="AW34" s="104">
        <f t="shared" si="19"/>
        <v>0</v>
      </c>
      <c r="AX34" s="104">
        <f t="shared" si="20"/>
        <v>0</v>
      </c>
      <c r="AY34" s="104">
        <f t="shared" si="21"/>
        <v>0</v>
      </c>
      <c r="AZ34" s="104">
        <f t="shared" si="22"/>
        <v>0</v>
      </c>
      <c r="BA34" s="104">
        <f t="shared" si="23"/>
        <v>0</v>
      </c>
    </row>
    <row r="35" spans="1:53">
      <c r="A35" s="2">
        <v>26</v>
      </c>
      <c r="B35" s="277">
        <f t="shared" si="24"/>
        <v>0</v>
      </c>
      <c r="C35" s="277">
        <f t="shared" si="25"/>
        <v>0</v>
      </c>
      <c r="D35" s="277">
        <f t="shared" si="26"/>
        <v>0</v>
      </c>
      <c r="E35" s="22">
        <f t="shared" si="27"/>
        <v>0</v>
      </c>
      <c r="F35" s="160"/>
      <c r="G35" s="160"/>
      <c r="H35" s="160"/>
      <c r="I35" s="160"/>
      <c r="J35" s="75" t="str">
        <f>IFERROR(VLOOKUP(I35,'PAINT LABOR COSTS'!$B$59:$C$61,2,FALSE),"Pick Color")</f>
        <v>Pick Color</v>
      </c>
      <c r="K35" s="160"/>
      <c r="L35" s="198">
        <v>0</v>
      </c>
      <c r="M35" s="199">
        <v>0</v>
      </c>
      <c r="N35" s="198">
        <v>0</v>
      </c>
      <c r="O35" s="199">
        <v>0</v>
      </c>
      <c r="P35" s="160" t="s">
        <v>419</v>
      </c>
      <c r="Q35" s="160" t="s">
        <v>419</v>
      </c>
      <c r="R35" s="160" t="s">
        <v>419</v>
      </c>
      <c r="S35" s="160" t="s">
        <v>419</v>
      </c>
      <c r="T35" s="160" t="s">
        <v>419</v>
      </c>
      <c r="U35" s="160" t="s">
        <v>419</v>
      </c>
      <c r="V35" s="160" t="s">
        <v>419</v>
      </c>
      <c r="W35" s="160">
        <v>0</v>
      </c>
      <c r="X35" s="160" t="s">
        <v>419</v>
      </c>
      <c r="Y35" s="160">
        <v>0</v>
      </c>
      <c r="Z35" s="160" t="s">
        <v>419</v>
      </c>
      <c r="AB35" s="2">
        <f t="shared" si="1"/>
        <v>0</v>
      </c>
      <c r="AC35" s="277">
        <f t="shared" si="2"/>
        <v>0</v>
      </c>
      <c r="AD35" s="277">
        <f t="shared" si="3"/>
        <v>0</v>
      </c>
      <c r="AE35" s="234">
        <f t="shared" si="4"/>
        <v>0</v>
      </c>
      <c r="AF35" s="104">
        <f t="shared" si="5"/>
        <v>0</v>
      </c>
      <c r="AG35" s="279">
        <f t="shared" si="6"/>
        <v>0</v>
      </c>
      <c r="AH35" s="279">
        <f t="shared" si="7"/>
        <v>0</v>
      </c>
      <c r="AI35" s="104">
        <f t="shared" si="8"/>
        <v>0</v>
      </c>
      <c r="AJ35" s="104">
        <f t="shared" si="9"/>
        <v>0</v>
      </c>
      <c r="AK35" s="104">
        <f t="shared" si="10"/>
        <v>0</v>
      </c>
      <c r="AL35" s="104">
        <f t="shared" si="11"/>
        <v>0</v>
      </c>
      <c r="AM35" s="104">
        <f t="shared" si="12"/>
        <v>0</v>
      </c>
      <c r="AN35" s="104">
        <f t="shared" si="13"/>
        <v>0</v>
      </c>
      <c r="AO35" s="104">
        <f t="shared" si="14"/>
        <v>0</v>
      </c>
      <c r="AP35" s="181">
        <f>IF(I35="BB-CFPNT",VLOOKUP(I35,'PAINT LABOR COSTS'!$B$59:$M$61,12,0)*(AB35/144),0)</f>
        <v>0</v>
      </c>
      <c r="AQ35" s="181">
        <f t="shared" si="15"/>
        <v>0</v>
      </c>
      <c r="AR35" s="104">
        <f t="shared" si="16"/>
        <v>0</v>
      </c>
      <c r="AS35" s="104">
        <f t="shared" si="17"/>
        <v>0</v>
      </c>
      <c r="AT35" s="181" cm="1">
        <f t="array" ref="AT35">IF(P35="NO",0,IF(AND(N35&lt;49,$A$4="RETAIL"),'Comp Hardware'!$L$6,IF(AND(N35&gt;48,N35&lt;96,$A$4="RETAIL"),'Comp Hardware'!$L$7,IF(AND(N35&gt;=96,$A$4="RETAIL"),'Comp Hardware'!$L$8,IF(AND(N35&lt;49,$A$4="BLDR"),'Comp Hardware'!$M$6,IF(AND(N35&gt;48,N35&lt;96,$A$4="BLDR"),'Comp Hardware'!$M$7,IF(AND(N35&gt;=96,$A$4="BLDR"),'Comp Hardware'!$M$8,IF(AND(N35&lt;49,$A$4="WHOLE"),'Comp Hardware'!$N$6,IF(AND(N35&gt;48,N35&lt;96,$A$4="WHOLE"),'Comp Hardware'!$N$7,IF(AND(N35&gt;=96,$A$4="WHOLE"),'Comp Hardware'!$N$8,IF(AND(N35&lt;49,$A$4="LCR"),'Comp Hardware'!$N$6,IF(AND(N35&gt;48,N35&lt;96,$A$4="LCR"),'Comp Hardware'!$N$7,IF(AND(N35&gt;=96,$A$4="LCR"),'Comp Hardware'!$N$8,_xludf.na)))))))))))))*F35</f>
        <v>0</v>
      </c>
      <c r="AU35" s="181" cm="1">
        <f t="array" ref="AU35">IF(Q35="NO",0,IF(AND(N35&lt;49,$A$4="RETAIL"),'Comp Hardware'!$G$171,IF(AND(N35&gt;48,N35&lt;96,$A$4="RETAIL"),'Comp Hardware'!$G$171*1.5,IF(AND(N35&gt;=96,$A$4="RETAIL"),'Comp Hardware'!$G$171*2,IF(AND(N35&lt;49,$A$4="BLDR"),'Comp Hardware'!$H$171,IF(AND(N35&gt;48,N35&lt;96,$A$4="BLDR"),'Comp Hardware'!$H$171*1.5,IF(AND(N35&gt;=96,$A$4="BLDR"),'Comp Hardware'!$H$171*2,IF(AND(N35&lt;49,$A$4="WHOLE"),'Comp Hardware'!$I$171,IF(AND(N35&gt;48,N35&lt;96,$A$4="WHOLE"),'Comp Hardware'!$I$171*1.5,IF(AND(N35&gt;=96,$A$4="WHOLE"),'Comp Hardware'!$I$171*2,IF(AND(N35&lt;49,$A$4="LCR"),'Comp Hardware'!$I$171,IF(AND(N35&gt;48,N35&lt;96,$A$4="LCR"),'Comp Hardware'!$I$171*1.5,IF(AND(N35&gt;=96,$A$4="LCR"),'Comp Hardware'!$I$171*2,_xludf.na)))))))))))))*F35</f>
        <v>0</v>
      </c>
      <c r="AV35" s="104">
        <f t="shared" si="18"/>
        <v>0</v>
      </c>
      <c r="AW35" s="104">
        <f t="shared" si="19"/>
        <v>0</v>
      </c>
      <c r="AX35" s="104">
        <f t="shared" si="20"/>
        <v>0</v>
      </c>
      <c r="AY35" s="104">
        <f t="shared" si="21"/>
        <v>0</v>
      </c>
      <c r="AZ35" s="104">
        <f t="shared" si="22"/>
        <v>0</v>
      </c>
      <c r="BA35" s="104">
        <f t="shared" si="23"/>
        <v>0</v>
      </c>
    </row>
    <row r="36" spans="1:53">
      <c r="A36" s="2">
        <v>27</v>
      </c>
      <c r="B36" s="277">
        <f t="shared" si="24"/>
        <v>0</v>
      </c>
      <c r="C36" s="277">
        <f t="shared" si="25"/>
        <v>0</v>
      </c>
      <c r="D36" s="277">
        <f t="shared" si="26"/>
        <v>0</v>
      </c>
      <c r="E36" s="22">
        <f t="shared" si="27"/>
        <v>0</v>
      </c>
      <c r="F36" s="160"/>
      <c r="G36" s="160"/>
      <c r="H36" s="160"/>
      <c r="I36" s="160"/>
      <c r="J36" s="75" t="str">
        <f>IFERROR(VLOOKUP(I36,'PAINT LABOR COSTS'!$B$59:$C$61,2,FALSE),"Pick Color")</f>
        <v>Pick Color</v>
      </c>
      <c r="K36" s="160"/>
      <c r="L36" s="198">
        <v>0</v>
      </c>
      <c r="M36" s="199">
        <v>0</v>
      </c>
      <c r="N36" s="198">
        <v>0</v>
      </c>
      <c r="O36" s="199">
        <v>0</v>
      </c>
      <c r="P36" s="160" t="s">
        <v>419</v>
      </c>
      <c r="Q36" s="160" t="s">
        <v>419</v>
      </c>
      <c r="R36" s="160" t="s">
        <v>419</v>
      </c>
      <c r="S36" s="160" t="s">
        <v>419</v>
      </c>
      <c r="T36" s="160" t="s">
        <v>419</v>
      </c>
      <c r="U36" s="160" t="s">
        <v>419</v>
      </c>
      <c r="V36" s="160" t="s">
        <v>419</v>
      </c>
      <c r="W36" s="160">
        <v>0</v>
      </c>
      <c r="X36" s="160" t="s">
        <v>419</v>
      </c>
      <c r="Y36" s="160">
        <v>0</v>
      </c>
      <c r="Z36" s="160" t="s">
        <v>419</v>
      </c>
      <c r="AB36" s="2">
        <f t="shared" si="1"/>
        <v>0</v>
      </c>
      <c r="AC36" s="277">
        <f t="shared" si="2"/>
        <v>0</v>
      </c>
      <c r="AD36" s="277">
        <f t="shared" si="3"/>
        <v>0</v>
      </c>
      <c r="AE36" s="234">
        <f t="shared" si="4"/>
        <v>0</v>
      </c>
      <c r="AF36" s="104">
        <f t="shared" si="5"/>
        <v>0</v>
      </c>
      <c r="AG36" s="279">
        <f t="shared" si="6"/>
        <v>0</v>
      </c>
      <c r="AH36" s="279">
        <f t="shared" si="7"/>
        <v>0</v>
      </c>
      <c r="AI36" s="104">
        <f t="shared" si="8"/>
        <v>0</v>
      </c>
      <c r="AJ36" s="104">
        <f t="shared" si="9"/>
        <v>0</v>
      </c>
      <c r="AK36" s="104">
        <f t="shared" si="10"/>
        <v>0</v>
      </c>
      <c r="AL36" s="104">
        <f t="shared" si="11"/>
        <v>0</v>
      </c>
      <c r="AM36" s="104">
        <f t="shared" si="12"/>
        <v>0</v>
      </c>
      <c r="AN36" s="104">
        <f t="shared" si="13"/>
        <v>0</v>
      </c>
      <c r="AO36" s="104">
        <f t="shared" si="14"/>
        <v>0</v>
      </c>
      <c r="AP36" s="181">
        <f>IF(I36="BB-CFPNT",VLOOKUP(I36,'PAINT LABOR COSTS'!$B$59:$M$61,12,0)*(AB36/144),0)</f>
        <v>0</v>
      </c>
      <c r="AQ36" s="181">
        <f t="shared" si="15"/>
        <v>0</v>
      </c>
      <c r="AR36" s="104">
        <f t="shared" si="16"/>
        <v>0</v>
      </c>
      <c r="AS36" s="104">
        <f t="shared" si="17"/>
        <v>0</v>
      </c>
      <c r="AT36" s="181" cm="1">
        <f t="array" ref="AT36">IF(P36="NO",0,IF(AND(N36&lt;49,$A$4="RETAIL"),'Comp Hardware'!$L$6,IF(AND(N36&gt;48,N36&lt;96,$A$4="RETAIL"),'Comp Hardware'!$L$7,IF(AND(N36&gt;=96,$A$4="RETAIL"),'Comp Hardware'!$L$8,IF(AND(N36&lt;49,$A$4="BLDR"),'Comp Hardware'!$M$6,IF(AND(N36&gt;48,N36&lt;96,$A$4="BLDR"),'Comp Hardware'!$M$7,IF(AND(N36&gt;=96,$A$4="BLDR"),'Comp Hardware'!$M$8,IF(AND(N36&lt;49,$A$4="WHOLE"),'Comp Hardware'!$N$6,IF(AND(N36&gt;48,N36&lt;96,$A$4="WHOLE"),'Comp Hardware'!$N$7,IF(AND(N36&gt;=96,$A$4="WHOLE"),'Comp Hardware'!$N$8,IF(AND(N36&lt;49,$A$4="LCR"),'Comp Hardware'!$N$6,IF(AND(N36&gt;48,N36&lt;96,$A$4="LCR"),'Comp Hardware'!$N$7,IF(AND(N36&gt;=96,$A$4="LCR"),'Comp Hardware'!$N$8,_xludf.na)))))))))))))*F36</f>
        <v>0</v>
      </c>
      <c r="AU36" s="181" cm="1">
        <f t="array" ref="AU36">IF(Q36="NO",0,IF(AND(N36&lt;49,$A$4="RETAIL"),'Comp Hardware'!$G$171,IF(AND(N36&gt;48,N36&lt;96,$A$4="RETAIL"),'Comp Hardware'!$G$171*1.5,IF(AND(N36&gt;=96,$A$4="RETAIL"),'Comp Hardware'!$G$171*2,IF(AND(N36&lt;49,$A$4="BLDR"),'Comp Hardware'!$H$171,IF(AND(N36&gt;48,N36&lt;96,$A$4="BLDR"),'Comp Hardware'!$H$171*1.5,IF(AND(N36&gt;=96,$A$4="BLDR"),'Comp Hardware'!$H$171*2,IF(AND(N36&lt;49,$A$4="WHOLE"),'Comp Hardware'!$I$171,IF(AND(N36&gt;48,N36&lt;96,$A$4="WHOLE"),'Comp Hardware'!$I$171*1.5,IF(AND(N36&gt;=96,$A$4="WHOLE"),'Comp Hardware'!$I$171*2,IF(AND(N36&lt;49,$A$4="LCR"),'Comp Hardware'!$I$171,IF(AND(N36&gt;48,N36&lt;96,$A$4="LCR"),'Comp Hardware'!$I$171*1.5,IF(AND(N36&gt;=96,$A$4="LCR"),'Comp Hardware'!$I$171*2,_xludf.na)))))))))))))*F36</f>
        <v>0</v>
      </c>
      <c r="AV36" s="104">
        <f t="shared" si="18"/>
        <v>0</v>
      </c>
      <c r="AW36" s="104">
        <f t="shared" si="19"/>
        <v>0</v>
      </c>
      <c r="AX36" s="104">
        <f t="shared" si="20"/>
        <v>0</v>
      </c>
      <c r="AY36" s="104">
        <f t="shared" si="21"/>
        <v>0</v>
      </c>
      <c r="AZ36" s="104">
        <f t="shared" si="22"/>
        <v>0</v>
      </c>
      <c r="BA36" s="104">
        <f t="shared" si="23"/>
        <v>0</v>
      </c>
    </row>
    <row r="37" spans="1:53">
      <c r="A37" s="2">
        <v>28</v>
      </c>
      <c r="B37" s="277">
        <f t="shared" si="24"/>
        <v>0</v>
      </c>
      <c r="C37" s="277">
        <f t="shared" si="25"/>
        <v>0</v>
      </c>
      <c r="D37" s="277">
        <f t="shared" si="26"/>
        <v>0</v>
      </c>
      <c r="E37" s="22">
        <f t="shared" si="27"/>
        <v>0</v>
      </c>
      <c r="F37" s="160"/>
      <c r="G37" s="160"/>
      <c r="H37" s="160"/>
      <c r="I37" s="160"/>
      <c r="J37" s="75" t="str">
        <f>IFERROR(VLOOKUP(I37,'PAINT LABOR COSTS'!$B$59:$C$61,2,FALSE),"Pick Color")</f>
        <v>Pick Color</v>
      </c>
      <c r="K37" s="160"/>
      <c r="L37" s="198">
        <v>0</v>
      </c>
      <c r="M37" s="199">
        <v>0</v>
      </c>
      <c r="N37" s="198">
        <v>0</v>
      </c>
      <c r="O37" s="199">
        <v>0</v>
      </c>
      <c r="P37" s="160" t="s">
        <v>419</v>
      </c>
      <c r="Q37" s="160" t="s">
        <v>419</v>
      </c>
      <c r="R37" s="160" t="s">
        <v>419</v>
      </c>
      <c r="S37" s="160" t="s">
        <v>419</v>
      </c>
      <c r="T37" s="160" t="s">
        <v>419</v>
      </c>
      <c r="U37" s="160" t="s">
        <v>419</v>
      </c>
      <c r="V37" s="160" t="s">
        <v>419</v>
      </c>
      <c r="W37" s="160">
        <v>0</v>
      </c>
      <c r="X37" s="160" t="s">
        <v>419</v>
      </c>
      <c r="Y37" s="160">
        <v>0</v>
      </c>
      <c r="Z37" s="160" t="s">
        <v>419</v>
      </c>
      <c r="AB37" s="2">
        <f t="shared" si="1"/>
        <v>0</v>
      </c>
      <c r="AC37" s="277">
        <f t="shared" si="2"/>
        <v>0</v>
      </c>
      <c r="AD37" s="277">
        <f t="shared" si="3"/>
        <v>0</v>
      </c>
      <c r="AE37" s="234">
        <f t="shared" si="4"/>
        <v>0</v>
      </c>
      <c r="AF37" s="104">
        <f t="shared" si="5"/>
        <v>0</v>
      </c>
      <c r="AG37" s="279">
        <f t="shared" si="6"/>
        <v>0</v>
      </c>
      <c r="AH37" s="279">
        <f t="shared" si="7"/>
        <v>0</v>
      </c>
      <c r="AI37" s="104">
        <f t="shared" si="8"/>
        <v>0</v>
      </c>
      <c r="AJ37" s="104">
        <f t="shared" si="9"/>
        <v>0</v>
      </c>
      <c r="AK37" s="104">
        <f t="shared" si="10"/>
        <v>0</v>
      </c>
      <c r="AL37" s="104">
        <f t="shared" si="11"/>
        <v>0</v>
      </c>
      <c r="AM37" s="104">
        <f t="shared" si="12"/>
        <v>0</v>
      </c>
      <c r="AN37" s="104">
        <f t="shared" si="13"/>
        <v>0</v>
      </c>
      <c r="AO37" s="104">
        <f t="shared" si="14"/>
        <v>0</v>
      </c>
      <c r="AP37" s="181">
        <f>IF(I37="BB-CFPNT",VLOOKUP(I37,'PAINT LABOR COSTS'!$B$59:$M$61,12,0)*(AB37/144),0)</f>
        <v>0</v>
      </c>
      <c r="AQ37" s="181">
        <f t="shared" si="15"/>
        <v>0</v>
      </c>
      <c r="AR37" s="104">
        <f t="shared" si="16"/>
        <v>0</v>
      </c>
      <c r="AS37" s="104">
        <f t="shared" si="17"/>
        <v>0</v>
      </c>
      <c r="AT37" s="181" cm="1">
        <f t="array" ref="AT37">IF(P37="NO",0,IF(AND(N37&lt;49,$A$4="RETAIL"),'Comp Hardware'!$L$6,IF(AND(N37&gt;48,N37&lt;96,$A$4="RETAIL"),'Comp Hardware'!$L$7,IF(AND(N37&gt;=96,$A$4="RETAIL"),'Comp Hardware'!$L$8,IF(AND(N37&lt;49,$A$4="BLDR"),'Comp Hardware'!$M$6,IF(AND(N37&gt;48,N37&lt;96,$A$4="BLDR"),'Comp Hardware'!$M$7,IF(AND(N37&gt;=96,$A$4="BLDR"),'Comp Hardware'!$M$8,IF(AND(N37&lt;49,$A$4="WHOLE"),'Comp Hardware'!$N$6,IF(AND(N37&gt;48,N37&lt;96,$A$4="WHOLE"),'Comp Hardware'!$N$7,IF(AND(N37&gt;=96,$A$4="WHOLE"),'Comp Hardware'!$N$8,IF(AND(N37&lt;49,$A$4="LCR"),'Comp Hardware'!$N$6,IF(AND(N37&gt;48,N37&lt;96,$A$4="LCR"),'Comp Hardware'!$N$7,IF(AND(N37&gt;=96,$A$4="LCR"),'Comp Hardware'!$N$8,_xludf.na)))))))))))))*F37</f>
        <v>0</v>
      </c>
      <c r="AU37" s="181" cm="1">
        <f t="array" ref="AU37">IF(Q37="NO",0,IF(AND(N37&lt;49,$A$4="RETAIL"),'Comp Hardware'!$G$171,IF(AND(N37&gt;48,N37&lt;96,$A$4="RETAIL"),'Comp Hardware'!$G$171*1.5,IF(AND(N37&gt;=96,$A$4="RETAIL"),'Comp Hardware'!$G$171*2,IF(AND(N37&lt;49,$A$4="BLDR"),'Comp Hardware'!$H$171,IF(AND(N37&gt;48,N37&lt;96,$A$4="BLDR"),'Comp Hardware'!$H$171*1.5,IF(AND(N37&gt;=96,$A$4="BLDR"),'Comp Hardware'!$H$171*2,IF(AND(N37&lt;49,$A$4="WHOLE"),'Comp Hardware'!$I$171,IF(AND(N37&gt;48,N37&lt;96,$A$4="WHOLE"),'Comp Hardware'!$I$171*1.5,IF(AND(N37&gt;=96,$A$4="WHOLE"),'Comp Hardware'!$I$171*2,IF(AND(N37&lt;49,$A$4="LCR"),'Comp Hardware'!$I$171,IF(AND(N37&gt;48,N37&lt;96,$A$4="LCR"),'Comp Hardware'!$I$171*1.5,IF(AND(N37&gt;=96,$A$4="LCR"),'Comp Hardware'!$I$171*2,_xludf.na)))))))))))))*F37</f>
        <v>0</v>
      </c>
      <c r="AV37" s="104">
        <f t="shared" si="18"/>
        <v>0</v>
      </c>
      <c r="AW37" s="104">
        <f t="shared" si="19"/>
        <v>0</v>
      </c>
      <c r="AX37" s="104">
        <f t="shared" si="20"/>
        <v>0</v>
      </c>
      <c r="AY37" s="104">
        <f t="shared" si="21"/>
        <v>0</v>
      </c>
      <c r="AZ37" s="104">
        <f t="shared" si="22"/>
        <v>0</v>
      </c>
      <c r="BA37" s="104">
        <f t="shared" si="23"/>
        <v>0</v>
      </c>
    </row>
    <row r="38" spans="1:53">
      <c r="A38" s="2">
        <v>29</v>
      </c>
      <c r="B38" s="277">
        <f t="shared" si="24"/>
        <v>0</v>
      </c>
      <c r="C38" s="277">
        <f t="shared" si="25"/>
        <v>0</v>
      </c>
      <c r="D38" s="277">
        <f t="shared" si="26"/>
        <v>0</v>
      </c>
      <c r="E38" s="22">
        <f t="shared" si="27"/>
        <v>0</v>
      </c>
      <c r="F38" s="160"/>
      <c r="G38" s="160"/>
      <c r="H38" s="160"/>
      <c r="I38" s="160"/>
      <c r="J38" s="75" t="str">
        <f>IFERROR(VLOOKUP(I38,'PAINT LABOR COSTS'!$B$59:$C$61,2,FALSE),"Pick Color")</f>
        <v>Pick Color</v>
      </c>
      <c r="K38" s="160"/>
      <c r="L38" s="198">
        <v>0</v>
      </c>
      <c r="M38" s="199">
        <v>0</v>
      </c>
      <c r="N38" s="198">
        <v>0</v>
      </c>
      <c r="O38" s="199">
        <v>0</v>
      </c>
      <c r="P38" s="160" t="s">
        <v>419</v>
      </c>
      <c r="Q38" s="160" t="s">
        <v>419</v>
      </c>
      <c r="R38" s="160" t="s">
        <v>419</v>
      </c>
      <c r="S38" s="160" t="s">
        <v>419</v>
      </c>
      <c r="T38" s="160" t="s">
        <v>419</v>
      </c>
      <c r="U38" s="160" t="s">
        <v>419</v>
      </c>
      <c r="V38" s="160" t="s">
        <v>419</v>
      </c>
      <c r="W38" s="160">
        <v>0</v>
      </c>
      <c r="X38" s="160" t="s">
        <v>419</v>
      </c>
      <c r="Y38" s="160">
        <v>0</v>
      </c>
      <c r="Z38" s="160" t="s">
        <v>419</v>
      </c>
      <c r="AB38" s="2">
        <f t="shared" si="1"/>
        <v>0</v>
      </c>
      <c r="AC38" s="277">
        <f t="shared" si="2"/>
        <v>0</v>
      </c>
      <c r="AD38" s="277">
        <f t="shared" si="3"/>
        <v>0</v>
      </c>
      <c r="AE38" s="234">
        <f t="shared" si="4"/>
        <v>0</v>
      </c>
      <c r="AF38" s="104">
        <f t="shared" si="5"/>
        <v>0</v>
      </c>
      <c r="AG38" s="279">
        <f t="shared" si="6"/>
        <v>0</v>
      </c>
      <c r="AH38" s="279">
        <f t="shared" si="7"/>
        <v>0</v>
      </c>
      <c r="AI38" s="104">
        <f t="shared" si="8"/>
        <v>0</v>
      </c>
      <c r="AJ38" s="104">
        <f t="shared" si="9"/>
        <v>0</v>
      </c>
      <c r="AK38" s="104">
        <f t="shared" si="10"/>
        <v>0</v>
      </c>
      <c r="AL38" s="104">
        <f t="shared" si="11"/>
        <v>0</v>
      </c>
      <c r="AM38" s="104">
        <f t="shared" si="12"/>
        <v>0</v>
      </c>
      <c r="AN38" s="104">
        <f t="shared" si="13"/>
        <v>0</v>
      </c>
      <c r="AO38" s="104">
        <f t="shared" si="14"/>
        <v>0</v>
      </c>
      <c r="AP38" s="181">
        <f>IF(I38="BB-CFPNT",VLOOKUP(I38,'PAINT LABOR COSTS'!$B$59:$M$61,12,0)*(AB38/144),0)</f>
        <v>0</v>
      </c>
      <c r="AQ38" s="181">
        <f t="shared" si="15"/>
        <v>0</v>
      </c>
      <c r="AR38" s="104">
        <f t="shared" si="16"/>
        <v>0</v>
      </c>
      <c r="AS38" s="104">
        <f t="shared" si="17"/>
        <v>0</v>
      </c>
      <c r="AT38" s="181" cm="1">
        <f t="array" ref="AT38">IF(P38="NO",0,IF(AND(N38&lt;49,$A$4="RETAIL"),'Comp Hardware'!$L$6,IF(AND(N38&gt;48,N38&lt;96,$A$4="RETAIL"),'Comp Hardware'!$L$7,IF(AND(N38&gt;=96,$A$4="RETAIL"),'Comp Hardware'!$L$8,IF(AND(N38&lt;49,$A$4="BLDR"),'Comp Hardware'!$M$6,IF(AND(N38&gt;48,N38&lt;96,$A$4="BLDR"),'Comp Hardware'!$M$7,IF(AND(N38&gt;=96,$A$4="BLDR"),'Comp Hardware'!$M$8,IF(AND(N38&lt;49,$A$4="WHOLE"),'Comp Hardware'!$N$6,IF(AND(N38&gt;48,N38&lt;96,$A$4="WHOLE"),'Comp Hardware'!$N$7,IF(AND(N38&gt;=96,$A$4="WHOLE"),'Comp Hardware'!$N$8,IF(AND(N38&lt;49,$A$4="LCR"),'Comp Hardware'!$N$6,IF(AND(N38&gt;48,N38&lt;96,$A$4="LCR"),'Comp Hardware'!$N$7,IF(AND(N38&gt;=96,$A$4="LCR"),'Comp Hardware'!$N$8,_xludf.na)))))))))))))*F38</f>
        <v>0</v>
      </c>
      <c r="AU38" s="181" cm="1">
        <f t="array" ref="AU38">IF(Q38="NO",0,IF(AND(N38&lt;49,$A$4="RETAIL"),'Comp Hardware'!$G$171,IF(AND(N38&gt;48,N38&lt;96,$A$4="RETAIL"),'Comp Hardware'!$G$171*1.5,IF(AND(N38&gt;=96,$A$4="RETAIL"),'Comp Hardware'!$G$171*2,IF(AND(N38&lt;49,$A$4="BLDR"),'Comp Hardware'!$H$171,IF(AND(N38&gt;48,N38&lt;96,$A$4="BLDR"),'Comp Hardware'!$H$171*1.5,IF(AND(N38&gt;=96,$A$4="BLDR"),'Comp Hardware'!$H$171*2,IF(AND(N38&lt;49,$A$4="WHOLE"),'Comp Hardware'!$I$171,IF(AND(N38&gt;48,N38&lt;96,$A$4="WHOLE"),'Comp Hardware'!$I$171*1.5,IF(AND(N38&gt;=96,$A$4="WHOLE"),'Comp Hardware'!$I$171*2,IF(AND(N38&lt;49,$A$4="LCR"),'Comp Hardware'!$I$171,IF(AND(N38&gt;48,N38&lt;96,$A$4="LCR"),'Comp Hardware'!$I$171*1.5,IF(AND(N38&gt;=96,$A$4="LCR"),'Comp Hardware'!$I$171*2,_xludf.na)))))))))))))*F38</f>
        <v>0</v>
      </c>
      <c r="AV38" s="104">
        <f t="shared" si="18"/>
        <v>0</v>
      </c>
      <c r="AW38" s="104">
        <f t="shared" si="19"/>
        <v>0</v>
      </c>
      <c r="AX38" s="104">
        <f t="shared" si="20"/>
        <v>0</v>
      </c>
      <c r="AY38" s="104">
        <f t="shared" si="21"/>
        <v>0</v>
      </c>
      <c r="AZ38" s="104">
        <f t="shared" si="22"/>
        <v>0</v>
      </c>
      <c r="BA38" s="104">
        <f t="shared" si="23"/>
        <v>0</v>
      </c>
    </row>
    <row r="39" spans="1:53">
      <c r="A39" s="2">
        <v>30</v>
      </c>
      <c r="B39" s="277">
        <f t="shared" si="24"/>
        <v>0</v>
      </c>
      <c r="C39" s="277">
        <f t="shared" si="25"/>
        <v>0</v>
      </c>
      <c r="D39" s="277">
        <f t="shared" si="26"/>
        <v>0</v>
      </c>
      <c r="E39" s="22">
        <f t="shared" si="27"/>
        <v>0</v>
      </c>
      <c r="F39" s="160"/>
      <c r="G39" s="160"/>
      <c r="H39" s="160"/>
      <c r="I39" s="160"/>
      <c r="J39" s="75" t="str">
        <f>IFERROR(VLOOKUP(I39,'PAINT LABOR COSTS'!$B$59:$C$61,2,FALSE),"Pick Color")</f>
        <v>Pick Color</v>
      </c>
      <c r="K39" s="160"/>
      <c r="L39" s="198">
        <v>0</v>
      </c>
      <c r="M39" s="199">
        <v>0</v>
      </c>
      <c r="N39" s="198">
        <v>0</v>
      </c>
      <c r="O39" s="199">
        <v>0</v>
      </c>
      <c r="P39" s="160" t="s">
        <v>419</v>
      </c>
      <c r="Q39" s="160" t="s">
        <v>419</v>
      </c>
      <c r="R39" s="160" t="s">
        <v>419</v>
      </c>
      <c r="S39" s="160" t="s">
        <v>419</v>
      </c>
      <c r="T39" s="160" t="s">
        <v>419</v>
      </c>
      <c r="U39" s="160" t="s">
        <v>419</v>
      </c>
      <c r="V39" s="160" t="s">
        <v>419</v>
      </c>
      <c r="W39" s="160">
        <v>0</v>
      </c>
      <c r="X39" s="160" t="s">
        <v>419</v>
      </c>
      <c r="Y39" s="160">
        <v>0</v>
      </c>
      <c r="Z39" s="160" t="s">
        <v>419</v>
      </c>
      <c r="AB39" s="2">
        <f t="shared" si="1"/>
        <v>0</v>
      </c>
      <c r="AC39" s="277">
        <f t="shared" si="2"/>
        <v>0</v>
      </c>
      <c r="AD39" s="277">
        <f t="shared" si="3"/>
        <v>0</v>
      </c>
      <c r="AE39" s="234">
        <f t="shared" si="4"/>
        <v>0</v>
      </c>
      <c r="AF39" s="104">
        <f t="shared" si="5"/>
        <v>0</v>
      </c>
      <c r="AG39" s="279">
        <f t="shared" si="6"/>
        <v>0</v>
      </c>
      <c r="AH39" s="279">
        <f t="shared" si="7"/>
        <v>0</v>
      </c>
      <c r="AI39" s="104">
        <f t="shared" si="8"/>
        <v>0</v>
      </c>
      <c r="AJ39" s="104">
        <f t="shared" si="9"/>
        <v>0</v>
      </c>
      <c r="AK39" s="104">
        <f t="shared" si="10"/>
        <v>0</v>
      </c>
      <c r="AL39" s="104">
        <f t="shared" si="11"/>
        <v>0</v>
      </c>
      <c r="AM39" s="104">
        <f t="shared" si="12"/>
        <v>0</v>
      </c>
      <c r="AN39" s="104">
        <f t="shared" si="13"/>
        <v>0</v>
      </c>
      <c r="AO39" s="104">
        <f t="shared" si="14"/>
        <v>0</v>
      </c>
      <c r="AP39" s="181">
        <f>IF(I39="BB-CFPNT",VLOOKUP(I39,'PAINT LABOR COSTS'!$B$59:$M$61,12,0)*(AB39/144),0)</f>
        <v>0</v>
      </c>
      <c r="AQ39" s="181">
        <f t="shared" si="15"/>
        <v>0</v>
      </c>
      <c r="AR39" s="104">
        <f t="shared" si="16"/>
        <v>0</v>
      </c>
      <c r="AS39" s="104">
        <f t="shared" si="17"/>
        <v>0</v>
      </c>
      <c r="AT39" s="181" cm="1">
        <f t="array" ref="AT39">IF(P39="NO",0,IF(AND(N39&lt;49,$A$4="RETAIL"),'Comp Hardware'!$L$6,IF(AND(N39&gt;48,N39&lt;96,$A$4="RETAIL"),'Comp Hardware'!$L$7,IF(AND(N39&gt;=96,$A$4="RETAIL"),'Comp Hardware'!$L$8,IF(AND(N39&lt;49,$A$4="BLDR"),'Comp Hardware'!$M$6,IF(AND(N39&gt;48,N39&lt;96,$A$4="BLDR"),'Comp Hardware'!$M$7,IF(AND(N39&gt;=96,$A$4="BLDR"),'Comp Hardware'!$M$8,IF(AND(N39&lt;49,$A$4="WHOLE"),'Comp Hardware'!$N$6,IF(AND(N39&gt;48,N39&lt;96,$A$4="WHOLE"),'Comp Hardware'!$N$7,IF(AND(N39&gt;=96,$A$4="WHOLE"),'Comp Hardware'!$N$8,IF(AND(N39&lt;49,$A$4="LCR"),'Comp Hardware'!$N$6,IF(AND(N39&gt;48,N39&lt;96,$A$4="LCR"),'Comp Hardware'!$N$7,IF(AND(N39&gt;=96,$A$4="LCR"),'Comp Hardware'!$N$8,_xludf.na)))))))))))))*F39</f>
        <v>0</v>
      </c>
      <c r="AU39" s="181" cm="1">
        <f t="array" ref="AU39">IF(Q39="NO",0,IF(AND(N39&lt;49,$A$4="RETAIL"),'Comp Hardware'!$G$171,IF(AND(N39&gt;48,N39&lt;96,$A$4="RETAIL"),'Comp Hardware'!$G$171*1.5,IF(AND(N39&gt;=96,$A$4="RETAIL"),'Comp Hardware'!$G$171*2,IF(AND(N39&lt;49,$A$4="BLDR"),'Comp Hardware'!$H$171,IF(AND(N39&gt;48,N39&lt;96,$A$4="BLDR"),'Comp Hardware'!$H$171*1.5,IF(AND(N39&gt;=96,$A$4="BLDR"),'Comp Hardware'!$H$171*2,IF(AND(N39&lt;49,$A$4="WHOLE"),'Comp Hardware'!$I$171,IF(AND(N39&gt;48,N39&lt;96,$A$4="WHOLE"),'Comp Hardware'!$I$171*1.5,IF(AND(N39&gt;=96,$A$4="WHOLE"),'Comp Hardware'!$I$171*2,IF(AND(N39&lt;49,$A$4="LCR"),'Comp Hardware'!$I$171,IF(AND(N39&gt;48,N39&lt;96,$A$4="LCR"),'Comp Hardware'!$I$171*1.5,IF(AND(N39&gt;=96,$A$4="LCR"),'Comp Hardware'!$I$171*2,_xludf.na)))))))))))))*F39</f>
        <v>0</v>
      </c>
      <c r="AV39" s="104">
        <f t="shared" si="18"/>
        <v>0</v>
      </c>
      <c r="AW39" s="104">
        <f t="shared" si="19"/>
        <v>0</v>
      </c>
      <c r="AX39" s="104">
        <f t="shared" si="20"/>
        <v>0</v>
      </c>
      <c r="AY39" s="104">
        <f t="shared" si="21"/>
        <v>0</v>
      </c>
      <c r="AZ39" s="104">
        <f t="shared" si="22"/>
        <v>0</v>
      </c>
      <c r="BA39" s="104">
        <f t="shared" si="23"/>
        <v>0</v>
      </c>
    </row>
    <row r="40" spans="1:53">
      <c r="A40" s="2">
        <v>31</v>
      </c>
      <c r="B40" s="277">
        <f t="shared" si="24"/>
        <v>0</v>
      </c>
      <c r="C40" s="277">
        <f t="shared" si="25"/>
        <v>0</v>
      </c>
      <c r="D40" s="277">
        <f t="shared" si="26"/>
        <v>0</v>
      </c>
      <c r="E40" s="22">
        <f t="shared" si="27"/>
        <v>0</v>
      </c>
      <c r="F40" s="160"/>
      <c r="G40" s="160"/>
      <c r="H40" s="160"/>
      <c r="I40" s="160"/>
      <c r="J40" s="75" t="str">
        <f>IFERROR(VLOOKUP(I40,'PAINT LABOR COSTS'!$B$59:$C$61,2,FALSE),"Pick Color")</f>
        <v>Pick Color</v>
      </c>
      <c r="K40" s="160"/>
      <c r="L40" s="198">
        <v>0</v>
      </c>
      <c r="M40" s="199">
        <v>0</v>
      </c>
      <c r="N40" s="198">
        <v>0</v>
      </c>
      <c r="O40" s="199">
        <v>0</v>
      </c>
      <c r="P40" s="160" t="s">
        <v>419</v>
      </c>
      <c r="Q40" s="160" t="s">
        <v>419</v>
      </c>
      <c r="R40" s="160" t="s">
        <v>419</v>
      </c>
      <c r="S40" s="160" t="s">
        <v>419</v>
      </c>
      <c r="T40" s="160" t="s">
        <v>419</v>
      </c>
      <c r="U40" s="160" t="s">
        <v>419</v>
      </c>
      <c r="V40" s="160" t="s">
        <v>419</v>
      </c>
      <c r="W40" s="160">
        <v>0</v>
      </c>
      <c r="X40" s="160" t="s">
        <v>419</v>
      </c>
      <c r="Y40" s="160">
        <v>0</v>
      </c>
      <c r="Z40" s="160" t="s">
        <v>419</v>
      </c>
      <c r="AB40" s="2">
        <f t="shared" si="1"/>
        <v>0</v>
      </c>
      <c r="AC40" s="277">
        <f t="shared" si="2"/>
        <v>0</v>
      </c>
      <c r="AD40" s="277">
        <f t="shared" si="3"/>
        <v>0</v>
      </c>
      <c r="AE40" s="234">
        <f t="shared" si="4"/>
        <v>0</v>
      </c>
      <c r="AF40" s="104">
        <f t="shared" si="5"/>
        <v>0</v>
      </c>
      <c r="AG40" s="279">
        <f t="shared" si="6"/>
        <v>0</v>
      </c>
      <c r="AH40" s="279">
        <f t="shared" si="7"/>
        <v>0</v>
      </c>
      <c r="AI40" s="104">
        <f t="shared" si="8"/>
        <v>0</v>
      </c>
      <c r="AJ40" s="104">
        <f t="shared" si="9"/>
        <v>0</v>
      </c>
      <c r="AK40" s="104">
        <f t="shared" si="10"/>
        <v>0</v>
      </c>
      <c r="AL40" s="104">
        <f t="shared" si="11"/>
        <v>0</v>
      </c>
      <c r="AM40" s="104">
        <f t="shared" si="12"/>
        <v>0</v>
      </c>
      <c r="AN40" s="104">
        <f t="shared" si="13"/>
        <v>0</v>
      </c>
      <c r="AO40" s="104">
        <f t="shared" si="14"/>
        <v>0</v>
      </c>
      <c r="AP40" s="181">
        <f>IF(I40="BB-CFPNT",VLOOKUP(I40,'PAINT LABOR COSTS'!$B$59:$M$61,12,0)*(AB40/144),0)</f>
        <v>0</v>
      </c>
      <c r="AQ40" s="181">
        <f t="shared" si="15"/>
        <v>0</v>
      </c>
      <c r="AR40" s="104">
        <f t="shared" si="16"/>
        <v>0</v>
      </c>
      <c r="AS40" s="104">
        <f t="shared" si="17"/>
        <v>0</v>
      </c>
      <c r="AT40" s="181" cm="1">
        <f t="array" ref="AT40">IF(P40="NO",0,IF(AND(N40&lt;49,$A$4="RETAIL"),'Comp Hardware'!$L$6,IF(AND(N40&gt;48,N40&lt;96,$A$4="RETAIL"),'Comp Hardware'!$L$7,IF(AND(N40&gt;=96,$A$4="RETAIL"),'Comp Hardware'!$L$8,IF(AND(N40&lt;49,$A$4="BLDR"),'Comp Hardware'!$M$6,IF(AND(N40&gt;48,N40&lt;96,$A$4="BLDR"),'Comp Hardware'!$M$7,IF(AND(N40&gt;=96,$A$4="BLDR"),'Comp Hardware'!$M$8,IF(AND(N40&lt;49,$A$4="WHOLE"),'Comp Hardware'!$N$6,IF(AND(N40&gt;48,N40&lt;96,$A$4="WHOLE"),'Comp Hardware'!$N$7,IF(AND(N40&gt;=96,$A$4="WHOLE"),'Comp Hardware'!$N$8,IF(AND(N40&lt;49,$A$4="LCR"),'Comp Hardware'!$N$6,IF(AND(N40&gt;48,N40&lt;96,$A$4="LCR"),'Comp Hardware'!$N$7,IF(AND(N40&gt;=96,$A$4="LCR"),'Comp Hardware'!$N$8,_xludf.na)))))))))))))*F40</f>
        <v>0</v>
      </c>
      <c r="AU40" s="181" cm="1">
        <f t="array" ref="AU40">IF(Q40="NO",0,IF(AND(N40&lt;49,$A$4="RETAIL"),'Comp Hardware'!$G$171,IF(AND(N40&gt;48,N40&lt;96,$A$4="RETAIL"),'Comp Hardware'!$G$171*1.5,IF(AND(N40&gt;=96,$A$4="RETAIL"),'Comp Hardware'!$G$171*2,IF(AND(N40&lt;49,$A$4="BLDR"),'Comp Hardware'!$H$171,IF(AND(N40&gt;48,N40&lt;96,$A$4="BLDR"),'Comp Hardware'!$H$171*1.5,IF(AND(N40&gt;=96,$A$4="BLDR"),'Comp Hardware'!$H$171*2,IF(AND(N40&lt;49,$A$4="WHOLE"),'Comp Hardware'!$I$171,IF(AND(N40&gt;48,N40&lt;96,$A$4="WHOLE"),'Comp Hardware'!$I$171*1.5,IF(AND(N40&gt;=96,$A$4="WHOLE"),'Comp Hardware'!$I$171*2,IF(AND(N40&lt;49,$A$4="LCR"),'Comp Hardware'!$I$171,IF(AND(N40&gt;48,N40&lt;96,$A$4="LCR"),'Comp Hardware'!$I$171*1.5,IF(AND(N40&gt;=96,$A$4="LCR"),'Comp Hardware'!$I$171*2,_xludf.na)))))))))))))*F40</f>
        <v>0</v>
      </c>
      <c r="AV40" s="104">
        <f t="shared" si="18"/>
        <v>0</v>
      </c>
      <c r="AW40" s="104">
        <f t="shared" si="19"/>
        <v>0</v>
      </c>
      <c r="AX40" s="104">
        <f t="shared" si="20"/>
        <v>0</v>
      </c>
      <c r="AY40" s="104">
        <f t="shared" si="21"/>
        <v>0</v>
      </c>
      <c r="AZ40" s="104">
        <f t="shared" si="22"/>
        <v>0</v>
      </c>
      <c r="BA40" s="104">
        <f t="shared" si="23"/>
        <v>0</v>
      </c>
    </row>
    <row r="41" spans="1:53">
      <c r="A41" s="2">
        <v>32</v>
      </c>
      <c r="B41" s="277">
        <f t="shared" si="24"/>
        <v>0</v>
      </c>
      <c r="C41" s="277">
        <f t="shared" si="25"/>
        <v>0</v>
      </c>
      <c r="D41" s="277">
        <f t="shared" si="26"/>
        <v>0</v>
      </c>
      <c r="E41" s="22">
        <f t="shared" si="27"/>
        <v>0</v>
      </c>
      <c r="F41" s="160"/>
      <c r="G41" s="160"/>
      <c r="H41" s="160"/>
      <c r="I41" s="160"/>
      <c r="J41" s="75" t="str">
        <f>IFERROR(VLOOKUP(I41,'PAINT LABOR COSTS'!$B$59:$C$61,2,FALSE),"Pick Color")</f>
        <v>Pick Color</v>
      </c>
      <c r="K41" s="160"/>
      <c r="L41" s="198">
        <v>0</v>
      </c>
      <c r="M41" s="199">
        <v>0</v>
      </c>
      <c r="N41" s="198">
        <v>0</v>
      </c>
      <c r="O41" s="199">
        <v>0</v>
      </c>
      <c r="P41" s="160" t="s">
        <v>419</v>
      </c>
      <c r="Q41" s="160" t="s">
        <v>419</v>
      </c>
      <c r="R41" s="160" t="s">
        <v>419</v>
      </c>
      <c r="S41" s="160" t="s">
        <v>419</v>
      </c>
      <c r="T41" s="160" t="s">
        <v>419</v>
      </c>
      <c r="U41" s="160" t="s">
        <v>419</v>
      </c>
      <c r="V41" s="160" t="s">
        <v>419</v>
      </c>
      <c r="W41" s="160">
        <v>0</v>
      </c>
      <c r="X41" s="160" t="s">
        <v>419</v>
      </c>
      <c r="Y41" s="160">
        <v>0</v>
      </c>
      <c r="Z41" s="160" t="s">
        <v>419</v>
      </c>
      <c r="AB41" s="2">
        <f t="shared" si="1"/>
        <v>0</v>
      </c>
      <c r="AC41" s="277">
        <f t="shared" si="2"/>
        <v>0</v>
      </c>
      <c r="AD41" s="277">
        <f t="shared" si="3"/>
        <v>0</v>
      </c>
      <c r="AE41" s="234">
        <f t="shared" si="4"/>
        <v>0</v>
      </c>
      <c r="AF41" s="104">
        <f t="shared" si="5"/>
        <v>0</v>
      </c>
      <c r="AG41" s="279">
        <f t="shared" si="6"/>
        <v>0</v>
      </c>
      <c r="AH41" s="279">
        <f t="shared" si="7"/>
        <v>0</v>
      </c>
      <c r="AI41" s="104">
        <f t="shared" si="8"/>
        <v>0</v>
      </c>
      <c r="AJ41" s="104">
        <f t="shared" si="9"/>
        <v>0</v>
      </c>
      <c r="AK41" s="104">
        <f t="shared" si="10"/>
        <v>0</v>
      </c>
      <c r="AL41" s="104">
        <f t="shared" si="11"/>
        <v>0</v>
      </c>
      <c r="AM41" s="104">
        <f t="shared" si="12"/>
        <v>0</v>
      </c>
      <c r="AN41" s="104">
        <f t="shared" si="13"/>
        <v>0</v>
      </c>
      <c r="AO41" s="104">
        <f t="shared" si="14"/>
        <v>0</v>
      </c>
      <c r="AP41" s="181">
        <f>IF(I41="BB-CFPNT",VLOOKUP(I41,'PAINT LABOR COSTS'!$B$59:$M$61,12,0)*(AB41/144),0)</f>
        <v>0</v>
      </c>
      <c r="AQ41" s="181">
        <f t="shared" si="15"/>
        <v>0</v>
      </c>
      <c r="AR41" s="104">
        <f t="shared" si="16"/>
        <v>0</v>
      </c>
      <c r="AS41" s="104">
        <f t="shared" si="17"/>
        <v>0</v>
      </c>
      <c r="AT41" s="181" cm="1">
        <f t="array" ref="AT41">IF(P41="NO",0,IF(AND(N41&lt;49,$A$4="RETAIL"),'Comp Hardware'!$L$6,IF(AND(N41&gt;48,N41&lt;96,$A$4="RETAIL"),'Comp Hardware'!$L$7,IF(AND(N41&gt;=96,$A$4="RETAIL"),'Comp Hardware'!$L$8,IF(AND(N41&lt;49,$A$4="BLDR"),'Comp Hardware'!$M$6,IF(AND(N41&gt;48,N41&lt;96,$A$4="BLDR"),'Comp Hardware'!$M$7,IF(AND(N41&gt;=96,$A$4="BLDR"),'Comp Hardware'!$M$8,IF(AND(N41&lt;49,$A$4="WHOLE"),'Comp Hardware'!$N$6,IF(AND(N41&gt;48,N41&lt;96,$A$4="WHOLE"),'Comp Hardware'!$N$7,IF(AND(N41&gt;=96,$A$4="WHOLE"),'Comp Hardware'!$N$8,IF(AND(N41&lt;49,$A$4="LCR"),'Comp Hardware'!$N$6,IF(AND(N41&gt;48,N41&lt;96,$A$4="LCR"),'Comp Hardware'!$N$7,IF(AND(N41&gt;=96,$A$4="LCR"),'Comp Hardware'!$N$8,_xludf.na)))))))))))))*F41</f>
        <v>0</v>
      </c>
      <c r="AU41" s="181" cm="1">
        <f t="array" ref="AU41">IF(Q41="NO",0,IF(AND(N41&lt;49,$A$4="RETAIL"),'Comp Hardware'!$G$171,IF(AND(N41&gt;48,N41&lt;96,$A$4="RETAIL"),'Comp Hardware'!$G$171*1.5,IF(AND(N41&gt;=96,$A$4="RETAIL"),'Comp Hardware'!$G$171*2,IF(AND(N41&lt;49,$A$4="BLDR"),'Comp Hardware'!$H$171,IF(AND(N41&gt;48,N41&lt;96,$A$4="BLDR"),'Comp Hardware'!$H$171*1.5,IF(AND(N41&gt;=96,$A$4="BLDR"),'Comp Hardware'!$H$171*2,IF(AND(N41&lt;49,$A$4="WHOLE"),'Comp Hardware'!$I$171,IF(AND(N41&gt;48,N41&lt;96,$A$4="WHOLE"),'Comp Hardware'!$I$171*1.5,IF(AND(N41&gt;=96,$A$4="WHOLE"),'Comp Hardware'!$I$171*2,IF(AND(N41&lt;49,$A$4="LCR"),'Comp Hardware'!$I$171,IF(AND(N41&gt;48,N41&lt;96,$A$4="LCR"),'Comp Hardware'!$I$171*1.5,IF(AND(N41&gt;=96,$A$4="LCR"),'Comp Hardware'!$I$171*2,_xludf.na)))))))))))))*F41</f>
        <v>0</v>
      </c>
      <c r="AV41" s="104">
        <f t="shared" si="18"/>
        <v>0</v>
      </c>
      <c r="AW41" s="104">
        <f t="shared" si="19"/>
        <v>0</v>
      </c>
      <c r="AX41" s="104">
        <f t="shared" si="20"/>
        <v>0</v>
      </c>
      <c r="AY41" s="104">
        <f t="shared" si="21"/>
        <v>0</v>
      </c>
      <c r="AZ41" s="104">
        <f t="shared" si="22"/>
        <v>0</v>
      </c>
      <c r="BA41" s="104">
        <f t="shared" si="23"/>
        <v>0</v>
      </c>
    </row>
    <row r="42" spans="1:53">
      <c r="A42" s="2">
        <v>33</v>
      </c>
      <c r="B42" s="277">
        <f t="shared" si="24"/>
        <v>0</v>
      </c>
      <c r="C42" s="277">
        <f t="shared" si="25"/>
        <v>0</v>
      </c>
      <c r="D42" s="277">
        <f t="shared" si="26"/>
        <v>0</v>
      </c>
      <c r="E42" s="22">
        <f t="shared" si="27"/>
        <v>0</v>
      </c>
      <c r="F42" s="160"/>
      <c r="G42" s="160"/>
      <c r="H42" s="160"/>
      <c r="I42" s="160"/>
      <c r="J42" s="75" t="str">
        <f>IFERROR(VLOOKUP(I42,'PAINT LABOR COSTS'!$B$59:$C$61,2,FALSE),"Pick Color")</f>
        <v>Pick Color</v>
      </c>
      <c r="K42" s="160"/>
      <c r="L42" s="198">
        <v>0</v>
      </c>
      <c r="M42" s="199">
        <v>0</v>
      </c>
      <c r="N42" s="198">
        <v>0</v>
      </c>
      <c r="O42" s="199">
        <v>0</v>
      </c>
      <c r="P42" s="160" t="s">
        <v>419</v>
      </c>
      <c r="Q42" s="160" t="s">
        <v>419</v>
      </c>
      <c r="R42" s="160" t="s">
        <v>419</v>
      </c>
      <c r="S42" s="160" t="s">
        <v>419</v>
      </c>
      <c r="T42" s="160" t="s">
        <v>419</v>
      </c>
      <c r="U42" s="160" t="s">
        <v>419</v>
      </c>
      <c r="V42" s="160" t="s">
        <v>419</v>
      </c>
      <c r="W42" s="160">
        <v>0</v>
      </c>
      <c r="X42" s="160" t="s">
        <v>419</v>
      </c>
      <c r="Y42" s="160">
        <v>0</v>
      </c>
      <c r="Z42" s="160" t="s">
        <v>419</v>
      </c>
      <c r="AB42" s="2">
        <f t="shared" ref="AB42:AB73" si="28">IF(G42="S",(L42+M42)*(N42+O42)*F42,IF(G42="PR",(L42+M42)*(N42+O42)*2*F42,0))</f>
        <v>0</v>
      </c>
      <c r="AC42" s="277">
        <f t="shared" ref="AC42:AC73" si="29">IF(H42="BB",0.1333*AB42*$AF$163*2,IF(H42="LOU",0,IF(H42="RP",0,0)))</f>
        <v>0</v>
      </c>
      <c r="AD42" s="277">
        <f t="shared" ref="AD42:AD73" si="30">IF(H42="BB",0,IF(H42="LOU",(((AE42/$AE$8)*0.86)/2)*$AD$8,IF(H42="RP",(((AE42/$AE$8)*0.86)/2)*$AD$8,0)))</f>
        <v>0</v>
      </c>
      <c r="AE42" s="234">
        <f t="shared" ref="AE42:AE73" si="31">IF(AND(L42&lt;&gt;"",N42&lt;&gt;""),F42*$AE$8*$AE$9,0)</f>
        <v>0</v>
      </c>
      <c r="AF42" s="104">
        <f t="shared" ref="AF42:AF73" si="32">IF(H42="",0,SUM(AC42:AE42))</f>
        <v>0</v>
      </c>
      <c r="AG42" s="279">
        <f t="shared" ref="AG42:AG73" si="33">IF(H42="BB",(AB42/$AG$163*$AG$161),IF(H42="LOU",(AB42*$AG$167),IF(H42="RP",(AB42*$AG$167),0)))</f>
        <v>0</v>
      </c>
      <c r="AH42" s="279">
        <f t="shared" ref="AH42:AH73" si="34">IF(H42="BB",(AB42*$AH$167*$AH$161),IF(H42="RP",(AB42*$AH$167*$AH$161),IF(H42="LOU",(AB42*$AH$167*$AH$161),0)))</f>
        <v>0</v>
      </c>
      <c r="AI42" s="104">
        <f t="shared" ref="AI42:AI73" si="35">IF(H42="BB",(AB42*$AI$162*$AI$7/60),IF(H42="RP",(AB42*$AI$164*$AI$7/60),IF(H42="LOU",(AB42*$AI$166*$AI$7/60),0)))</f>
        <v>0</v>
      </c>
      <c r="AJ42" s="104">
        <f t="shared" ref="AJ42:AJ73" si="36">IF(H42="BB",AB42*$AJ$162,IF(H42="RP",AB42*$AJ$164,IF(H42="LOU",AB42*$AJ$166,0)))</f>
        <v>0</v>
      </c>
      <c r="AK42" s="104">
        <f t="shared" ref="AK42:AK73" si="37">IF(H42="BB",AB42*$AK$162,IF(H42="RP",AB42*$AK$164,IF(H42="LOU",AB42*$AK$166,0)))</f>
        <v>0</v>
      </c>
      <c r="AL42" s="104">
        <f t="shared" ref="AL42:AL73" si="38">IF(OR(I42="NoPriPnt"),0,IF(H42="BB",AB42*$AL$162,IF(H42="RP",AB42*$AL$164,IF(H42="LOU",AB42*$AL$166,0))))</f>
        <v>0</v>
      </c>
      <c r="AM42" s="104">
        <f t="shared" ref="AM42:AM73" si="39">IF(OR(I42="NoPriPnt"),0,IF(H42="BB",AB42*$AM$162,IF(H42="RP",AB42*$AM$164,IF(H42="LOU",AB42*$AM$166,0))))</f>
        <v>0</v>
      </c>
      <c r="AN42" s="104">
        <f t="shared" ref="AN42:AN73" si="40">IF(OR(I42="NoPriPnt"),0,IF(H42="BB",AB42*$AN$162,IF(H42="RP",AB42*$AN$164,IF(H42="LOU",AB42*$AN$166,0))))</f>
        <v>0</v>
      </c>
      <c r="AO42" s="104">
        <f t="shared" ref="AO42:AO73" si="41">IF(OR(I42="NoPriPnt"),0,IF(H42="BB",AB42*$AO$162,IF(H42="RP",AB42*$AO$164,IF(H42="LOU",AB42*$AO$166,0))))</f>
        <v>0</v>
      </c>
      <c r="AP42" s="181">
        <f>IF(I42="BB-CFPNT",VLOOKUP(I42,'PAINT LABOR COSTS'!$B$59:$M$61,12,0)*(AB42/144),0)</f>
        <v>0</v>
      </c>
      <c r="AQ42" s="181">
        <f t="shared" ref="AQ42:AQ73" si="42">IF(I42="BB-112-3265",0,IF(I42="NoPriPnt",0,IF(H42="BB",AB42*$AN$162,IF(H42="RP",AB42*$AN$164,IF(H42="LOU",AB42*$AN$166,0)))))</f>
        <v>0</v>
      </c>
      <c r="AR42" s="104">
        <f t="shared" ref="AR42:AR73" si="43">IF(K42="DELIVERY",$AR$167*F42,IF(K42="PICKUP",$AR$163*F42,IF(K42="SHIP/CR",$AR$165*F42,IF(K42="LCR",$AR$171*F42,IF(K42="INSTALL",$AR$169*F42,0)))))</f>
        <v>0</v>
      </c>
      <c r="AS42" s="104">
        <f t="shared" ref="AS42:AS73" si="44">IF(AND(L42&gt;30,L42&lt;97),$AS$8,0)*F42</f>
        <v>0</v>
      </c>
      <c r="AT42" s="181" cm="1">
        <f t="array" ref="AT42">IF(P42="NO",0,IF(AND(N42&lt;49,$A$4="RETAIL"),'Comp Hardware'!$L$6,IF(AND(N42&gt;48,N42&lt;96,$A$4="RETAIL"),'Comp Hardware'!$L$7,IF(AND(N42&gt;=96,$A$4="RETAIL"),'Comp Hardware'!$L$8,IF(AND(N42&lt;49,$A$4="BLDR"),'Comp Hardware'!$M$6,IF(AND(N42&gt;48,N42&lt;96,$A$4="BLDR"),'Comp Hardware'!$M$7,IF(AND(N42&gt;=96,$A$4="BLDR"),'Comp Hardware'!$M$8,IF(AND(N42&lt;49,$A$4="WHOLE"),'Comp Hardware'!$N$6,IF(AND(N42&gt;48,N42&lt;96,$A$4="WHOLE"),'Comp Hardware'!$N$7,IF(AND(N42&gt;=96,$A$4="WHOLE"),'Comp Hardware'!$N$8,IF(AND(N42&lt;49,$A$4="LCR"),'Comp Hardware'!$N$6,IF(AND(N42&gt;48,N42&lt;96,$A$4="LCR"),'Comp Hardware'!$N$7,IF(AND(N42&gt;=96,$A$4="LCR"),'Comp Hardware'!$N$8,_xludf.na)))))))))))))*F42</f>
        <v>0</v>
      </c>
      <c r="AU42" s="181" cm="1">
        <f t="array" ref="AU42">IF(Q42="NO",0,IF(AND(N42&lt;49,$A$4="RETAIL"),'Comp Hardware'!$G$171,IF(AND(N42&gt;48,N42&lt;96,$A$4="RETAIL"),'Comp Hardware'!$G$171*1.5,IF(AND(N42&gt;=96,$A$4="RETAIL"),'Comp Hardware'!$G$171*2,IF(AND(N42&lt;49,$A$4="BLDR"),'Comp Hardware'!$H$171,IF(AND(N42&gt;48,N42&lt;96,$A$4="BLDR"),'Comp Hardware'!$H$171*1.5,IF(AND(N42&gt;=96,$A$4="BLDR"),'Comp Hardware'!$H$171*2,IF(AND(N42&lt;49,$A$4="WHOLE"),'Comp Hardware'!$I$171,IF(AND(N42&gt;48,N42&lt;96,$A$4="WHOLE"),'Comp Hardware'!$I$171*1.5,IF(AND(N42&gt;=96,$A$4="WHOLE"),'Comp Hardware'!$I$171*2,IF(AND(N42&lt;49,$A$4="LCR"),'Comp Hardware'!$I$171,IF(AND(N42&gt;48,N42&lt;96,$A$4="LCR"),'Comp Hardware'!$I$171*1.5,IF(AND(N42&gt;=96,$A$4="LCR"),'Comp Hardware'!$I$171*2,_xludf.na)))))))))))))*F42</f>
        <v>0</v>
      </c>
      <c r="AV42" s="104">
        <f t="shared" ref="AV42:AV73" si="45">IF(R42="NO",0,IF(AND(G42="S",R42="YES"),$AV$8/2,IF(AND(G42="PR",R42="YES"),$AV$8,0)))*F42</f>
        <v>0</v>
      </c>
      <c r="AW42" s="104">
        <f t="shared" ref="AW42:AW73" si="46">IF(S42="NO",0,IF(AND(G42="S",S42="YES"),$AW$8/2*F42,$AW$8*F42))</f>
        <v>0</v>
      </c>
      <c r="AX42" s="104">
        <f t="shared" ref="AX42:AX73" si="47">IF(W42="+1",$AX$8, IF(W42="+2",$AX$8*2,IF(W42="+3",$AX$8*3,0)))*F42</f>
        <v>0</v>
      </c>
      <c r="AY42" s="104">
        <f t="shared" ref="AY42:AY73" si="48">IF(X42="NO",0,IF(AND(X42="YES",G42="PR"),$AY$8, IF(AND(X42="YES",G42="S"),$AY$8/2,0)))*F42</f>
        <v>0</v>
      </c>
      <c r="AZ42" s="104">
        <f t="shared" ref="AZ42:AZ73" si="49">IF(Y42="+1",$AZ$8, IF(Y42="+2",$AZ$8*2,IF(Y42="+3",$AZ$8*3,0)))*F42</f>
        <v>0</v>
      </c>
      <c r="BA42" s="104">
        <f t="shared" ref="BA42:BA73" si="50">IF(Z42="NO",0,IF(AND(G42="S",Z42="YES"),$AV$8/2,IF(AND(G42="PR",Z42="YES"),$AV$8,0)))*F42</f>
        <v>0</v>
      </c>
    </row>
    <row r="43" spans="1:53">
      <c r="A43" s="2">
        <v>34</v>
      </c>
      <c r="B43" s="277">
        <f t="shared" si="24"/>
        <v>0</v>
      </c>
      <c r="C43" s="277">
        <f t="shared" si="25"/>
        <v>0</v>
      </c>
      <c r="D43" s="277">
        <f t="shared" si="26"/>
        <v>0</v>
      </c>
      <c r="E43" s="22">
        <f t="shared" si="27"/>
        <v>0</v>
      </c>
      <c r="F43" s="160"/>
      <c r="G43" s="160"/>
      <c r="H43" s="160"/>
      <c r="I43" s="160"/>
      <c r="J43" s="75" t="str">
        <f>IFERROR(VLOOKUP(I43,'PAINT LABOR COSTS'!$B$59:$C$61,2,FALSE),"Pick Color")</f>
        <v>Pick Color</v>
      </c>
      <c r="K43" s="160"/>
      <c r="L43" s="198">
        <v>0</v>
      </c>
      <c r="M43" s="199">
        <v>0</v>
      </c>
      <c r="N43" s="198">
        <v>0</v>
      </c>
      <c r="O43" s="199">
        <v>0</v>
      </c>
      <c r="P43" s="160" t="s">
        <v>419</v>
      </c>
      <c r="Q43" s="160" t="s">
        <v>419</v>
      </c>
      <c r="R43" s="160" t="s">
        <v>419</v>
      </c>
      <c r="S43" s="160" t="s">
        <v>419</v>
      </c>
      <c r="T43" s="160" t="s">
        <v>419</v>
      </c>
      <c r="U43" s="160" t="s">
        <v>419</v>
      </c>
      <c r="V43" s="160" t="s">
        <v>419</v>
      </c>
      <c r="W43" s="160">
        <v>0</v>
      </c>
      <c r="X43" s="160" t="s">
        <v>419</v>
      </c>
      <c r="Y43" s="160">
        <v>0</v>
      </c>
      <c r="Z43" s="160" t="s">
        <v>419</v>
      </c>
      <c r="AB43" s="2">
        <f t="shared" si="28"/>
        <v>0</v>
      </c>
      <c r="AC43" s="277">
        <f t="shared" si="29"/>
        <v>0</v>
      </c>
      <c r="AD43" s="277">
        <f t="shared" si="30"/>
        <v>0</v>
      </c>
      <c r="AE43" s="234">
        <f t="shared" si="31"/>
        <v>0</v>
      </c>
      <c r="AF43" s="104">
        <f t="shared" si="32"/>
        <v>0</v>
      </c>
      <c r="AG43" s="279">
        <f t="shared" si="33"/>
        <v>0</v>
      </c>
      <c r="AH43" s="279">
        <f t="shared" si="34"/>
        <v>0</v>
      </c>
      <c r="AI43" s="104">
        <f t="shared" si="35"/>
        <v>0</v>
      </c>
      <c r="AJ43" s="104">
        <f t="shared" si="36"/>
        <v>0</v>
      </c>
      <c r="AK43" s="104">
        <f t="shared" si="37"/>
        <v>0</v>
      </c>
      <c r="AL43" s="104">
        <f t="shared" si="38"/>
        <v>0</v>
      </c>
      <c r="AM43" s="104">
        <f t="shared" si="39"/>
        <v>0</v>
      </c>
      <c r="AN43" s="104">
        <f t="shared" si="40"/>
        <v>0</v>
      </c>
      <c r="AO43" s="104">
        <f t="shared" si="41"/>
        <v>0</v>
      </c>
      <c r="AP43" s="181">
        <f>IF(I43="BB-CFPNT",VLOOKUP(I43,'PAINT LABOR COSTS'!$B$59:$M$61,12,0)*(AB43/144),0)</f>
        <v>0</v>
      </c>
      <c r="AQ43" s="181">
        <f t="shared" si="42"/>
        <v>0</v>
      </c>
      <c r="AR43" s="104">
        <f t="shared" si="43"/>
        <v>0</v>
      </c>
      <c r="AS43" s="104">
        <f t="shared" si="44"/>
        <v>0</v>
      </c>
      <c r="AT43" s="181" cm="1">
        <f t="array" ref="AT43">IF(P43="NO",0,IF(AND(N43&lt;49,$A$4="RETAIL"),'Comp Hardware'!$L$6,IF(AND(N43&gt;48,N43&lt;96,$A$4="RETAIL"),'Comp Hardware'!$L$7,IF(AND(N43&gt;=96,$A$4="RETAIL"),'Comp Hardware'!$L$8,IF(AND(N43&lt;49,$A$4="BLDR"),'Comp Hardware'!$M$6,IF(AND(N43&gt;48,N43&lt;96,$A$4="BLDR"),'Comp Hardware'!$M$7,IF(AND(N43&gt;=96,$A$4="BLDR"),'Comp Hardware'!$M$8,IF(AND(N43&lt;49,$A$4="WHOLE"),'Comp Hardware'!$N$6,IF(AND(N43&gt;48,N43&lt;96,$A$4="WHOLE"),'Comp Hardware'!$N$7,IF(AND(N43&gt;=96,$A$4="WHOLE"),'Comp Hardware'!$N$8,IF(AND(N43&lt;49,$A$4="LCR"),'Comp Hardware'!$N$6,IF(AND(N43&gt;48,N43&lt;96,$A$4="LCR"),'Comp Hardware'!$N$7,IF(AND(N43&gt;=96,$A$4="LCR"),'Comp Hardware'!$N$8,_xludf.na)))))))))))))*F43</f>
        <v>0</v>
      </c>
      <c r="AU43" s="181" cm="1">
        <f t="array" ref="AU43">IF(Q43="NO",0,IF(AND(N43&lt;49,$A$4="RETAIL"),'Comp Hardware'!$G$171,IF(AND(N43&gt;48,N43&lt;96,$A$4="RETAIL"),'Comp Hardware'!$G$171*1.5,IF(AND(N43&gt;=96,$A$4="RETAIL"),'Comp Hardware'!$G$171*2,IF(AND(N43&lt;49,$A$4="BLDR"),'Comp Hardware'!$H$171,IF(AND(N43&gt;48,N43&lt;96,$A$4="BLDR"),'Comp Hardware'!$H$171*1.5,IF(AND(N43&gt;=96,$A$4="BLDR"),'Comp Hardware'!$H$171*2,IF(AND(N43&lt;49,$A$4="WHOLE"),'Comp Hardware'!$I$171,IF(AND(N43&gt;48,N43&lt;96,$A$4="WHOLE"),'Comp Hardware'!$I$171*1.5,IF(AND(N43&gt;=96,$A$4="WHOLE"),'Comp Hardware'!$I$171*2,IF(AND(N43&lt;49,$A$4="LCR"),'Comp Hardware'!$I$171,IF(AND(N43&gt;48,N43&lt;96,$A$4="LCR"),'Comp Hardware'!$I$171*1.5,IF(AND(N43&gt;=96,$A$4="LCR"),'Comp Hardware'!$I$171*2,_xludf.na)))))))))))))*F43</f>
        <v>0</v>
      </c>
      <c r="AV43" s="104">
        <f t="shared" si="45"/>
        <v>0</v>
      </c>
      <c r="AW43" s="104">
        <f t="shared" si="46"/>
        <v>0</v>
      </c>
      <c r="AX43" s="104">
        <f t="shared" si="47"/>
        <v>0</v>
      </c>
      <c r="AY43" s="104">
        <f t="shared" si="48"/>
        <v>0</v>
      </c>
      <c r="AZ43" s="104">
        <f t="shared" si="49"/>
        <v>0</v>
      </c>
      <c r="BA43" s="104">
        <f t="shared" si="50"/>
        <v>0</v>
      </c>
    </row>
    <row r="44" spans="1:53">
      <c r="A44" s="2">
        <v>35</v>
      </c>
      <c r="B44" s="277">
        <f t="shared" si="24"/>
        <v>0</v>
      </c>
      <c r="C44" s="277">
        <f t="shared" si="25"/>
        <v>0</v>
      </c>
      <c r="D44" s="277">
        <f t="shared" si="26"/>
        <v>0</v>
      </c>
      <c r="E44" s="22">
        <f t="shared" si="27"/>
        <v>0</v>
      </c>
      <c r="F44" s="160"/>
      <c r="G44" s="160"/>
      <c r="H44" s="160"/>
      <c r="I44" s="160"/>
      <c r="J44" s="75" t="str">
        <f>IFERROR(VLOOKUP(I44,'PAINT LABOR COSTS'!$B$59:$C$61,2,FALSE),"Pick Color")</f>
        <v>Pick Color</v>
      </c>
      <c r="K44" s="160"/>
      <c r="L44" s="198">
        <v>0</v>
      </c>
      <c r="M44" s="199">
        <v>0</v>
      </c>
      <c r="N44" s="198">
        <v>0</v>
      </c>
      <c r="O44" s="199">
        <v>0</v>
      </c>
      <c r="P44" s="160" t="s">
        <v>419</v>
      </c>
      <c r="Q44" s="160" t="s">
        <v>419</v>
      </c>
      <c r="R44" s="160" t="s">
        <v>419</v>
      </c>
      <c r="S44" s="160" t="s">
        <v>419</v>
      </c>
      <c r="T44" s="160" t="s">
        <v>419</v>
      </c>
      <c r="U44" s="160" t="s">
        <v>419</v>
      </c>
      <c r="V44" s="160" t="s">
        <v>419</v>
      </c>
      <c r="W44" s="160">
        <v>0</v>
      </c>
      <c r="X44" s="160" t="s">
        <v>419</v>
      </c>
      <c r="Y44" s="160">
        <v>0</v>
      </c>
      <c r="Z44" s="160" t="s">
        <v>419</v>
      </c>
      <c r="AB44" s="2">
        <f t="shared" si="28"/>
        <v>0</v>
      </c>
      <c r="AC44" s="277">
        <f t="shared" si="29"/>
        <v>0</v>
      </c>
      <c r="AD44" s="277">
        <f t="shared" si="30"/>
        <v>0</v>
      </c>
      <c r="AE44" s="234">
        <f t="shared" si="31"/>
        <v>0</v>
      </c>
      <c r="AF44" s="104">
        <f t="shared" si="32"/>
        <v>0</v>
      </c>
      <c r="AG44" s="279">
        <f t="shared" si="33"/>
        <v>0</v>
      </c>
      <c r="AH44" s="279">
        <f t="shared" si="34"/>
        <v>0</v>
      </c>
      <c r="AI44" s="104">
        <f t="shared" si="35"/>
        <v>0</v>
      </c>
      <c r="AJ44" s="104">
        <f t="shared" si="36"/>
        <v>0</v>
      </c>
      <c r="AK44" s="104">
        <f t="shared" si="37"/>
        <v>0</v>
      </c>
      <c r="AL44" s="104">
        <f t="shared" si="38"/>
        <v>0</v>
      </c>
      <c r="AM44" s="104">
        <f t="shared" si="39"/>
        <v>0</v>
      </c>
      <c r="AN44" s="104">
        <f t="shared" si="40"/>
        <v>0</v>
      </c>
      <c r="AO44" s="104">
        <f t="shared" si="41"/>
        <v>0</v>
      </c>
      <c r="AP44" s="181">
        <f>IF(I44="BB-CFPNT",VLOOKUP(I44,'PAINT LABOR COSTS'!$B$59:$M$61,12,0)*(AB44/144),0)</f>
        <v>0</v>
      </c>
      <c r="AQ44" s="181">
        <f t="shared" si="42"/>
        <v>0</v>
      </c>
      <c r="AR44" s="104">
        <f t="shared" si="43"/>
        <v>0</v>
      </c>
      <c r="AS44" s="104">
        <f t="shared" si="44"/>
        <v>0</v>
      </c>
      <c r="AT44" s="181" cm="1">
        <f t="array" ref="AT44">IF(P44="NO",0,IF(AND(N44&lt;49,$A$4="RETAIL"),'Comp Hardware'!$L$6,IF(AND(N44&gt;48,N44&lt;96,$A$4="RETAIL"),'Comp Hardware'!$L$7,IF(AND(N44&gt;=96,$A$4="RETAIL"),'Comp Hardware'!$L$8,IF(AND(N44&lt;49,$A$4="BLDR"),'Comp Hardware'!$M$6,IF(AND(N44&gt;48,N44&lt;96,$A$4="BLDR"),'Comp Hardware'!$M$7,IF(AND(N44&gt;=96,$A$4="BLDR"),'Comp Hardware'!$M$8,IF(AND(N44&lt;49,$A$4="WHOLE"),'Comp Hardware'!$N$6,IF(AND(N44&gt;48,N44&lt;96,$A$4="WHOLE"),'Comp Hardware'!$N$7,IF(AND(N44&gt;=96,$A$4="WHOLE"),'Comp Hardware'!$N$8,IF(AND(N44&lt;49,$A$4="LCR"),'Comp Hardware'!$N$6,IF(AND(N44&gt;48,N44&lt;96,$A$4="LCR"),'Comp Hardware'!$N$7,IF(AND(N44&gt;=96,$A$4="LCR"),'Comp Hardware'!$N$8,_xludf.na)))))))))))))*F44</f>
        <v>0</v>
      </c>
      <c r="AU44" s="181" cm="1">
        <f t="array" ref="AU44">IF(Q44="NO",0,IF(AND(N44&lt;49,$A$4="RETAIL"),'Comp Hardware'!$G$171,IF(AND(N44&gt;48,N44&lt;96,$A$4="RETAIL"),'Comp Hardware'!$G$171*1.5,IF(AND(N44&gt;=96,$A$4="RETAIL"),'Comp Hardware'!$G$171*2,IF(AND(N44&lt;49,$A$4="BLDR"),'Comp Hardware'!$H$171,IF(AND(N44&gt;48,N44&lt;96,$A$4="BLDR"),'Comp Hardware'!$H$171*1.5,IF(AND(N44&gt;=96,$A$4="BLDR"),'Comp Hardware'!$H$171*2,IF(AND(N44&lt;49,$A$4="WHOLE"),'Comp Hardware'!$I$171,IF(AND(N44&gt;48,N44&lt;96,$A$4="WHOLE"),'Comp Hardware'!$I$171*1.5,IF(AND(N44&gt;=96,$A$4="WHOLE"),'Comp Hardware'!$I$171*2,IF(AND(N44&lt;49,$A$4="LCR"),'Comp Hardware'!$I$171,IF(AND(N44&gt;48,N44&lt;96,$A$4="LCR"),'Comp Hardware'!$I$171*1.5,IF(AND(N44&gt;=96,$A$4="LCR"),'Comp Hardware'!$I$171*2,_xludf.na)))))))))))))*F44</f>
        <v>0</v>
      </c>
      <c r="AV44" s="104">
        <f t="shared" si="45"/>
        <v>0</v>
      </c>
      <c r="AW44" s="104">
        <f t="shared" si="46"/>
        <v>0</v>
      </c>
      <c r="AX44" s="104">
        <f t="shared" si="47"/>
        <v>0</v>
      </c>
      <c r="AY44" s="104">
        <f t="shared" si="48"/>
        <v>0</v>
      </c>
      <c r="AZ44" s="104">
        <f t="shared" si="49"/>
        <v>0</v>
      </c>
      <c r="BA44" s="104">
        <f t="shared" si="50"/>
        <v>0</v>
      </c>
    </row>
    <row r="45" spans="1:53">
      <c r="A45" s="2">
        <v>36</v>
      </c>
      <c r="B45" s="277">
        <f t="shared" si="24"/>
        <v>0</v>
      </c>
      <c r="C45" s="277">
        <f t="shared" si="25"/>
        <v>0</v>
      </c>
      <c r="D45" s="277">
        <f t="shared" si="26"/>
        <v>0</v>
      </c>
      <c r="E45" s="22">
        <f t="shared" si="27"/>
        <v>0</v>
      </c>
      <c r="F45" s="160"/>
      <c r="G45" s="160"/>
      <c r="H45" s="160"/>
      <c r="I45" s="160"/>
      <c r="J45" s="75" t="str">
        <f>IFERROR(VLOOKUP(I45,'PAINT LABOR COSTS'!$B$59:$C$61,2,FALSE),"Pick Color")</f>
        <v>Pick Color</v>
      </c>
      <c r="K45" s="160"/>
      <c r="L45" s="198">
        <v>0</v>
      </c>
      <c r="M45" s="199">
        <v>0</v>
      </c>
      <c r="N45" s="198">
        <v>0</v>
      </c>
      <c r="O45" s="199">
        <v>0</v>
      </c>
      <c r="P45" s="160" t="s">
        <v>419</v>
      </c>
      <c r="Q45" s="160" t="s">
        <v>419</v>
      </c>
      <c r="R45" s="160" t="s">
        <v>419</v>
      </c>
      <c r="S45" s="160" t="s">
        <v>419</v>
      </c>
      <c r="T45" s="160" t="s">
        <v>419</v>
      </c>
      <c r="U45" s="160" t="s">
        <v>419</v>
      </c>
      <c r="V45" s="160" t="s">
        <v>419</v>
      </c>
      <c r="W45" s="160">
        <v>0</v>
      </c>
      <c r="X45" s="160" t="s">
        <v>419</v>
      </c>
      <c r="Y45" s="160">
        <v>0</v>
      </c>
      <c r="Z45" s="160" t="s">
        <v>419</v>
      </c>
      <c r="AB45" s="2">
        <f t="shared" si="28"/>
        <v>0</v>
      </c>
      <c r="AC45" s="277">
        <f t="shared" si="29"/>
        <v>0</v>
      </c>
      <c r="AD45" s="277">
        <f t="shared" si="30"/>
        <v>0</v>
      </c>
      <c r="AE45" s="234">
        <f t="shared" si="31"/>
        <v>0</v>
      </c>
      <c r="AF45" s="104">
        <f t="shared" si="32"/>
        <v>0</v>
      </c>
      <c r="AG45" s="279">
        <f t="shared" si="33"/>
        <v>0</v>
      </c>
      <c r="AH45" s="279">
        <f t="shared" si="34"/>
        <v>0</v>
      </c>
      <c r="AI45" s="104">
        <f t="shared" si="35"/>
        <v>0</v>
      </c>
      <c r="AJ45" s="104">
        <f t="shared" si="36"/>
        <v>0</v>
      </c>
      <c r="AK45" s="104">
        <f t="shared" si="37"/>
        <v>0</v>
      </c>
      <c r="AL45" s="104">
        <f t="shared" si="38"/>
        <v>0</v>
      </c>
      <c r="AM45" s="104">
        <f t="shared" si="39"/>
        <v>0</v>
      </c>
      <c r="AN45" s="104">
        <f t="shared" si="40"/>
        <v>0</v>
      </c>
      <c r="AO45" s="104">
        <f t="shared" si="41"/>
        <v>0</v>
      </c>
      <c r="AP45" s="181">
        <f>IF(I45="BB-CFPNT",VLOOKUP(I45,'PAINT LABOR COSTS'!$B$59:$M$61,12,0)*(AB45/144),0)</f>
        <v>0</v>
      </c>
      <c r="AQ45" s="181">
        <f t="shared" si="42"/>
        <v>0</v>
      </c>
      <c r="AR45" s="104">
        <f t="shared" si="43"/>
        <v>0</v>
      </c>
      <c r="AS45" s="104">
        <f t="shared" si="44"/>
        <v>0</v>
      </c>
      <c r="AT45" s="181" cm="1">
        <f t="array" ref="AT45">IF(P45="NO",0,IF(AND(N45&lt;49,$A$4="RETAIL"),'Comp Hardware'!$L$6,IF(AND(N45&gt;48,N45&lt;96,$A$4="RETAIL"),'Comp Hardware'!$L$7,IF(AND(N45&gt;=96,$A$4="RETAIL"),'Comp Hardware'!$L$8,IF(AND(N45&lt;49,$A$4="BLDR"),'Comp Hardware'!$M$6,IF(AND(N45&gt;48,N45&lt;96,$A$4="BLDR"),'Comp Hardware'!$M$7,IF(AND(N45&gt;=96,$A$4="BLDR"),'Comp Hardware'!$M$8,IF(AND(N45&lt;49,$A$4="WHOLE"),'Comp Hardware'!$N$6,IF(AND(N45&gt;48,N45&lt;96,$A$4="WHOLE"),'Comp Hardware'!$N$7,IF(AND(N45&gt;=96,$A$4="WHOLE"),'Comp Hardware'!$N$8,IF(AND(N45&lt;49,$A$4="LCR"),'Comp Hardware'!$N$6,IF(AND(N45&gt;48,N45&lt;96,$A$4="LCR"),'Comp Hardware'!$N$7,IF(AND(N45&gt;=96,$A$4="LCR"),'Comp Hardware'!$N$8,_xludf.na)))))))))))))*F45</f>
        <v>0</v>
      </c>
      <c r="AU45" s="181" cm="1">
        <f t="array" ref="AU45">IF(Q45="NO",0,IF(AND(N45&lt;49,$A$4="RETAIL"),'Comp Hardware'!$G$171,IF(AND(N45&gt;48,N45&lt;96,$A$4="RETAIL"),'Comp Hardware'!$G$171*1.5,IF(AND(N45&gt;=96,$A$4="RETAIL"),'Comp Hardware'!$G$171*2,IF(AND(N45&lt;49,$A$4="BLDR"),'Comp Hardware'!$H$171,IF(AND(N45&gt;48,N45&lt;96,$A$4="BLDR"),'Comp Hardware'!$H$171*1.5,IF(AND(N45&gt;=96,$A$4="BLDR"),'Comp Hardware'!$H$171*2,IF(AND(N45&lt;49,$A$4="WHOLE"),'Comp Hardware'!$I$171,IF(AND(N45&gt;48,N45&lt;96,$A$4="WHOLE"),'Comp Hardware'!$I$171*1.5,IF(AND(N45&gt;=96,$A$4="WHOLE"),'Comp Hardware'!$I$171*2,IF(AND(N45&lt;49,$A$4="LCR"),'Comp Hardware'!$I$171,IF(AND(N45&gt;48,N45&lt;96,$A$4="LCR"),'Comp Hardware'!$I$171*1.5,IF(AND(N45&gt;=96,$A$4="LCR"),'Comp Hardware'!$I$171*2,_xludf.na)))))))))))))*F45</f>
        <v>0</v>
      </c>
      <c r="AV45" s="104">
        <f t="shared" si="45"/>
        <v>0</v>
      </c>
      <c r="AW45" s="104">
        <f t="shared" si="46"/>
        <v>0</v>
      </c>
      <c r="AX45" s="104">
        <f t="shared" si="47"/>
        <v>0</v>
      </c>
      <c r="AY45" s="104">
        <f t="shared" si="48"/>
        <v>0</v>
      </c>
      <c r="AZ45" s="104">
        <f t="shared" si="49"/>
        <v>0</v>
      </c>
      <c r="BA45" s="104">
        <f t="shared" si="50"/>
        <v>0</v>
      </c>
    </row>
    <row r="46" spans="1:53">
      <c r="A46" s="2">
        <v>37</v>
      </c>
      <c r="B46" s="277">
        <f t="shared" si="24"/>
        <v>0</v>
      </c>
      <c r="C46" s="277">
        <f t="shared" si="25"/>
        <v>0</v>
      </c>
      <c r="D46" s="277">
        <f t="shared" si="26"/>
        <v>0</v>
      </c>
      <c r="E46" s="22">
        <f t="shared" si="27"/>
        <v>0</v>
      </c>
      <c r="F46" s="160"/>
      <c r="G46" s="160"/>
      <c r="H46" s="160"/>
      <c r="I46" s="160"/>
      <c r="J46" s="75" t="str">
        <f>IFERROR(VLOOKUP(I46,'PAINT LABOR COSTS'!$B$59:$C$61,2,FALSE),"Pick Color")</f>
        <v>Pick Color</v>
      </c>
      <c r="K46" s="160"/>
      <c r="L46" s="198">
        <v>0</v>
      </c>
      <c r="M46" s="199">
        <v>0</v>
      </c>
      <c r="N46" s="198">
        <v>0</v>
      </c>
      <c r="O46" s="199">
        <v>0</v>
      </c>
      <c r="P46" s="160" t="s">
        <v>419</v>
      </c>
      <c r="Q46" s="160" t="s">
        <v>419</v>
      </c>
      <c r="R46" s="160" t="s">
        <v>419</v>
      </c>
      <c r="S46" s="160" t="s">
        <v>419</v>
      </c>
      <c r="T46" s="160" t="s">
        <v>419</v>
      </c>
      <c r="U46" s="160" t="s">
        <v>419</v>
      </c>
      <c r="V46" s="160" t="s">
        <v>419</v>
      </c>
      <c r="W46" s="160">
        <v>0</v>
      </c>
      <c r="X46" s="160" t="s">
        <v>419</v>
      </c>
      <c r="Y46" s="160">
        <v>0</v>
      </c>
      <c r="Z46" s="160" t="s">
        <v>419</v>
      </c>
      <c r="AB46" s="2">
        <f t="shared" si="28"/>
        <v>0</v>
      </c>
      <c r="AC46" s="277">
        <f t="shared" si="29"/>
        <v>0</v>
      </c>
      <c r="AD46" s="277">
        <f t="shared" si="30"/>
        <v>0</v>
      </c>
      <c r="AE46" s="234">
        <f t="shared" si="31"/>
        <v>0</v>
      </c>
      <c r="AF46" s="104">
        <f t="shared" si="32"/>
        <v>0</v>
      </c>
      <c r="AG46" s="279">
        <f t="shared" si="33"/>
        <v>0</v>
      </c>
      <c r="AH46" s="279">
        <f t="shared" si="34"/>
        <v>0</v>
      </c>
      <c r="AI46" s="104">
        <f t="shared" si="35"/>
        <v>0</v>
      </c>
      <c r="AJ46" s="104">
        <f t="shared" si="36"/>
        <v>0</v>
      </c>
      <c r="AK46" s="104">
        <f t="shared" si="37"/>
        <v>0</v>
      </c>
      <c r="AL46" s="104">
        <f t="shared" si="38"/>
        <v>0</v>
      </c>
      <c r="AM46" s="104">
        <f t="shared" si="39"/>
        <v>0</v>
      </c>
      <c r="AN46" s="104">
        <f t="shared" si="40"/>
        <v>0</v>
      </c>
      <c r="AO46" s="104">
        <f t="shared" si="41"/>
        <v>0</v>
      </c>
      <c r="AP46" s="181">
        <f>IF(I46="BB-CFPNT",VLOOKUP(I46,'PAINT LABOR COSTS'!$B$59:$M$61,12,0)*(AB46/144),0)</f>
        <v>0</v>
      </c>
      <c r="AQ46" s="181">
        <f t="shared" si="42"/>
        <v>0</v>
      </c>
      <c r="AR46" s="104">
        <f t="shared" si="43"/>
        <v>0</v>
      </c>
      <c r="AS46" s="104">
        <f t="shared" si="44"/>
        <v>0</v>
      </c>
      <c r="AT46" s="181" cm="1">
        <f t="array" ref="AT46">IF(P46="NO",0,IF(AND(N46&lt;49,$A$4="RETAIL"),'Comp Hardware'!$L$6,IF(AND(N46&gt;48,N46&lt;96,$A$4="RETAIL"),'Comp Hardware'!$L$7,IF(AND(N46&gt;=96,$A$4="RETAIL"),'Comp Hardware'!$L$8,IF(AND(N46&lt;49,$A$4="BLDR"),'Comp Hardware'!$M$6,IF(AND(N46&gt;48,N46&lt;96,$A$4="BLDR"),'Comp Hardware'!$M$7,IF(AND(N46&gt;=96,$A$4="BLDR"),'Comp Hardware'!$M$8,IF(AND(N46&lt;49,$A$4="WHOLE"),'Comp Hardware'!$N$6,IF(AND(N46&gt;48,N46&lt;96,$A$4="WHOLE"),'Comp Hardware'!$N$7,IF(AND(N46&gt;=96,$A$4="WHOLE"),'Comp Hardware'!$N$8,IF(AND(N46&lt;49,$A$4="LCR"),'Comp Hardware'!$N$6,IF(AND(N46&gt;48,N46&lt;96,$A$4="LCR"),'Comp Hardware'!$N$7,IF(AND(N46&gt;=96,$A$4="LCR"),'Comp Hardware'!$N$8,_xludf.na)))))))))))))*F46</f>
        <v>0</v>
      </c>
      <c r="AU46" s="181" cm="1">
        <f t="array" ref="AU46">IF(Q46="NO",0,IF(AND(N46&lt;49,$A$4="RETAIL"),'Comp Hardware'!$G$171,IF(AND(N46&gt;48,N46&lt;96,$A$4="RETAIL"),'Comp Hardware'!$G$171*1.5,IF(AND(N46&gt;=96,$A$4="RETAIL"),'Comp Hardware'!$G$171*2,IF(AND(N46&lt;49,$A$4="BLDR"),'Comp Hardware'!$H$171,IF(AND(N46&gt;48,N46&lt;96,$A$4="BLDR"),'Comp Hardware'!$H$171*1.5,IF(AND(N46&gt;=96,$A$4="BLDR"),'Comp Hardware'!$H$171*2,IF(AND(N46&lt;49,$A$4="WHOLE"),'Comp Hardware'!$I$171,IF(AND(N46&gt;48,N46&lt;96,$A$4="WHOLE"),'Comp Hardware'!$I$171*1.5,IF(AND(N46&gt;=96,$A$4="WHOLE"),'Comp Hardware'!$I$171*2,IF(AND(N46&lt;49,$A$4="LCR"),'Comp Hardware'!$I$171,IF(AND(N46&gt;48,N46&lt;96,$A$4="LCR"),'Comp Hardware'!$I$171*1.5,IF(AND(N46&gt;=96,$A$4="LCR"),'Comp Hardware'!$I$171*2,_xludf.na)))))))))))))*F46</f>
        <v>0</v>
      </c>
      <c r="AV46" s="104">
        <f t="shared" si="45"/>
        <v>0</v>
      </c>
      <c r="AW46" s="104">
        <f t="shared" si="46"/>
        <v>0</v>
      </c>
      <c r="AX46" s="104">
        <f t="shared" si="47"/>
        <v>0</v>
      </c>
      <c r="AY46" s="104">
        <f t="shared" si="48"/>
        <v>0</v>
      </c>
      <c r="AZ46" s="104">
        <f t="shared" si="49"/>
        <v>0</v>
      </c>
      <c r="BA46" s="104">
        <f t="shared" si="50"/>
        <v>0</v>
      </c>
    </row>
    <row r="47" spans="1:53">
      <c r="A47" s="2">
        <v>38</v>
      </c>
      <c r="B47" s="277">
        <f t="shared" si="24"/>
        <v>0</v>
      </c>
      <c r="C47" s="277">
        <f t="shared" si="25"/>
        <v>0</v>
      </c>
      <c r="D47" s="277">
        <f t="shared" si="26"/>
        <v>0</v>
      </c>
      <c r="E47" s="22">
        <f t="shared" si="27"/>
        <v>0</v>
      </c>
      <c r="F47" s="160"/>
      <c r="G47" s="160"/>
      <c r="H47" s="160"/>
      <c r="I47" s="160"/>
      <c r="J47" s="75" t="str">
        <f>IFERROR(VLOOKUP(I47,'PAINT LABOR COSTS'!$B$59:$C$61,2,FALSE),"Pick Color")</f>
        <v>Pick Color</v>
      </c>
      <c r="K47" s="160"/>
      <c r="L47" s="198">
        <v>0</v>
      </c>
      <c r="M47" s="199">
        <v>0</v>
      </c>
      <c r="N47" s="198">
        <v>0</v>
      </c>
      <c r="O47" s="199">
        <v>0</v>
      </c>
      <c r="P47" s="160" t="s">
        <v>419</v>
      </c>
      <c r="Q47" s="160" t="s">
        <v>419</v>
      </c>
      <c r="R47" s="160" t="s">
        <v>419</v>
      </c>
      <c r="S47" s="160" t="s">
        <v>419</v>
      </c>
      <c r="T47" s="160" t="s">
        <v>419</v>
      </c>
      <c r="U47" s="160" t="s">
        <v>419</v>
      </c>
      <c r="V47" s="160" t="s">
        <v>419</v>
      </c>
      <c r="W47" s="160">
        <v>0</v>
      </c>
      <c r="X47" s="160" t="s">
        <v>419</v>
      </c>
      <c r="Y47" s="160">
        <v>0</v>
      </c>
      <c r="Z47" s="160" t="s">
        <v>419</v>
      </c>
      <c r="AB47" s="2">
        <f t="shared" si="28"/>
        <v>0</v>
      </c>
      <c r="AC47" s="277">
        <f t="shared" si="29"/>
        <v>0</v>
      </c>
      <c r="AD47" s="277">
        <f t="shared" si="30"/>
        <v>0</v>
      </c>
      <c r="AE47" s="234">
        <f t="shared" si="31"/>
        <v>0</v>
      </c>
      <c r="AF47" s="104">
        <f t="shared" si="32"/>
        <v>0</v>
      </c>
      <c r="AG47" s="279">
        <f t="shared" si="33"/>
        <v>0</v>
      </c>
      <c r="AH47" s="279">
        <f t="shared" si="34"/>
        <v>0</v>
      </c>
      <c r="AI47" s="104">
        <f t="shared" si="35"/>
        <v>0</v>
      </c>
      <c r="AJ47" s="104">
        <f t="shared" si="36"/>
        <v>0</v>
      </c>
      <c r="AK47" s="104">
        <f t="shared" si="37"/>
        <v>0</v>
      </c>
      <c r="AL47" s="104">
        <f t="shared" si="38"/>
        <v>0</v>
      </c>
      <c r="AM47" s="104">
        <f t="shared" si="39"/>
        <v>0</v>
      </c>
      <c r="AN47" s="104">
        <f t="shared" si="40"/>
        <v>0</v>
      </c>
      <c r="AO47" s="104">
        <f t="shared" si="41"/>
        <v>0</v>
      </c>
      <c r="AP47" s="181">
        <f>IF(I47="BB-CFPNT",VLOOKUP(I47,'PAINT LABOR COSTS'!$B$59:$M$61,12,0)*(AB47/144),0)</f>
        <v>0</v>
      </c>
      <c r="AQ47" s="181">
        <f t="shared" si="42"/>
        <v>0</v>
      </c>
      <c r="AR47" s="104">
        <f t="shared" si="43"/>
        <v>0</v>
      </c>
      <c r="AS47" s="104">
        <f t="shared" si="44"/>
        <v>0</v>
      </c>
      <c r="AT47" s="181" cm="1">
        <f t="array" ref="AT47">IF(P47="NO",0,IF(AND(N47&lt;49,$A$4="RETAIL"),'Comp Hardware'!$L$6,IF(AND(N47&gt;48,N47&lt;96,$A$4="RETAIL"),'Comp Hardware'!$L$7,IF(AND(N47&gt;=96,$A$4="RETAIL"),'Comp Hardware'!$L$8,IF(AND(N47&lt;49,$A$4="BLDR"),'Comp Hardware'!$M$6,IF(AND(N47&gt;48,N47&lt;96,$A$4="BLDR"),'Comp Hardware'!$M$7,IF(AND(N47&gt;=96,$A$4="BLDR"),'Comp Hardware'!$M$8,IF(AND(N47&lt;49,$A$4="WHOLE"),'Comp Hardware'!$N$6,IF(AND(N47&gt;48,N47&lt;96,$A$4="WHOLE"),'Comp Hardware'!$N$7,IF(AND(N47&gt;=96,$A$4="WHOLE"),'Comp Hardware'!$N$8,IF(AND(N47&lt;49,$A$4="LCR"),'Comp Hardware'!$N$6,IF(AND(N47&gt;48,N47&lt;96,$A$4="LCR"),'Comp Hardware'!$N$7,IF(AND(N47&gt;=96,$A$4="LCR"),'Comp Hardware'!$N$8,_xludf.na)))))))))))))*F47</f>
        <v>0</v>
      </c>
      <c r="AU47" s="181" cm="1">
        <f t="array" ref="AU47">IF(Q47="NO",0,IF(AND(N47&lt;49,$A$4="RETAIL"),'Comp Hardware'!$G$171,IF(AND(N47&gt;48,N47&lt;96,$A$4="RETAIL"),'Comp Hardware'!$G$171*1.5,IF(AND(N47&gt;=96,$A$4="RETAIL"),'Comp Hardware'!$G$171*2,IF(AND(N47&lt;49,$A$4="BLDR"),'Comp Hardware'!$H$171,IF(AND(N47&gt;48,N47&lt;96,$A$4="BLDR"),'Comp Hardware'!$H$171*1.5,IF(AND(N47&gt;=96,$A$4="BLDR"),'Comp Hardware'!$H$171*2,IF(AND(N47&lt;49,$A$4="WHOLE"),'Comp Hardware'!$I$171,IF(AND(N47&gt;48,N47&lt;96,$A$4="WHOLE"),'Comp Hardware'!$I$171*1.5,IF(AND(N47&gt;=96,$A$4="WHOLE"),'Comp Hardware'!$I$171*2,IF(AND(N47&lt;49,$A$4="LCR"),'Comp Hardware'!$I$171,IF(AND(N47&gt;48,N47&lt;96,$A$4="LCR"),'Comp Hardware'!$I$171*1.5,IF(AND(N47&gt;=96,$A$4="LCR"),'Comp Hardware'!$I$171*2,_xludf.na)))))))))))))*F47</f>
        <v>0</v>
      </c>
      <c r="AV47" s="104">
        <f t="shared" si="45"/>
        <v>0</v>
      </c>
      <c r="AW47" s="104">
        <f t="shared" si="46"/>
        <v>0</v>
      </c>
      <c r="AX47" s="104">
        <f t="shared" si="47"/>
        <v>0</v>
      </c>
      <c r="AY47" s="104">
        <f t="shared" si="48"/>
        <v>0</v>
      </c>
      <c r="AZ47" s="104">
        <f t="shared" si="49"/>
        <v>0</v>
      </c>
      <c r="BA47" s="104">
        <f t="shared" si="50"/>
        <v>0</v>
      </c>
    </row>
    <row r="48" spans="1:53">
      <c r="A48" s="2">
        <v>39</v>
      </c>
      <c r="B48" s="277">
        <f t="shared" si="24"/>
        <v>0</v>
      </c>
      <c r="C48" s="277">
        <f t="shared" si="25"/>
        <v>0</v>
      </c>
      <c r="D48" s="277">
        <f t="shared" si="26"/>
        <v>0</v>
      </c>
      <c r="E48" s="22">
        <f t="shared" si="27"/>
        <v>0</v>
      </c>
      <c r="F48" s="160"/>
      <c r="G48" s="160"/>
      <c r="H48" s="160"/>
      <c r="I48" s="160"/>
      <c r="J48" s="75" t="str">
        <f>IFERROR(VLOOKUP(I48,'PAINT LABOR COSTS'!$B$59:$C$61,2,FALSE),"Pick Color")</f>
        <v>Pick Color</v>
      </c>
      <c r="K48" s="160"/>
      <c r="L48" s="198">
        <v>0</v>
      </c>
      <c r="M48" s="199">
        <v>0</v>
      </c>
      <c r="N48" s="198">
        <v>0</v>
      </c>
      <c r="O48" s="199">
        <v>0</v>
      </c>
      <c r="P48" s="160" t="s">
        <v>419</v>
      </c>
      <c r="Q48" s="160" t="s">
        <v>419</v>
      </c>
      <c r="R48" s="160" t="s">
        <v>419</v>
      </c>
      <c r="S48" s="160" t="s">
        <v>419</v>
      </c>
      <c r="T48" s="160" t="s">
        <v>419</v>
      </c>
      <c r="U48" s="160" t="s">
        <v>419</v>
      </c>
      <c r="V48" s="160" t="s">
        <v>419</v>
      </c>
      <c r="W48" s="160">
        <v>0</v>
      </c>
      <c r="X48" s="160" t="s">
        <v>419</v>
      </c>
      <c r="Y48" s="160">
        <v>0</v>
      </c>
      <c r="Z48" s="160" t="s">
        <v>419</v>
      </c>
      <c r="AB48" s="2">
        <f t="shared" si="28"/>
        <v>0</v>
      </c>
      <c r="AC48" s="277">
        <f t="shared" si="29"/>
        <v>0</v>
      </c>
      <c r="AD48" s="277">
        <f t="shared" si="30"/>
        <v>0</v>
      </c>
      <c r="AE48" s="234">
        <f t="shared" si="31"/>
        <v>0</v>
      </c>
      <c r="AF48" s="104">
        <f t="shared" si="32"/>
        <v>0</v>
      </c>
      <c r="AG48" s="279">
        <f t="shared" si="33"/>
        <v>0</v>
      </c>
      <c r="AH48" s="279">
        <f t="shared" si="34"/>
        <v>0</v>
      </c>
      <c r="AI48" s="104">
        <f t="shared" si="35"/>
        <v>0</v>
      </c>
      <c r="AJ48" s="104">
        <f t="shared" si="36"/>
        <v>0</v>
      </c>
      <c r="AK48" s="104">
        <f t="shared" si="37"/>
        <v>0</v>
      </c>
      <c r="AL48" s="104">
        <f t="shared" si="38"/>
        <v>0</v>
      </c>
      <c r="AM48" s="104">
        <f t="shared" si="39"/>
        <v>0</v>
      </c>
      <c r="AN48" s="104">
        <f t="shared" si="40"/>
        <v>0</v>
      </c>
      <c r="AO48" s="104">
        <f t="shared" si="41"/>
        <v>0</v>
      </c>
      <c r="AP48" s="181">
        <f>IF(I48="BB-CFPNT",VLOOKUP(I48,'PAINT LABOR COSTS'!$B$59:$M$61,12,0)*(AB48/144),0)</f>
        <v>0</v>
      </c>
      <c r="AQ48" s="181">
        <f t="shared" si="42"/>
        <v>0</v>
      </c>
      <c r="AR48" s="104">
        <f t="shared" si="43"/>
        <v>0</v>
      </c>
      <c r="AS48" s="104">
        <f t="shared" si="44"/>
        <v>0</v>
      </c>
      <c r="AT48" s="181" cm="1">
        <f t="array" ref="AT48">IF(P48="NO",0,IF(AND(N48&lt;49,$A$4="RETAIL"),'Comp Hardware'!$L$6,IF(AND(N48&gt;48,N48&lt;96,$A$4="RETAIL"),'Comp Hardware'!$L$7,IF(AND(N48&gt;=96,$A$4="RETAIL"),'Comp Hardware'!$L$8,IF(AND(N48&lt;49,$A$4="BLDR"),'Comp Hardware'!$M$6,IF(AND(N48&gt;48,N48&lt;96,$A$4="BLDR"),'Comp Hardware'!$M$7,IF(AND(N48&gt;=96,$A$4="BLDR"),'Comp Hardware'!$M$8,IF(AND(N48&lt;49,$A$4="WHOLE"),'Comp Hardware'!$N$6,IF(AND(N48&gt;48,N48&lt;96,$A$4="WHOLE"),'Comp Hardware'!$N$7,IF(AND(N48&gt;=96,$A$4="WHOLE"),'Comp Hardware'!$N$8,IF(AND(N48&lt;49,$A$4="LCR"),'Comp Hardware'!$N$6,IF(AND(N48&gt;48,N48&lt;96,$A$4="LCR"),'Comp Hardware'!$N$7,IF(AND(N48&gt;=96,$A$4="LCR"),'Comp Hardware'!$N$8,_xludf.na)))))))))))))*F48</f>
        <v>0</v>
      </c>
      <c r="AU48" s="181" cm="1">
        <f t="array" ref="AU48">IF(Q48="NO",0,IF(AND(N48&lt;49,$A$4="RETAIL"),'Comp Hardware'!$G$171,IF(AND(N48&gt;48,N48&lt;96,$A$4="RETAIL"),'Comp Hardware'!$G$171*1.5,IF(AND(N48&gt;=96,$A$4="RETAIL"),'Comp Hardware'!$G$171*2,IF(AND(N48&lt;49,$A$4="BLDR"),'Comp Hardware'!$H$171,IF(AND(N48&gt;48,N48&lt;96,$A$4="BLDR"),'Comp Hardware'!$H$171*1.5,IF(AND(N48&gt;=96,$A$4="BLDR"),'Comp Hardware'!$H$171*2,IF(AND(N48&lt;49,$A$4="WHOLE"),'Comp Hardware'!$I$171,IF(AND(N48&gt;48,N48&lt;96,$A$4="WHOLE"),'Comp Hardware'!$I$171*1.5,IF(AND(N48&gt;=96,$A$4="WHOLE"),'Comp Hardware'!$I$171*2,IF(AND(N48&lt;49,$A$4="LCR"),'Comp Hardware'!$I$171,IF(AND(N48&gt;48,N48&lt;96,$A$4="LCR"),'Comp Hardware'!$I$171*1.5,IF(AND(N48&gt;=96,$A$4="LCR"),'Comp Hardware'!$I$171*2,_xludf.na)))))))))))))*F48</f>
        <v>0</v>
      </c>
      <c r="AV48" s="104">
        <f t="shared" si="45"/>
        <v>0</v>
      </c>
      <c r="AW48" s="104">
        <f t="shared" si="46"/>
        <v>0</v>
      </c>
      <c r="AX48" s="104">
        <f t="shared" si="47"/>
        <v>0</v>
      </c>
      <c r="AY48" s="104">
        <f t="shared" si="48"/>
        <v>0</v>
      </c>
      <c r="AZ48" s="104">
        <f t="shared" si="49"/>
        <v>0</v>
      </c>
      <c r="BA48" s="104">
        <f t="shared" si="50"/>
        <v>0</v>
      </c>
    </row>
    <row r="49" spans="1:53">
      <c r="A49" s="2">
        <v>40</v>
      </c>
      <c r="B49" s="277">
        <f t="shared" si="24"/>
        <v>0</v>
      </c>
      <c r="C49" s="277">
        <f t="shared" si="25"/>
        <v>0</v>
      </c>
      <c r="D49" s="277">
        <f t="shared" si="26"/>
        <v>0</v>
      </c>
      <c r="E49" s="22">
        <f t="shared" si="27"/>
        <v>0</v>
      </c>
      <c r="F49" s="160"/>
      <c r="G49" s="160"/>
      <c r="H49" s="160"/>
      <c r="I49" s="160"/>
      <c r="J49" s="75" t="str">
        <f>IFERROR(VLOOKUP(I49,'PAINT LABOR COSTS'!$B$59:$C$61,2,FALSE),"Pick Color")</f>
        <v>Pick Color</v>
      </c>
      <c r="K49" s="160"/>
      <c r="L49" s="198">
        <v>0</v>
      </c>
      <c r="M49" s="199">
        <v>0</v>
      </c>
      <c r="N49" s="198">
        <v>0</v>
      </c>
      <c r="O49" s="199">
        <v>0</v>
      </c>
      <c r="P49" s="160" t="s">
        <v>419</v>
      </c>
      <c r="Q49" s="160" t="s">
        <v>419</v>
      </c>
      <c r="R49" s="160" t="s">
        <v>419</v>
      </c>
      <c r="S49" s="160" t="s">
        <v>419</v>
      </c>
      <c r="T49" s="160" t="s">
        <v>419</v>
      </c>
      <c r="U49" s="160" t="s">
        <v>419</v>
      </c>
      <c r="V49" s="160" t="s">
        <v>419</v>
      </c>
      <c r="W49" s="160">
        <v>0</v>
      </c>
      <c r="X49" s="160" t="s">
        <v>419</v>
      </c>
      <c r="Y49" s="160">
        <v>0</v>
      </c>
      <c r="Z49" s="160" t="s">
        <v>419</v>
      </c>
      <c r="AB49" s="2">
        <f t="shared" si="28"/>
        <v>0</v>
      </c>
      <c r="AC49" s="277">
        <f t="shared" si="29"/>
        <v>0</v>
      </c>
      <c r="AD49" s="277">
        <f t="shared" si="30"/>
        <v>0</v>
      </c>
      <c r="AE49" s="234">
        <f t="shared" si="31"/>
        <v>0</v>
      </c>
      <c r="AF49" s="104">
        <f t="shared" si="32"/>
        <v>0</v>
      </c>
      <c r="AG49" s="279">
        <f t="shared" si="33"/>
        <v>0</v>
      </c>
      <c r="AH49" s="279">
        <f t="shared" si="34"/>
        <v>0</v>
      </c>
      <c r="AI49" s="104">
        <f t="shared" si="35"/>
        <v>0</v>
      </c>
      <c r="AJ49" s="104">
        <f t="shared" si="36"/>
        <v>0</v>
      </c>
      <c r="AK49" s="104">
        <f t="shared" si="37"/>
        <v>0</v>
      </c>
      <c r="AL49" s="104">
        <f t="shared" si="38"/>
        <v>0</v>
      </c>
      <c r="AM49" s="104">
        <f t="shared" si="39"/>
        <v>0</v>
      </c>
      <c r="AN49" s="104">
        <f t="shared" si="40"/>
        <v>0</v>
      </c>
      <c r="AO49" s="104">
        <f t="shared" si="41"/>
        <v>0</v>
      </c>
      <c r="AP49" s="181">
        <f>IF(I49="BB-CFPNT",VLOOKUP(I49,'PAINT LABOR COSTS'!$B$59:$M$61,12,0)*(AB49/144),0)</f>
        <v>0</v>
      </c>
      <c r="AQ49" s="181">
        <f t="shared" si="42"/>
        <v>0</v>
      </c>
      <c r="AR49" s="104">
        <f t="shared" si="43"/>
        <v>0</v>
      </c>
      <c r="AS49" s="104">
        <f t="shared" si="44"/>
        <v>0</v>
      </c>
      <c r="AT49" s="181" cm="1">
        <f t="array" ref="AT49">IF(P49="NO",0,IF(AND(N49&lt;49,$A$4="RETAIL"),'Comp Hardware'!$L$6,IF(AND(N49&gt;48,N49&lt;96,$A$4="RETAIL"),'Comp Hardware'!$L$7,IF(AND(N49&gt;=96,$A$4="RETAIL"),'Comp Hardware'!$L$8,IF(AND(N49&lt;49,$A$4="BLDR"),'Comp Hardware'!$M$6,IF(AND(N49&gt;48,N49&lt;96,$A$4="BLDR"),'Comp Hardware'!$M$7,IF(AND(N49&gt;=96,$A$4="BLDR"),'Comp Hardware'!$M$8,IF(AND(N49&lt;49,$A$4="WHOLE"),'Comp Hardware'!$N$6,IF(AND(N49&gt;48,N49&lt;96,$A$4="WHOLE"),'Comp Hardware'!$N$7,IF(AND(N49&gt;=96,$A$4="WHOLE"),'Comp Hardware'!$N$8,IF(AND(N49&lt;49,$A$4="LCR"),'Comp Hardware'!$N$6,IF(AND(N49&gt;48,N49&lt;96,$A$4="LCR"),'Comp Hardware'!$N$7,IF(AND(N49&gt;=96,$A$4="LCR"),'Comp Hardware'!$N$8,_xludf.na)))))))))))))*F49</f>
        <v>0</v>
      </c>
      <c r="AU49" s="181" cm="1">
        <f t="array" ref="AU49">IF(Q49="NO",0,IF(AND(N49&lt;49,$A$4="RETAIL"),'Comp Hardware'!$G$171,IF(AND(N49&gt;48,N49&lt;96,$A$4="RETAIL"),'Comp Hardware'!$G$171*1.5,IF(AND(N49&gt;=96,$A$4="RETAIL"),'Comp Hardware'!$G$171*2,IF(AND(N49&lt;49,$A$4="BLDR"),'Comp Hardware'!$H$171,IF(AND(N49&gt;48,N49&lt;96,$A$4="BLDR"),'Comp Hardware'!$H$171*1.5,IF(AND(N49&gt;=96,$A$4="BLDR"),'Comp Hardware'!$H$171*2,IF(AND(N49&lt;49,$A$4="WHOLE"),'Comp Hardware'!$I$171,IF(AND(N49&gt;48,N49&lt;96,$A$4="WHOLE"),'Comp Hardware'!$I$171*1.5,IF(AND(N49&gt;=96,$A$4="WHOLE"),'Comp Hardware'!$I$171*2,IF(AND(N49&lt;49,$A$4="LCR"),'Comp Hardware'!$I$171,IF(AND(N49&gt;48,N49&lt;96,$A$4="LCR"),'Comp Hardware'!$I$171*1.5,IF(AND(N49&gt;=96,$A$4="LCR"),'Comp Hardware'!$I$171*2,_xludf.na)))))))))))))*F49</f>
        <v>0</v>
      </c>
      <c r="AV49" s="104">
        <f t="shared" si="45"/>
        <v>0</v>
      </c>
      <c r="AW49" s="104">
        <f t="shared" si="46"/>
        <v>0</v>
      </c>
      <c r="AX49" s="104">
        <f t="shared" si="47"/>
        <v>0</v>
      </c>
      <c r="AY49" s="104">
        <f t="shared" si="48"/>
        <v>0</v>
      </c>
      <c r="AZ49" s="104">
        <f t="shared" si="49"/>
        <v>0</v>
      </c>
      <c r="BA49" s="104">
        <f t="shared" si="50"/>
        <v>0</v>
      </c>
    </row>
    <row r="50" spans="1:53">
      <c r="A50" s="2">
        <v>41</v>
      </c>
      <c r="B50" s="277">
        <f t="shared" si="24"/>
        <v>0</v>
      </c>
      <c r="C50" s="277">
        <f t="shared" si="25"/>
        <v>0</v>
      </c>
      <c r="D50" s="277">
        <f t="shared" si="26"/>
        <v>0</v>
      </c>
      <c r="E50" s="22">
        <f t="shared" si="27"/>
        <v>0</v>
      </c>
      <c r="F50" s="160"/>
      <c r="G50" s="160"/>
      <c r="H50" s="160"/>
      <c r="I50" s="160"/>
      <c r="J50" s="75" t="str">
        <f>IFERROR(VLOOKUP(I50,'PAINT LABOR COSTS'!$B$59:$C$61,2,FALSE),"Pick Color")</f>
        <v>Pick Color</v>
      </c>
      <c r="K50" s="160"/>
      <c r="L50" s="198">
        <v>0</v>
      </c>
      <c r="M50" s="199">
        <v>0</v>
      </c>
      <c r="N50" s="198">
        <v>0</v>
      </c>
      <c r="O50" s="199">
        <v>0</v>
      </c>
      <c r="P50" s="160" t="s">
        <v>419</v>
      </c>
      <c r="Q50" s="160" t="s">
        <v>419</v>
      </c>
      <c r="R50" s="160" t="s">
        <v>419</v>
      </c>
      <c r="S50" s="160" t="s">
        <v>419</v>
      </c>
      <c r="T50" s="160" t="s">
        <v>419</v>
      </c>
      <c r="U50" s="160" t="s">
        <v>419</v>
      </c>
      <c r="V50" s="160" t="s">
        <v>419</v>
      </c>
      <c r="W50" s="160">
        <v>0</v>
      </c>
      <c r="X50" s="160" t="s">
        <v>419</v>
      </c>
      <c r="Y50" s="160">
        <v>0</v>
      </c>
      <c r="Z50" s="160" t="s">
        <v>419</v>
      </c>
      <c r="AB50" s="2">
        <f t="shared" si="28"/>
        <v>0</v>
      </c>
      <c r="AC50" s="277">
        <f t="shared" si="29"/>
        <v>0</v>
      </c>
      <c r="AD50" s="277">
        <f t="shared" si="30"/>
        <v>0</v>
      </c>
      <c r="AE50" s="234">
        <f t="shared" si="31"/>
        <v>0</v>
      </c>
      <c r="AF50" s="104">
        <f t="shared" si="32"/>
        <v>0</v>
      </c>
      <c r="AG50" s="279">
        <f t="shared" si="33"/>
        <v>0</v>
      </c>
      <c r="AH50" s="279">
        <f t="shared" si="34"/>
        <v>0</v>
      </c>
      <c r="AI50" s="104">
        <f t="shared" si="35"/>
        <v>0</v>
      </c>
      <c r="AJ50" s="104">
        <f t="shared" si="36"/>
        <v>0</v>
      </c>
      <c r="AK50" s="104">
        <f t="shared" si="37"/>
        <v>0</v>
      </c>
      <c r="AL50" s="104">
        <f t="shared" si="38"/>
        <v>0</v>
      </c>
      <c r="AM50" s="104">
        <f t="shared" si="39"/>
        <v>0</v>
      </c>
      <c r="AN50" s="104">
        <f t="shared" si="40"/>
        <v>0</v>
      </c>
      <c r="AO50" s="104">
        <f t="shared" si="41"/>
        <v>0</v>
      </c>
      <c r="AP50" s="181">
        <f>IF(I50="BB-CFPNT",VLOOKUP(I50,'PAINT LABOR COSTS'!$B$59:$M$61,12,0)*(AB50/144),0)</f>
        <v>0</v>
      </c>
      <c r="AQ50" s="181">
        <f t="shared" si="42"/>
        <v>0</v>
      </c>
      <c r="AR50" s="104">
        <f t="shared" si="43"/>
        <v>0</v>
      </c>
      <c r="AS50" s="104">
        <f t="shared" si="44"/>
        <v>0</v>
      </c>
      <c r="AT50" s="181" cm="1">
        <f t="array" ref="AT50">IF(P50="NO",0,IF(AND(N50&lt;49,$A$4="RETAIL"),'Comp Hardware'!$L$6,IF(AND(N50&gt;48,N50&lt;96,$A$4="RETAIL"),'Comp Hardware'!$L$7,IF(AND(N50&gt;=96,$A$4="RETAIL"),'Comp Hardware'!$L$8,IF(AND(N50&lt;49,$A$4="BLDR"),'Comp Hardware'!$M$6,IF(AND(N50&gt;48,N50&lt;96,$A$4="BLDR"),'Comp Hardware'!$M$7,IF(AND(N50&gt;=96,$A$4="BLDR"),'Comp Hardware'!$M$8,IF(AND(N50&lt;49,$A$4="WHOLE"),'Comp Hardware'!$N$6,IF(AND(N50&gt;48,N50&lt;96,$A$4="WHOLE"),'Comp Hardware'!$N$7,IF(AND(N50&gt;=96,$A$4="WHOLE"),'Comp Hardware'!$N$8,IF(AND(N50&lt;49,$A$4="LCR"),'Comp Hardware'!$N$6,IF(AND(N50&gt;48,N50&lt;96,$A$4="LCR"),'Comp Hardware'!$N$7,IF(AND(N50&gt;=96,$A$4="LCR"),'Comp Hardware'!$N$8,_xludf.na)))))))))))))*F50</f>
        <v>0</v>
      </c>
      <c r="AU50" s="181" cm="1">
        <f t="array" ref="AU50">IF(Q50="NO",0,IF(AND(N50&lt;49,$A$4="RETAIL"),'Comp Hardware'!$G$171,IF(AND(N50&gt;48,N50&lt;96,$A$4="RETAIL"),'Comp Hardware'!$G$171*1.5,IF(AND(N50&gt;=96,$A$4="RETAIL"),'Comp Hardware'!$G$171*2,IF(AND(N50&lt;49,$A$4="BLDR"),'Comp Hardware'!$H$171,IF(AND(N50&gt;48,N50&lt;96,$A$4="BLDR"),'Comp Hardware'!$H$171*1.5,IF(AND(N50&gt;=96,$A$4="BLDR"),'Comp Hardware'!$H$171*2,IF(AND(N50&lt;49,$A$4="WHOLE"),'Comp Hardware'!$I$171,IF(AND(N50&gt;48,N50&lt;96,$A$4="WHOLE"),'Comp Hardware'!$I$171*1.5,IF(AND(N50&gt;=96,$A$4="WHOLE"),'Comp Hardware'!$I$171*2,IF(AND(N50&lt;49,$A$4="LCR"),'Comp Hardware'!$I$171,IF(AND(N50&gt;48,N50&lt;96,$A$4="LCR"),'Comp Hardware'!$I$171*1.5,IF(AND(N50&gt;=96,$A$4="LCR"),'Comp Hardware'!$I$171*2,_xludf.na)))))))))))))*F50</f>
        <v>0</v>
      </c>
      <c r="AV50" s="104">
        <f t="shared" si="45"/>
        <v>0</v>
      </c>
      <c r="AW50" s="104">
        <f t="shared" si="46"/>
        <v>0</v>
      </c>
      <c r="AX50" s="104">
        <f t="shared" si="47"/>
        <v>0</v>
      </c>
      <c r="AY50" s="104">
        <f t="shared" si="48"/>
        <v>0</v>
      </c>
      <c r="AZ50" s="104">
        <f t="shared" si="49"/>
        <v>0</v>
      </c>
      <c r="BA50" s="104">
        <f t="shared" si="50"/>
        <v>0</v>
      </c>
    </row>
    <row r="51" spans="1:53">
      <c r="A51" s="2">
        <v>42</v>
      </c>
      <c r="B51" s="277">
        <f t="shared" si="24"/>
        <v>0</v>
      </c>
      <c r="C51" s="277">
        <f t="shared" si="25"/>
        <v>0</v>
      </c>
      <c r="D51" s="277">
        <f t="shared" si="26"/>
        <v>0</v>
      </c>
      <c r="E51" s="22">
        <f t="shared" si="27"/>
        <v>0</v>
      </c>
      <c r="F51" s="160"/>
      <c r="G51" s="160"/>
      <c r="H51" s="160"/>
      <c r="I51" s="160"/>
      <c r="J51" s="75" t="str">
        <f>IFERROR(VLOOKUP(I51,'PAINT LABOR COSTS'!$B$59:$C$61,2,FALSE),"Pick Color")</f>
        <v>Pick Color</v>
      </c>
      <c r="K51" s="160"/>
      <c r="L51" s="198">
        <v>0</v>
      </c>
      <c r="M51" s="199">
        <v>0</v>
      </c>
      <c r="N51" s="198">
        <v>0</v>
      </c>
      <c r="O51" s="199">
        <v>0</v>
      </c>
      <c r="P51" s="160" t="s">
        <v>419</v>
      </c>
      <c r="Q51" s="160" t="s">
        <v>419</v>
      </c>
      <c r="R51" s="160" t="s">
        <v>419</v>
      </c>
      <c r="S51" s="160" t="s">
        <v>419</v>
      </c>
      <c r="T51" s="160" t="s">
        <v>419</v>
      </c>
      <c r="U51" s="160" t="s">
        <v>419</v>
      </c>
      <c r="V51" s="160" t="s">
        <v>419</v>
      </c>
      <c r="W51" s="160">
        <v>0</v>
      </c>
      <c r="X51" s="160" t="s">
        <v>419</v>
      </c>
      <c r="Y51" s="160">
        <v>0</v>
      </c>
      <c r="Z51" s="160" t="s">
        <v>419</v>
      </c>
      <c r="AB51" s="2">
        <f t="shared" si="28"/>
        <v>0</v>
      </c>
      <c r="AC51" s="277">
        <f t="shared" si="29"/>
        <v>0</v>
      </c>
      <c r="AD51" s="277">
        <f t="shared" si="30"/>
        <v>0</v>
      </c>
      <c r="AE51" s="234">
        <f t="shared" si="31"/>
        <v>0</v>
      </c>
      <c r="AF51" s="104">
        <f t="shared" si="32"/>
        <v>0</v>
      </c>
      <c r="AG51" s="279">
        <f t="shared" si="33"/>
        <v>0</v>
      </c>
      <c r="AH51" s="279">
        <f t="shared" si="34"/>
        <v>0</v>
      </c>
      <c r="AI51" s="104">
        <f t="shared" si="35"/>
        <v>0</v>
      </c>
      <c r="AJ51" s="104">
        <f t="shared" si="36"/>
        <v>0</v>
      </c>
      <c r="AK51" s="104">
        <f t="shared" si="37"/>
        <v>0</v>
      </c>
      <c r="AL51" s="104">
        <f t="shared" si="38"/>
        <v>0</v>
      </c>
      <c r="AM51" s="104">
        <f t="shared" si="39"/>
        <v>0</v>
      </c>
      <c r="AN51" s="104">
        <f t="shared" si="40"/>
        <v>0</v>
      </c>
      <c r="AO51" s="104">
        <f t="shared" si="41"/>
        <v>0</v>
      </c>
      <c r="AP51" s="181">
        <f>IF(I51="BB-CFPNT",VLOOKUP(I51,'PAINT LABOR COSTS'!$B$59:$M$61,12,0)*(AB51/144),0)</f>
        <v>0</v>
      </c>
      <c r="AQ51" s="181">
        <f t="shared" si="42"/>
        <v>0</v>
      </c>
      <c r="AR51" s="104">
        <f t="shared" si="43"/>
        <v>0</v>
      </c>
      <c r="AS51" s="104">
        <f t="shared" si="44"/>
        <v>0</v>
      </c>
      <c r="AT51" s="181" cm="1">
        <f t="array" ref="AT51">IF(P51="NO",0,IF(AND(N51&lt;49,$A$4="RETAIL"),'Comp Hardware'!$L$6,IF(AND(N51&gt;48,N51&lt;96,$A$4="RETAIL"),'Comp Hardware'!$L$7,IF(AND(N51&gt;=96,$A$4="RETAIL"),'Comp Hardware'!$L$8,IF(AND(N51&lt;49,$A$4="BLDR"),'Comp Hardware'!$M$6,IF(AND(N51&gt;48,N51&lt;96,$A$4="BLDR"),'Comp Hardware'!$M$7,IF(AND(N51&gt;=96,$A$4="BLDR"),'Comp Hardware'!$M$8,IF(AND(N51&lt;49,$A$4="WHOLE"),'Comp Hardware'!$N$6,IF(AND(N51&gt;48,N51&lt;96,$A$4="WHOLE"),'Comp Hardware'!$N$7,IF(AND(N51&gt;=96,$A$4="WHOLE"),'Comp Hardware'!$N$8,IF(AND(N51&lt;49,$A$4="LCR"),'Comp Hardware'!$N$6,IF(AND(N51&gt;48,N51&lt;96,$A$4="LCR"),'Comp Hardware'!$N$7,IF(AND(N51&gt;=96,$A$4="LCR"),'Comp Hardware'!$N$8,_xludf.na)))))))))))))*F51</f>
        <v>0</v>
      </c>
      <c r="AU51" s="181" cm="1">
        <f t="array" ref="AU51">IF(Q51="NO",0,IF(AND(N51&lt;49,$A$4="RETAIL"),'Comp Hardware'!$G$171,IF(AND(N51&gt;48,N51&lt;96,$A$4="RETAIL"),'Comp Hardware'!$G$171*1.5,IF(AND(N51&gt;=96,$A$4="RETAIL"),'Comp Hardware'!$G$171*2,IF(AND(N51&lt;49,$A$4="BLDR"),'Comp Hardware'!$H$171,IF(AND(N51&gt;48,N51&lt;96,$A$4="BLDR"),'Comp Hardware'!$H$171*1.5,IF(AND(N51&gt;=96,$A$4="BLDR"),'Comp Hardware'!$H$171*2,IF(AND(N51&lt;49,$A$4="WHOLE"),'Comp Hardware'!$I$171,IF(AND(N51&gt;48,N51&lt;96,$A$4="WHOLE"),'Comp Hardware'!$I$171*1.5,IF(AND(N51&gt;=96,$A$4="WHOLE"),'Comp Hardware'!$I$171*2,IF(AND(N51&lt;49,$A$4="LCR"),'Comp Hardware'!$I$171,IF(AND(N51&gt;48,N51&lt;96,$A$4="LCR"),'Comp Hardware'!$I$171*1.5,IF(AND(N51&gt;=96,$A$4="LCR"),'Comp Hardware'!$I$171*2,_xludf.na)))))))))))))*F51</f>
        <v>0</v>
      </c>
      <c r="AV51" s="104">
        <f t="shared" si="45"/>
        <v>0</v>
      </c>
      <c r="AW51" s="104">
        <f t="shared" si="46"/>
        <v>0</v>
      </c>
      <c r="AX51" s="104">
        <f t="shared" si="47"/>
        <v>0</v>
      </c>
      <c r="AY51" s="104">
        <f t="shared" si="48"/>
        <v>0</v>
      </c>
      <c r="AZ51" s="104">
        <f t="shared" si="49"/>
        <v>0</v>
      </c>
      <c r="BA51" s="104">
        <f t="shared" si="50"/>
        <v>0</v>
      </c>
    </row>
    <row r="52" spans="1:53">
      <c r="A52" s="2">
        <v>43</v>
      </c>
      <c r="B52" s="277">
        <f t="shared" si="24"/>
        <v>0</v>
      </c>
      <c r="C52" s="277">
        <f t="shared" si="25"/>
        <v>0</v>
      </c>
      <c r="D52" s="277">
        <f t="shared" si="26"/>
        <v>0</v>
      </c>
      <c r="E52" s="22">
        <f t="shared" si="27"/>
        <v>0</v>
      </c>
      <c r="F52" s="160"/>
      <c r="G52" s="160"/>
      <c r="H52" s="160"/>
      <c r="I52" s="160"/>
      <c r="J52" s="75" t="str">
        <f>IFERROR(VLOOKUP(I52,'PAINT LABOR COSTS'!$B$59:$C$61,2,FALSE),"Pick Color")</f>
        <v>Pick Color</v>
      </c>
      <c r="K52" s="160"/>
      <c r="L52" s="198">
        <v>0</v>
      </c>
      <c r="M52" s="199">
        <v>0</v>
      </c>
      <c r="N52" s="198">
        <v>0</v>
      </c>
      <c r="O52" s="199">
        <v>0</v>
      </c>
      <c r="P52" s="160" t="s">
        <v>419</v>
      </c>
      <c r="Q52" s="160" t="s">
        <v>419</v>
      </c>
      <c r="R52" s="160" t="s">
        <v>419</v>
      </c>
      <c r="S52" s="160" t="s">
        <v>419</v>
      </c>
      <c r="T52" s="160" t="s">
        <v>419</v>
      </c>
      <c r="U52" s="160" t="s">
        <v>419</v>
      </c>
      <c r="V52" s="160" t="s">
        <v>419</v>
      </c>
      <c r="W52" s="160">
        <v>0</v>
      </c>
      <c r="X52" s="160" t="s">
        <v>419</v>
      </c>
      <c r="Y52" s="160">
        <v>0</v>
      </c>
      <c r="Z52" s="160" t="s">
        <v>419</v>
      </c>
      <c r="AB52" s="2">
        <f t="shared" si="28"/>
        <v>0</v>
      </c>
      <c r="AC52" s="277">
        <f t="shared" si="29"/>
        <v>0</v>
      </c>
      <c r="AD52" s="277">
        <f t="shared" si="30"/>
        <v>0</v>
      </c>
      <c r="AE52" s="234">
        <f t="shared" si="31"/>
        <v>0</v>
      </c>
      <c r="AF52" s="104">
        <f t="shared" si="32"/>
        <v>0</v>
      </c>
      <c r="AG52" s="279">
        <f t="shared" si="33"/>
        <v>0</v>
      </c>
      <c r="AH52" s="279">
        <f t="shared" si="34"/>
        <v>0</v>
      </c>
      <c r="AI52" s="104">
        <f t="shared" si="35"/>
        <v>0</v>
      </c>
      <c r="AJ52" s="104">
        <f t="shared" si="36"/>
        <v>0</v>
      </c>
      <c r="AK52" s="104">
        <f t="shared" si="37"/>
        <v>0</v>
      </c>
      <c r="AL52" s="104">
        <f t="shared" si="38"/>
        <v>0</v>
      </c>
      <c r="AM52" s="104">
        <f t="shared" si="39"/>
        <v>0</v>
      </c>
      <c r="AN52" s="104">
        <f t="shared" si="40"/>
        <v>0</v>
      </c>
      <c r="AO52" s="104">
        <f t="shared" si="41"/>
        <v>0</v>
      </c>
      <c r="AP52" s="181">
        <f>IF(I52="BB-CFPNT",VLOOKUP(I52,'PAINT LABOR COSTS'!$B$59:$M$61,12,0)*(AB52/144),0)</f>
        <v>0</v>
      </c>
      <c r="AQ52" s="181">
        <f t="shared" si="42"/>
        <v>0</v>
      </c>
      <c r="AR52" s="104">
        <f t="shared" si="43"/>
        <v>0</v>
      </c>
      <c r="AS52" s="104">
        <f t="shared" si="44"/>
        <v>0</v>
      </c>
      <c r="AT52" s="181" cm="1">
        <f t="array" ref="AT52">IF(P52="NO",0,IF(AND(N52&lt;49,$A$4="RETAIL"),'Comp Hardware'!$L$6,IF(AND(N52&gt;48,N52&lt;96,$A$4="RETAIL"),'Comp Hardware'!$L$7,IF(AND(N52&gt;=96,$A$4="RETAIL"),'Comp Hardware'!$L$8,IF(AND(N52&lt;49,$A$4="BLDR"),'Comp Hardware'!$M$6,IF(AND(N52&gt;48,N52&lt;96,$A$4="BLDR"),'Comp Hardware'!$M$7,IF(AND(N52&gt;=96,$A$4="BLDR"),'Comp Hardware'!$M$8,IF(AND(N52&lt;49,$A$4="WHOLE"),'Comp Hardware'!$N$6,IF(AND(N52&gt;48,N52&lt;96,$A$4="WHOLE"),'Comp Hardware'!$N$7,IF(AND(N52&gt;=96,$A$4="WHOLE"),'Comp Hardware'!$N$8,IF(AND(N52&lt;49,$A$4="LCR"),'Comp Hardware'!$N$6,IF(AND(N52&gt;48,N52&lt;96,$A$4="LCR"),'Comp Hardware'!$N$7,IF(AND(N52&gt;=96,$A$4="LCR"),'Comp Hardware'!$N$8,_xludf.na)))))))))))))*F52</f>
        <v>0</v>
      </c>
      <c r="AU52" s="181" cm="1">
        <f t="array" ref="AU52">IF(Q52="NO",0,IF(AND(N52&lt;49,$A$4="RETAIL"),'Comp Hardware'!$G$171,IF(AND(N52&gt;48,N52&lt;96,$A$4="RETAIL"),'Comp Hardware'!$G$171*1.5,IF(AND(N52&gt;=96,$A$4="RETAIL"),'Comp Hardware'!$G$171*2,IF(AND(N52&lt;49,$A$4="BLDR"),'Comp Hardware'!$H$171,IF(AND(N52&gt;48,N52&lt;96,$A$4="BLDR"),'Comp Hardware'!$H$171*1.5,IF(AND(N52&gt;=96,$A$4="BLDR"),'Comp Hardware'!$H$171*2,IF(AND(N52&lt;49,$A$4="WHOLE"),'Comp Hardware'!$I$171,IF(AND(N52&gt;48,N52&lt;96,$A$4="WHOLE"),'Comp Hardware'!$I$171*1.5,IF(AND(N52&gt;=96,$A$4="WHOLE"),'Comp Hardware'!$I$171*2,IF(AND(N52&lt;49,$A$4="LCR"),'Comp Hardware'!$I$171,IF(AND(N52&gt;48,N52&lt;96,$A$4="LCR"),'Comp Hardware'!$I$171*1.5,IF(AND(N52&gt;=96,$A$4="LCR"),'Comp Hardware'!$I$171*2,_xludf.na)))))))))))))*F52</f>
        <v>0</v>
      </c>
      <c r="AV52" s="104">
        <f t="shared" si="45"/>
        <v>0</v>
      </c>
      <c r="AW52" s="104">
        <f t="shared" si="46"/>
        <v>0</v>
      </c>
      <c r="AX52" s="104">
        <f t="shared" si="47"/>
        <v>0</v>
      </c>
      <c r="AY52" s="104">
        <f t="shared" si="48"/>
        <v>0</v>
      </c>
      <c r="AZ52" s="104">
        <f t="shared" si="49"/>
        <v>0</v>
      </c>
      <c r="BA52" s="104">
        <f t="shared" si="50"/>
        <v>0</v>
      </c>
    </row>
    <row r="53" spans="1:53">
      <c r="A53" s="2">
        <v>44</v>
      </c>
      <c r="B53" s="277">
        <f t="shared" si="24"/>
        <v>0</v>
      </c>
      <c r="C53" s="277">
        <f t="shared" si="25"/>
        <v>0</v>
      </c>
      <c r="D53" s="277">
        <f t="shared" si="26"/>
        <v>0</v>
      </c>
      <c r="E53" s="22">
        <f t="shared" si="27"/>
        <v>0</v>
      </c>
      <c r="F53" s="160"/>
      <c r="G53" s="160"/>
      <c r="H53" s="160"/>
      <c r="I53" s="160"/>
      <c r="J53" s="75" t="str">
        <f>IFERROR(VLOOKUP(I53,'PAINT LABOR COSTS'!$B$59:$C$61,2,FALSE),"Pick Color")</f>
        <v>Pick Color</v>
      </c>
      <c r="K53" s="160"/>
      <c r="L53" s="198">
        <v>0</v>
      </c>
      <c r="M53" s="199">
        <v>0</v>
      </c>
      <c r="N53" s="198">
        <v>0</v>
      </c>
      <c r="O53" s="199">
        <v>0</v>
      </c>
      <c r="P53" s="160" t="s">
        <v>419</v>
      </c>
      <c r="Q53" s="160" t="s">
        <v>419</v>
      </c>
      <c r="R53" s="160" t="s">
        <v>419</v>
      </c>
      <c r="S53" s="160" t="s">
        <v>419</v>
      </c>
      <c r="T53" s="160" t="s">
        <v>419</v>
      </c>
      <c r="U53" s="160" t="s">
        <v>419</v>
      </c>
      <c r="V53" s="160" t="s">
        <v>419</v>
      </c>
      <c r="W53" s="160">
        <v>0</v>
      </c>
      <c r="X53" s="160" t="s">
        <v>419</v>
      </c>
      <c r="Y53" s="160">
        <v>0</v>
      </c>
      <c r="Z53" s="160" t="s">
        <v>419</v>
      </c>
      <c r="AB53" s="2">
        <f t="shared" si="28"/>
        <v>0</v>
      </c>
      <c r="AC53" s="277">
        <f t="shared" si="29"/>
        <v>0</v>
      </c>
      <c r="AD53" s="277">
        <f t="shared" si="30"/>
        <v>0</v>
      </c>
      <c r="AE53" s="234">
        <f t="shared" si="31"/>
        <v>0</v>
      </c>
      <c r="AF53" s="104">
        <f t="shared" si="32"/>
        <v>0</v>
      </c>
      <c r="AG53" s="279">
        <f t="shared" si="33"/>
        <v>0</v>
      </c>
      <c r="AH53" s="279">
        <f t="shared" si="34"/>
        <v>0</v>
      </c>
      <c r="AI53" s="104">
        <f t="shared" si="35"/>
        <v>0</v>
      </c>
      <c r="AJ53" s="104">
        <f t="shared" si="36"/>
        <v>0</v>
      </c>
      <c r="AK53" s="104">
        <f t="shared" si="37"/>
        <v>0</v>
      </c>
      <c r="AL53" s="104">
        <f t="shared" si="38"/>
        <v>0</v>
      </c>
      <c r="AM53" s="104">
        <f t="shared" si="39"/>
        <v>0</v>
      </c>
      <c r="AN53" s="104">
        <f t="shared" si="40"/>
        <v>0</v>
      </c>
      <c r="AO53" s="104">
        <f t="shared" si="41"/>
        <v>0</v>
      </c>
      <c r="AP53" s="181">
        <f>IF(I53="BB-CFPNT",VLOOKUP(I53,'PAINT LABOR COSTS'!$B$59:$M$61,12,0)*(AB53/144),0)</f>
        <v>0</v>
      </c>
      <c r="AQ53" s="181">
        <f t="shared" si="42"/>
        <v>0</v>
      </c>
      <c r="AR53" s="104">
        <f t="shared" si="43"/>
        <v>0</v>
      </c>
      <c r="AS53" s="104">
        <f t="shared" si="44"/>
        <v>0</v>
      </c>
      <c r="AT53" s="181" cm="1">
        <f t="array" ref="AT53">IF(P53="NO",0,IF(AND(N53&lt;49,$A$4="RETAIL"),'Comp Hardware'!$L$6,IF(AND(N53&gt;48,N53&lt;96,$A$4="RETAIL"),'Comp Hardware'!$L$7,IF(AND(N53&gt;=96,$A$4="RETAIL"),'Comp Hardware'!$L$8,IF(AND(N53&lt;49,$A$4="BLDR"),'Comp Hardware'!$M$6,IF(AND(N53&gt;48,N53&lt;96,$A$4="BLDR"),'Comp Hardware'!$M$7,IF(AND(N53&gt;=96,$A$4="BLDR"),'Comp Hardware'!$M$8,IF(AND(N53&lt;49,$A$4="WHOLE"),'Comp Hardware'!$N$6,IF(AND(N53&gt;48,N53&lt;96,$A$4="WHOLE"),'Comp Hardware'!$N$7,IF(AND(N53&gt;=96,$A$4="WHOLE"),'Comp Hardware'!$N$8,IF(AND(N53&lt;49,$A$4="LCR"),'Comp Hardware'!$N$6,IF(AND(N53&gt;48,N53&lt;96,$A$4="LCR"),'Comp Hardware'!$N$7,IF(AND(N53&gt;=96,$A$4="LCR"),'Comp Hardware'!$N$8,_xludf.na)))))))))))))*F53</f>
        <v>0</v>
      </c>
      <c r="AU53" s="181" cm="1">
        <f t="array" ref="AU53">IF(Q53="NO",0,IF(AND(N53&lt;49,$A$4="RETAIL"),'Comp Hardware'!$G$171,IF(AND(N53&gt;48,N53&lt;96,$A$4="RETAIL"),'Comp Hardware'!$G$171*1.5,IF(AND(N53&gt;=96,$A$4="RETAIL"),'Comp Hardware'!$G$171*2,IF(AND(N53&lt;49,$A$4="BLDR"),'Comp Hardware'!$H$171,IF(AND(N53&gt;48,N53&lt;96,$A$4="BLDR"),'Comp Hardware'!$H$171*1.5,IF(AND(N53&gt;=96,$A$4="BLDR"),'Comp Hardware'!$H$171*2,IF(AND(N53&lt;49,$A$4="WHOLE"),'Comp Hardware'!$I$171,IF(AND(N53&gt;48,N53&lt;96,$A$4="WHOLE"),'Comp Hardware'!$I$171*1.5,IF(AND(N53&gt;=96,$A$4="WHOLE"),'Comp Hardware'!$I$171*2,IF(AND(N53&lt;49,$A$4="LCR"),'Comp Hardware'!$I$171,IF(AND(N53&gt;48,N53&lt;96,$A$4="LCR"),'Comp Hardware'!$I$171*1.5,IF(AND(N53&gt;=96,$A$4="LCR"),'Comp Hardware'!$I$171*2,_xludf.na)))))))))))))*F53</f>
        <v>0</v>
      </c>
      <c r="AV53" s="104">
        <f t="shared" si="45"/>
        <v>0</v>
      </c>
      <c r="AW53" s="104">
        <f t="shared" si="46"/>
        <v>0</v>
      </c>
      <c r="AX53" s="104">
        <f t="shared" si="47"/>
        <v>0</v>
      </c>
      <c r="AY53" s="104">
        <f t="shared" si="48"/>
        <v>0</v>
      </c>
      <c r="AZ53" s="104">
        <f t="shared" si="49"/>
        <v>0</v>
      </c>
      <c r="BA53" s="104">
        <f t="shared" si="50"/>
        <v>0</v>
      </c>
    </row>
    <row r="54" spans="1:53">
      <c r="A54" s="2">
        <v>45</v>
      </c>
      <c r="B54" s="277">
        <f t="shared" si="24"/>
        <v>0</v>
      </c>
      <c r="C54" s="277">
        <f t="shared" si="25"/>
        <v>0</v>
      </c>
      <c r="D54" s="277">
        <f t="shared" si="26"/>
        <v>0</v>
      </c>
      <c r="E54" s="22">
        <f t="shared" si="27"/>
        <v>0</v>
      </c>
      <c r="F54" s="160"/>
      <c r="G54" s="160"/>
      <c r="H54" s="160"/>
      <c r="I54" s="160"/>
      <c r="J54" s="75" t="str">
        <f>IFERROR(VLOOKUP(I54,'PAINT LABOR COSTS'!$B$59:$C$61,2,FALSE),"Pick Color")</f>
        <v>Pick Color</v>
      </c>
      <c r="K54" s="160"/>
      <c r="L54" s="198">
        <v>0</v>
      </c>
      <c r="M54" s="199">
        <v>0</v>
      </c>
      <c r="N54" s="198">
        <v>0</v>
      </c>
      <c r="O54" s="199">
        <v>0</v>
      </c>
      <c r="P54" s="160" t="s">
        <v>419</v>
      </c>
      <c r="Q54" s="160" t="s">
        <v>419</v>
      </c>
      <c r="R54" s="160" t="s">
        <v>419</v>
      </c>
      <c r="S54" s="160" t="s">
        <v>419</v>
      </c>
      <c r="T54" s="160" t="s">
        <v>419</v>
      </c>
      <c r="U54" s="160" t="s">
        <v>419</v>
      </c>
      <c r="V54" s="160" t="s">
        <v>419</v>
      </c>
      <c r="W54" s="160">
        <v>0</v>
      </c>
      <c r="X54" s="160" t="s">
        <v>419</v>
      </c>
      <c r="Y54" s="160">
        <v>0</v>
      </c>
      <c r="Z54" s="160" t="s">
        <v>419</v>
      </c>
      <c r="AB54" s="2">
        <f t="shared" si="28"/>
        <v>0</v>
      </c>
      <c r="AC54" s="277">
        <f t="shared" si="29"/>
        <v>0</v>
      </c>
      <c r="AD54" s="277">
        <f t="shared" si="30"/>
        <v>0</v>
      </c>
      <c r="AE54" s="234">
        <f t="shared" si="31"/>
        <v>0</v>
      </c>
      <c r="AF54" s="104">
        <f t="shared" si="32"/>
        <v>0</v>
      </c>
      <c r="AG54" s="279">
        <f t="shared" si="33"/>
        <v>0</v>
      </c>
      <c r="AH54" s="279">
        <f t="shared" si="34"/>
        <v>0</v>
      </c>
      <c r="AI54" s="104">
        <f t="shared" si="35"/>
        <v>0</v>
      </c>
      <c r="AJ54" s="104">
        <f t="shared" si="36"/>
        <v>0</v>
      </c>
      <c r="AK54" s="104">
        <f t="shared" si="37"/>
        <v>0</v>
      </c>
      <c r="AL54" s="104">
        <f t="shared" si="38"/>
        <v>0</v>
      </c>
      <c r="AM54" s="104">
        <f t="shared" si="39"/>
        <v>0</v>
      </c>
      <c r="AN54" s="104">
        <f t="shared" si="40"/>
        <v>0</v>
      </c>
      <c r="AO54" s="104">
        <f t="shared" si="41"/>
        <v>0</v>
      </c>
      <c r="AP54" s="181">
        <f>IF(I54="BB-CFPNT",VLOOKUP(I54,'PAINT LABOR COSTS'!$B$59:$M$61,12,0)*(AB54/144),0)</f>
        <v>0</v>
      </c>
      <c r="AQ54" s="181">
        <f t="shared" si="42"/>
        <v>0</v>
      </c>
      <c r="AR54" s="104">
        <f t="shared" si="43"/>
        <v>0</v>
      </c>
      <c r="AS54" s="104">
        <f t="shared" si="44"/>
        <v>0</v>
      </c>
      <c r="AT54" s="181" cm="1">
        <f t="array" ref="AT54">IF(P54="NO",0,IF(AND(N54&lt;49,$A$4="RETAIL"),'Comp Hardware'!$L$6,IF(AND(N54&gt;48,N54&lt;96,$A$4="RETAIL"),'Comp Hardware'!$L$7,IF(AND(N54&gt;=96,$A$4="RETAIL"),'Comp Hardware'!$L$8,IF(AND(N54&lt;49,$A$4="BLDR"),'Comp Hardware'!$M$6,IF(AND(N54&gt;48,N54&lt;96,$A$4="BLDR"),'Comp Hardware'!$M$7,IF(AND(N54&gt;=96,$A$4="BLDR"),'Comp Hardware'!$M$8,IF(AND(N54&lt;49,$A$4="WHOLE"),'Comp Hardware'!$N$6,IF(AND(N54&gt;48,N54&lt;96,$A$4="WHOLE"),'Comp Hardware'!$N$7,IF(AND(N54&gt;=96,$A$4="WHOLE"),'Comp Hardware'!$N$8,IF(AND(N54&lt;49,$A$4="LCR"),'Comp Hardware'!$N$6,IF(AND(N54&gt;48,N54&lt;96,$A$4="LCR"),'Comp Hardware'!$N$7,IF(AND(N54&gt;=96,$A$4="LCR"),'Comp Hardware'!$N$8,_xludf.na)))))))))))))*F54</f>
        <v>0</v>
      </c>
      <c r="AU54" s="181" cm="1">
        <f t="array" ref="AU54">IF(Q54="NO",0,IF(AND(N54&lt;49,$A$4="RETAIL"),'Comp Hardware'!$G$171,IF(AND(N54&gt;48,N54&lt;96,$A$4="RETAIL"),'Comp Hardware'!$G$171*1.5,IF(AND(N54&gt;=96,$A$4="RETAIL"),'Comp Hardware'!$G$171*2,IF(AND(N54&lt;49,$A$4="BLDR"),'Comp Hardware'!$H$171,IF(AND(N54&gt;48,N54&lt;96,$A$4="BLDR"),'Comp Hardware'!$H$171*1.5,IF(AND(N54&gt;=96,$A$4="BLDR"),'Comp Hardware'!$H$171*2,IF(AND(N54&lt;49,$A$4="WHOLE"),'Comp Hardware'!$I$171,IF(AND(N54&gt;48,N54&lt;96,$A$4="WHOLE"),'Comp Hardware'!$I$171*1.5,IF(AND(N54&gt;=96,$A$4="WHOLE"),'Comp Hardware'!$I$171*2,IF(AND(N54&lt;49,$A$4="LCR"),'Comp Hardware'!$I$171,IF(AND(N54&gt;48,N54&lt;96,$A$4="LCR"),'Comp Hardware'!$I$171*1.5,IF(AND(N54&gt;=96,$A$4="LCR"),'Comp Hardware'!$I$171*2,_xludf.na)))))))))))))*F54</f>
        <v>0</v>
      </c>
      <c r="AV54" s="104">
        <f t="shared" si="45"/>
        <v>0</v>
      </c>
      <c r="AW54" s="104">
        <f t="shared" si="46"/>
        <v>0</v>
      </c>
      <c r="AX54" s="104">
        <f t="shared" si="47"/>
        <v>0</v>
      </c>
      <c r="AY54" s="104">
        <f t="shared" si="48"/>
        <v>0</v>
      </c>
      <c r="AZ54" s="104">
        <f t="shared" si="49"/>
        <v>0</v>
      </c>
      <c r="BA54" s="104">
        <f t="shared" si="50"/>
        <v>0</v>
      </c>
    </row>
    <row r="55" spans="1:53">
      <c r="A55" s="2">
        <v>46</v>
      </c>
      <c r="B55" s="277">
        <f t="shared" si="24"/>
        <v>0</v>
      </c>
      <c r="C55" s="277">
        <f t="shared" si="25"/>
        <v>0</v>
      </c>
      <c r="D55" s="277">
        <f t="shared" si="26"/>
        <v>0</v>
      </c>
      <c r="E55" s="22">
        <f t="shared" si="27"/>
        <v>0</v>
      </c>
      <c r="F55" s="160"/>
      <c r="G55" s="160"/>
      <c r="H55" s="160"/>
      <c r="I55" s="160"/>
      <c r="J55" s="75" t="str">
        <f>IFERROR(VLOOKUP(I55,'PAINT LABOR COSTS'!$B$59:$C$61,2,FALSE),"Pick Color")</f>
        <v>Pick Color</v>
      </c>
      <c r="K55" s="160"/>
      <c r="L55" s="198">
        <v>0</v>
      </c>
      <c r="M55" s="199">
        <v>0</v>
      </c>
      <c r="N55" s="198">
        <v>0</v>
      </c>
      <c r="O55" s="199">
        <v>0</v>
      </c>
      <c r="P55" s="160" t="s">
        <v>419</v>
      </c>
      <c r="Q55" s="160" t="s">
        <v>419</v>
      </c>
      <c r="R55" s="160" t="s">
        <v>419</v>
      </c>
      <c r="S55" s="160" t="s">
        <v>419</v>
      </c>
      <c r="T55" s="160" t="s">
        <v>419</v>
      </c>
      <c r="U55" s="160" t="s">
        <v>419</v>
      </c>
      <c r="V55" s="160" t="s">
        <v>419</v>
      </c>
      <c r="W55" s="160">
        <v>0</v>
      </c>
      <c r="X55" s="160" t="s">
        <v>419</v>
      </c>
      <c r="Y55" s="160">
        <v>0</v>
      </c>
      <c r="Z55" s="160" t="s">
        <v>419</v>
      </c>
      <c r="AB55" s="2">
        <f t="shared" si="28"/>
        <v>0</v>
      </c>
      <c r="AC55" s="277">
        <f t="shared" si="29"/>
        <v>0</v>
      </c>
      <c r="AD55" s="277">
        <f t="shared" si="30"/>
        <v>0</v>
      </c>
      <c r="AE55" s="234">
        <f t="shared" si="31"/>
        <v>0</v>
      </c>
      <c r="AF55" s="104">
        <f t="shared" si="32"/>
        <v>0</v>
      </c>
      <c r="AG55" s="279">
        <f t="shared" si="33"/>
        <v>0</v>
      </c>
      <c r="AH55" s="279">
        <f t="shared" si="34"/>
        <v>0</v>
      </c>
      <c r="AI55" s="104">
        <f t="shared" si="35"/>
        <v>0</v>
      </c>
      <c r="AJ55" s="104">
        <f t="shared" si="36"/>
        <v>0</v>
      </c>
      <c r="AK55" s="104">
        <f t="shared" si="37"/>
        <v>0</v>
      </c>
      <c r="AL55" s="104">
        <f t="shared" si="38"/>
        <v>0</v>
      </c>
      <c r="AM55" s="104">
        <f t="shared" si="39"/>
        <v>0</v>
      </c>
      <c r="AN55" s="104">
        <f t="shared" si="40"/>
        <v>0</v>
      </c>
      <c r="AO55" s="104">
        <f t="shared" si="41"/>
        <v>0</v>
      </c>
      <c r="AP55" s="181">
        <f>IF(I55="BB-CFPNT",VLOOKUP(I55,'PAINT LABOR COSTS'!$B$59:$M$61,12,0)*(AB55/144),0)</f>
        <v>0</v>
      </c>
      <c r="AQ55" s="181">
        <f t="shared" si="42"/>
        <v>0</v>
      </c>
      <c r="AR55" s="104">
        <f t="shared" si="43"/>
        <v>0</v>
      </c>
      <c r="AS55" s="104">
        <f t="shared" si="44"/>
        <v>0</v>
      </c>
      <c r="AT55" s="181" cm="1">
        <f t="array" ref="AT55">IF(P55="NO",0,IF(AND(N55&lt;49,$A$4="RETAIL"),'Comp Hardware'!$L$6,IF(AND(N55&gt;48,N55&lt;96,$A$4="RETAIL"),'Comp Hardware'!$L$7,IF(AND(N55&gt;=96,$A$4="RETAIL"),'Comp Hardware'!$L$8,IF(AND(N55&lt;49,$A$4="BLDR"),'Comp Hardware'!$M$6,IF(AND(N55&gt;48,N55&lt;96,$A$4="BLDR"),'Comp Hardware'!$M$7,IF(AND(N55&gt;=96,$A$4="BLDR"),'Comp Hardware'!$M$8,IF(AND(N55&lt;49,$A$4="WHOLE"),'Comp Hardware'!$N$6,IF(AND(N55&gt;48,N55&lt;96,$A$4="WHOLE"),'Comp Hardware'!$N$7,IF(AND(N55&gt;=96,$A$4="WHOLE"),'Comp Hardware'!$N$8,IF(AND(N55&lt;49,$A$4="LCR"),'Comp Hardware'!$N$6,IF(AND(N55&gt;48,N55&lt;96,$A$4="LCR"),'Comp Hardware'!$N$7,IF(AND(N55&gt;=96,$A$4="LCR"),'Comp Hardware'!$N$8,_xludf.na)))))))))))))*F55</f>
        <v>0</v>
      </c>
      <c r="AU55" s="181" cm="1">
        <f t="array" ref="AU55">IF(Q55="NO",0,IF(AND(N55&lt;49,$A$4="RETAIL"),'Comp Hardware'!$G$171,IF(AND(N55&gt;48,N55&lt;96,$A$4="RETAIL"),'Comp Hardware'!$G$171*1.5,IF(AND(N55&gt;=96,$A$4="RETAIL"),'Comp Hardware'!$G$171*2,IF(AND(N55&lt;49,$A$4="BLDR"),'Comp Hardware'!$H$171,IF(AND(N55&gt;48,N55&lt;96,$A$4="BLDR"),'Comp Hardware'!$H$171*1.5,IF(AND(N55&gt;=96,$A$4="BLDR"),'Comp Hardware'!$H$171*2,IF(AND(N55&lt;49,$A$4="WHOLE"),'Comp Hardware'!$I$171,IF(AND(N55&gt;48,N55&lt;96,$A$4="WHOLE"),'Comp Hardware'!$I$171*1.5,IF(AND(N55&gt;=96,$A$4="WHOLE"),'Comp Hardware'!$I$171*2,IF(AND(N55&lt;49,$A$4="LCR"),'Comp Hardware'!$I$171,IF(AND(N55&gt;48,N55&lt;96,$A$4="LCR"),'Comp Hardware'!$I$171*1.5,IF(AND(N55&gt;=96,$A$4="LCR"),'Comp Hardware'!$I$171*2,_xludf.na)))))))))))))*F55</f>
        <v>0</v>
      </c>
      <c r="AV55" s="104">
        <f t="shared" si="45"/>
        <v>0</v>
      </c>
      <c r="AW55" s="104">
        <f t="shared" si="46"/>
        <v>0</v>
      </c>
      <c r="AX55" s="104">
        <f t="shared" si="47"/>
        <v>0</v>
      </c>
      <c r="AY55" s="104">
        <f t="shared" si="48"/>
        <v>0</v>
      </c>
      <c r="AZ55" s="104">
        <f t="shared" si="49"/>
        <v>0</v>
      </c>
      <c r="BA55" s="104">
        <f t="shared" si="50"/>
        <v>0</v>
      </c>
    </row>
    <row r="56" spans="1:53">
      <c r="A56" s="2">
        <v>47</v>
      </c>
      <c r="B56" s="277">
        <f t="shared" si="24"/>
        <v>0</v>
      </c>
      <c r="C56" s="277">
        <f t="shared" si="25"/>
        <v>0</v>
      </c>
      <c r="D56" s="277">
        <f t="shared" si="26"/>
        <v>0</v>
      </c>
      <c r="E56" s="22">
        <f t="shared" si="27"/>
        <v>0</v>
      </c>
      <c r="F56" s="160"/>
      <c r="G56" s="160"/>
      <c r="H56" s="160"/>
      <c r="I56" s="160"/>
      <c r="J56" s="75" t="str">
        <f>IFERROR(VLOOKUP(I56,'PAINT LABOR COSTS'!$B$59:$C$61,2,FALSE),"Pick Color")</f>
        <v>Pick Color</v>
      </c>
      <c r="K56" s="160"/>
      <c r="L56" s="198">
        <v>0</v>
      </c>
      <c r="M56" s="199">
        <v>0</v>
      </c>
      <c r="N56" s="198">
        <v>0</v>
      </c>
      <c r="O56" s="199">
        <v>0</v>
      </c>
      <c r="P56" s="160" t="s">
        <v>419</v>
      </c>
      <c r="Q56" s="160" t="s">
        <v>419</v>
      </c>
      <c r="R56" s="160" t="s">
        <v>419</v>
      </c>
      <c r="S56" s="160" t="s">
        <v>419</v>
      </c>
      <c r="T56" s="160" t="s">
        <v>419</v>
      </c>
      <c r="U56" s="160" t="s">
        <v>419</v>
      </c>
      <c r="V56" s="160" t="s">
        <v>419</v>
      </c>
      <c r="W56" s="160">
        <v>0</v>
      </c>
      <c r="X56" s="160" t="s">
        <v>419</v>
      </c>
      <c r="Y56" s="160">
        <v>0</v>
      </c>
      <c r="Z56" s="160" t="s">
        <v>419</v>
      </c>
      <c r="AB56" s="2">
        <f t="shared" si="28"/>
        <v>0</v>
      </c>
      <c r="AC56" s="277">
        <f t="shared" si="29"/>
        <v>0</v>
      </c>
      <c r="AD56" s="277">
        <f t="shared" si="30"/>
        <v>0</v>
      </c>
      <c r="AE56" s="234">
        <f t="shared" si="31"/>
        <v>0</v>
      </c>
      <c r="AF56" s="104">
        <f t="shared" si="32"/>
        <v>0</v>
      </c>
      <c r="AG56" s="279">
        <f t="shared" si="33"/>
        <v>0</v>
      </c>
      <c r="AH56" s="279">
        <f t="shared" si="34"/>
        <v>0</v>
      </c>
      <c r="AI56" s="104">
        <f t="shared" si="35"/>
        <v>0</v>
      </c>
      <c r="AJ56" s="104">
        <f t="shared" si="36"/>
        <v>0</v>
      </c>
      <c r="AK56" s="104">
        <f t="shared" si="37"/>
        <v>0</v>
      </c>
      <c r="AL56" s="104">
        <f t="shared" si="38"/>
        <v>0</v>
      </c>
      <c r="AM56" s="104">
        <f t="shared" si="39"/>
        <v>0</v>
      </c>
      <c r="AN56" s="104">
        <f t="shared" si="40"/>
        <v>0</v>
      </c>
      <c r="AO56" s="104">
        <f t="shared" si="41"/>
        <v>0</v>
      </c>
      <c r="AP56" s="181">
        <f>IF(I56="BB-CFPNT",VLOOKUP(I56,'PAINT LABOR COSTS'!$B$59:$M$61,12,0)*(AB56/144),0)</f>
        <v>0</v>
      </c>
      <c r="AQ56" s="181">
        <f t="shared" si="42"/>
        <v>0</v>
      </c>
      <c r="AR56" s="104">
        <f t="shared" si="43"/>
        <v>0</v>
      </c>
      <c r="AS56" s="104">
        <f t="shared" si="44"/>
        <v>0</v>
      </c>
      <c r="AT56" s="181" cm="1">
        <f t="array" ref="AT56">IF(P56="NO",0,IF(AND(N56&lt;49,$A$4="RETAIL"),'Comp Hardware'!$L$6,IF(AND(N56&gt;48,N56&lt;96,$A$4="RETAIL"),'Comp Hardware'!$L$7,IF(AND(N56&gt;=96,$A$4="RETAIL"),'Comp Hardware'!$L$8,IF(AND(N56&lt;49,$A$4="BLDR"),'Comp Hardware'!$M$6,IF(AND(N56&gt;48,N56&lt;96,$A$4="BLDR"),'Comp Hardware'!$M$7,IF(AND(N56&gt;=96,$A$4="BLDR"),'Comp Hardware'!$M$8,IF(AND(N56&lt;49,$A$4="WHOLE"),'Comp Hardware'!$N$6,IF(AND(N56&gt;48,N56&lt;96,$A$4="WHOLE"),'Comp Hardware'!$N$7,IF(AND(N56&gt;=96,$A$4="WHOLE"),'Comp Hardware'!$N$8,IF(AND(N56&lt;49,$A$4="LCR"),'Comp Hardware'!$N$6,IF(AND(N56&gt;48,N56&lt;96,$A$4="LCR"),'Comp Hardware'!$N$7,IF(AND(N56&gt;=96,$A$4="LCR"),'Comp Hardware'!$N$8,_xludf.na)))))))))))))*F56</f>
        <v>0</v>
      </c>
      <c r="AU56" s="181" cm="1">
        <f t="array" ref="AU56">IF(Q56="NO",0,IF(AND(N56&lt;49,$A$4="RETAIL"),'Comp Hardware'!$G$171,IF(AND(N56&gt;48,N56&lt;96,$A$4="RETAIL"),'Comp Hardware'!$G$171*1.5,IF(AND(N56&gt;=96,$A$4="RETAIL"),'Comp Hardware'!$G$171*2,IF(AND(N56&lt;49,$A$4="BLDR"),'Comp Hardware'!$H$171,IF(AND(N56&gt;48,N56&lt;96,$A$4="BLDR"),'Comp Hardware'!$H$171*1.5,IF(AND(N56&gt;=96,$A$4="BLDR"),'Comp Hardware'!$H$171*2,IF(AND(N56&lt;49,$A$4="WHOLE"),'Comp Hardware'!$I$171,IF(AND(N56&gt;48,N56&lt;96,$A$4="WHOLE"),'Comp Hardware'!$I$171*1.5,IF(AND(N56&gt;=96,$A$4="WHOLE"),'Comp Hardware'!$I$171*2,IF(AND(N56&lt;49,$A$4="LCR"),'Comp Hardware'!$I$171,IF(AND(N56&gt;48,N56&lt;96,$A$4="LCR"),'Comp Hardware'!$I$171*1.5,IF(AND(N56&gt;=96,$A$4="LCR"),'Comp Hardware'!$I$171*2,_xludf.na)))))))))))))*F56</f>
        <v>0</v>
      </c>
      <c r="AV56" s="104">
        <f t="shared" si="45"/>
        <v>0</v>
      </c>
      <c r="AW56" s="104">
        <f t="shared" si="46"/>
        <v>0</v>
      </c>
      <c r="AX56" s="104">
        <f t="shared" si="47"/>
        <v>0</v>
      </c>
      <c r="AY56" s="104">
        <f t="shared" si="48"/>
        <v>0</v>
      </c>
      <c r="AZ56" s="104">
        <f t="shared" si="49"/>
        <v>0</v>
      </c>
      <c r="BA56" s="104">
        <f t="shared" si="50"/>
        <v>0</v>
      </c>
    </row>
    <row r="57" spans="1:53">
      <c r="A57" s="2">
        <v>48</v>
      </c>
      <c r="B57" s="277">
        <f t="shared" si="24"/>
        <v>0</v>
      </c>
      <c r="C57" s="277">
        <f t="shared" si="25"/>
        <v>0</v>
      </c>
      <c r="D57" s="277">
        <f t="shared" si="26"/>
        <v>0</v>
      </c>
      <c r="E57" s="22">
        <f t="shared" si="27"/>
        <v>0</v>
      </c>
      <c r="F57" s="160"/>
      <c r="G57" s="160"/>
      <c r="H57" s="160"/>
      <c r="I57" s="160"/>
      <c r="J57" s="75" t="str">
        <f>IFERROR(VLOOKUP(I57,'PAINT LABOR COSTS'!$B$59:$C$61,2,FALSE),"Pick Color")</f>
        <v>Pick Color</v>
      </c>
      <c r="K57" s="160"/>
      <c r="L57" s="198">
        <v>0</v>
      </c>
      <c r="M57" s="199">
        <v>0</v>
      </c>
      <c r="N57" s="198">
        <v>0</v>
      </c>
      <c r="O57" s="199">
        <v>0</v>
      </c>
      <c r="P57" s="160" t="s">
        <v>419</v>
      </c>
      <c r="Q57" s="160" t="s">
        <v>419</v>
      </c>
      <c r="R57" s="160" t="s">
        <v>419</v>
      </c>
      <c r="S57" s="160" t="s">
        <v>419</v>
      </c>
      <c r="T57" s="160" t="s">
        <v>419</v>
      </c>
      <c r="U57" s="160" t="s">
        <v>419</v>
      </c>
      <c r="V57" s="160" t="s">
        <v>419</v>
      </c>
      <c r="W57" s="160">
        <v>0</v>
      </c>
      <c r="X57" s="160" t="s">
        <v>419</v>
      </c>
      <c r="Y57" s="160">
        <v>0</v>
      </c>
      <c r="Z57" s="160" t="s">
        <v>419</v>
      </c>
      <c r="AB57" s="2">
        <f t="shared" si="28"/>
        <v>0</v>
      </c>
      <c r="AC57" s="277">
        <f t="shared" si="29"/>
        <v>0</v>
      </c>
      <c r="AD57" s="277">
        <f t="shared" si="30"/>
        <v>0</v>
      </c>
      <c r="AE57" s="234">
        <f t="shared" si="31"/>
        <v>0</v>
      </c>
      <c r="AF57" s="104">
        <f t="shared" si="32"/>
        <v>0</v>
      </c>
      <c r="AG57" s="279">
        <f t="shared" si="33"/>
        <v>0</v>
      </c>
      <c r="AH57" s="279">
        <f t="shared" si="34"/>
        <v>0</v>
      </c>
      <c r="AI57" s="104">
        <f t="shared" si="35"/>
        <v>0</v>
      </c>
      <c r="AJ57" s="104">
        <f t="shared" si="36"/>
        <v>0</v>
      </c>
      <c r="AK57" s="104">
        <f t="shared" si="37"/>
        <v>0</v>
      </c>
      <c r="AL57" s="104">
        <f t="shared" si="38"/>
        <v>0</v>
      </c>
      <c r="AM57" s="104">
        <f t="shared" si="39"/>
        <v>0</v>
      </c>
      <c r="AN57" s="104">
        <f t="shared" si="40"/>
        <v>0</v>
      </c>
      <c r="AO57" s="104">
        <f t="shared" si="41"/>
        <v>0</v>
      </c>
      <c r="AP57" s="181">
        <f>IF(I57="BB-CFPNT",VLOOKUP(I57,'PAINT LABOR COSTS'!$B$59:$M$61,12,0)*(AB57/144),0)</f>
        <v>0</v>
      </c>
      <c r="AQ57" s="181">
        <f t="shared" si="42"/>
        <v>0</v>
      </c>
      <c r="AR57" s="104">
        <f t="shared" si="43"/>
        <v>0</v>
      </c>
      <c r="AS57" s="104">
        <f t="shared" si="44"/>
        <v>0</v>
      </c>
      <c r="AT57" s="181" cm="1">
        <f t="array" ref="AT57">IF(P57="NO",0,IF(AND(N57&lt;49,$A$4="RETAIL"),'Comp Hardware'!$L$6,IF(AND(N57&gt;48,N57&lt;96,$A$4="RETAIL"),'Comp Hardware'!$L$7,IF(AND(N57&gt;=96,$A$4="RETAIL"),'Comp Hardware'!$L$8,IF(AND(N57&lt;49,$A$4="BLDR"),'Comp Hardware'!$M$6,IF(AND(N57&gt;48,N57&lt;96,$A$4="BLDR"),'Comp Hardware'!$M$7,IF(AND(N57&gt;=96,$A$4="BLDR"),'Comp Hardware'!$M$8,IF(AND(N57&lt;49,$A$4="WHOLE"),'Comp Hardware'!$N$6,IF(AND(N57&gt;48,N57&lt;96,$A$4="WHOLE"),'Comp Hardware'!$N$7,IF(AND(N57&gt;=96,$A$4="WHOLE"),'Comp Hardware'!$N$8,IF(AND(N57&lt;49,$A$4="LCR"),'Comp Hardware'!$N$6,IF(AND(N57&gt;48,N57&lt;96,$A$4="LCR"),'Comp Hardware'!$N$7,IF(AND(N57&gt;=96,$A$4="LCR"),'Comp Hardware'!$N$8,_xludf.na)))))))))))))*F57</f>
        <v>0</v>
      </c>
      <c r="AU57" s="181" cm="1">
        <f t="array" ref="AU57">IF(Q57="NO",0,IF(AND(N57&lt;49,$A$4="RETAIL"),'Comp Hardware'!$G$171,IF(AND(N57&gt;48,N57&lt;96,$A$4="RETAIL"),'Comp Hardware'!$G$171*1.5,IF(AND(N57&gt;=96,$A$4="RETAIL"),'Comp Hardware'!$G$171*2,IF(AND(N57&lt;49,$A$4="BLDR"),'Comp Hardware'!$H$171,IF(AND(N57&gt;48,N57&lt;96,$A$4="BLDR"),'Comp Hardware'!$H$171*1.5,IF(AND(N57&gt;=96,$A$4="BLDR"),'Comp Hardware'!$H$171*2,IF(AND(N57&lt;49,$A$4="WHOLE"),'Comp Hardware'!$I$171,IF(AND(N57&gt;48,N57&lt;96,$A$4="WHOLE"),'Comp Hardware'!$I$171*1.5,IF(AND(N57&gt;=96,$A$4="WHOLE"),'Comp Hardware'!$I$171*2,IF(AND(N57&lt;49,$A$4="LCR"),'Comp Hardware'!$I$171,IF(AND(N57&gt;48,N57&lt;96,$A$4="LCR"),'Comp Hardware'!$I$171*1.5,IF(AND(N57&gt;=96,$A$4="LCR"),'Comp Hardware'!$I$171*2,_xludf.na)))))))))))))*F57</f>
        <v>0</v>
      </c>
      <c r="AV57" s="104">
        <f t="shared" si="45"/>
        <v>0</v>
      </c>
      <c r="AW57" s="104">
        <f t="shared" si="46"/>
        <v>0</v>
      </c>
      <c r="AX57" s="104">
        <f t="shared" si="47"/>
        <v>0</v>
      </c>
      <c r="AY57" s="104">
        <f t="shared" si="48"/>
        <v>0</v>
      </c>
      <c r="AZ57" s="104">
        <f t="shared" si="49"/>
        <v>0</v>
      </c>
      <c r="BA57" s="104">
        <f t="shared" si="50"/>
        <v>0</v>
      </c>
    </row>
    <row r="58" spans="1:53">
      <c r="A58" s="2">
        <v>49</v>
      </c>
      <c r="B58" s="277">
        <f t="shared" si="24"/>
        <v>0</v>
      </c>
      <c r="C58" s="277">
        <f t="shared" si="25"/>
        <v>0</v>
      </c>
      <c r="D58" s="277">
        <f t="shared" si="26"/>
        <v>0</v>
      </c>
      <c r="E58" s="22">
        <f t="shared" si="27"/>
        <v>0</v>
      </c>
      <c r="F58" s="160"/>
      <c r="G58" s="160"/>
      <c r="H58" s="160"/>
      <c r="I58" s="160"/>
      <c r="J58" s="75" t="str">
        <f>IFERROR(VLOOKUP(I58,'PAINT LABOR COSTS'!$B$59:$C$61,2,FALSE),"Pick Color")</f>
        <v>Pick Color</v>
      </c>
      <c r="K58" s="160"/>
      <c r="L58" s="198">
        <v>0</v>
      </c>
      <c r="M58" s="199">
        <v>0</v>
      </c>
      <c r="N58" s="198">
        <v>0</v>
      </c>
      <c r="O58" s="199">
        <v>0</v>
      </c>
      <c r="P58" s="160" t="s">
        <v>419</v>
      </c>
      <c r="Q58" s="160" t="s">
        <v>419</v>
      </c>
      <c r="R58" s="160" t="s">
        <v>419</v>
      </c>
      <c r="S58" s="160" t="s">
        <v>419</v>
      </c>
      <c r="T58" s="160" t="s">
        <v>419</v>
      </c>
      <c r="U58" s="160" t="s">
        <v>419</v>
      </c>
      <c r="V58" s="160" t="s">
        <v>419</v>
      </c>
      <c r="W58" s="160">
        <v>0</v>
      </c>
      <c r="X58" s="160" t="s">
        <v>419</v>
      </c>
      <c r="Y58" s="160">
        <v>0</v>
      </c>
      <c r="Z58" s="160" t="s">
        <v>419</v>
      </c>
      <c r="AB58" s="2">
        <f t="shared" si="28"/>
        <v>0</v>
      </c>
      <c r="AC58" s="277">
        <f t="shared" si="29"/>
        <v>0</v>
      </c>
      <c r="AD58" s="277">
        <f t="shared" si="30"/>
        <v>0</v>
      </c>
      <c r="AE58" s="234">
        <f t="shared" si="31"/>
        <v>0</v>
      </c>
      <c r="AF58" s="104">
        <f t="shared" si="32"/>
        <v>0</v>
      </c>
      <c r="AG58" s="279">
        <f t="shared" si="33"/>
        <v>0</v>
      </c>
      <c r="AH58" s="279">
        <f t="shared" si="34"/>
        <v>0</v>
      </c>
      <c r="AI58" s="104">
        <f t="shared" si="35"/>
        <v>0</v>
      </c>
      <c r="AJ58" s="104">
        <f t="shared" si="36"/>
        <v>0</v>
      </c>
      <c r="AK58" s="104">
        <f t="shared" si="37"/>
        <v>0</v>
      </c>
      <c r="AL58" s="104">
        <f t="shared" si="38"/>
        <v>0</v>
      </c>
      <c r="AM58" s="104">
        <f t="shared" si="39"/>
        <v>0</v>
      </c>
      <c r="AN58" s="104">
        <f t="shared" si="40"/>
        <v>0</v>
      </c>
      <c r="AO58" s="104">
        <f t="shared" si="41"/>
        <v>0</v>
      </c>
      <c r="AP58" s="181">
        <f>IF(I58="BB-CFPNT",VLOOKUP(I58,'PAINT LABOR COSTS'!$B$59:$M$61,12,0)*(AB58/144),0)</f>
        <v>0</v>
      </c>
      <c r="AQ58" s="181">
        <f t="shared" si="42"/>
        <v>0</v>
      </c>
      <c r="AR58" s="104">
        <f t="shared" si="43"/>
        <v>0</v>
      </c>
      <c r="AS58" s="104">
        <f t="shared" si="44"/>
        <v>0</v>
      </c>
      <c r="AT58" s="181" cm="1">
        <f t="array" ref="AT58">IF(P58="NO",0,IF(AND(N58&lt;49,$A$4="RETAIL"),'Comp Hardware'!$L$6,IF(AND(N58&gt;48,N58&lt;96,$A$4="RETAIL"),'Comp Hardware'!$L$7,IF(AND(N58&gt;=96,$A$4="RETAIL"),'Comp Hardware'!$L$8,IF(AND(N58&lt;49,$A$4="BLDR"),'Comp Hardware'!$M$6,IF(AND(N58&gt;48,N58&lt;96,$A$4="BLDR"),'Comp Hardware'!$M$7,IF(AND(N58&gt;=96,$A$4="BLDR"),'Comp Hardware'!$M$8,IF(AND(N58&lt;49,$A$4="WHOLE"),'Comp Hardware'!$N$6,IF(AND(N58&gt;48,N58&lt;96,$A$4="WHOLE"),'Comp Hardware'!$N$7,IF(AND(N58&gt;=96,$A$4="WHOLE"),'Comp Hardware'!$N$8,IF(AND(N58&lt;49,$A$4="LCR"),'Comp Hardware'!$N$6,IF(AND(N58&gt;48,N58&lt;96,$A$4="LCR"),'Comp Hardware'!$N$7,IF(AND(N58&gt;=96,$A$4="LCR"),'Comp Hardware'!$N$8,_xludf.na)))))))))))))*F58</f>
        <v>0</v>
      </c>
      <c r="AU58" s="181" cm="1">
        <f t="array" ref="AU58">IF(Q58="NO",0,IF(AND(N58&lt;49,$A$4="RETAIL"),'Comp Hardware'!$G$171,IF(AND(N58&gt;48,N58&lt;96,$A$4="RETAIL"),'Comp Hardware'!$G$171*1.5,IF(AND(N58&gt;=96,$A$4="RETAIL"),'Comp Hardware'!$G$171*2,IF(AND(N58&lt;49,$A$4="BLDR"),'Comp Hardware'!$H$171,IF(AND(N58&gt;48,N58&lt;96,$A$4="BLDR"),'Comp Hardware'!$H$171*1.5,IF(AND(N58&gt;=96,$A$4="BLDR"),'Comp Hardware'!$H$171*2,IF(AND(N58&lt;49,$A$4="WHOLE"),'Comp Hardware'!$I$171,IF(AND(N58&gt;48,N58&lt;96,$A$4="WHOLE"),'Comp Hardware'!$I$171*1.5,IF(AND(N58&gt;=96,$A$4="WHOLE"),'Comp Hardware'!$I$171*2,IF(AND(N58&lt;49,$A$4="LCR"),'Comp Hardware'!$I$171,IF(AND(N58&gt;48,N58&lt;96,$A$4="LCR"),'Comp Hardware'!$I$171*1.5,IF(AND(N58&gt;=96,$A$4="LCR"),'Comp Hardware'!$I$171*2,_xludf.na)))))))))))))*F58</f>
        <v>0</v>
      </c>
      <c r="AV58" s="104">
        <f t="shared" si="45"/>
        <v>0</v>
      </c>
      <c r="AW58" s="104">
        <f t="shared" si="46"/>
        <v>0</v>
      </c>
      <c r="AX58" s="104">
        <f t="shared" si="47"/>
        <v>0</v>
      </c>
      <c r="AY58" s="104">
        <f t="shared" si="48"/>
        <v>0</v>
      </c>
      <c r="AZ58" s="104">
        <f t="shared" si="49"/>
        <v>0</v>
      </c>
      <c r="BA58" s="104">
        <f t="shared" si="50"/>
        <v>0</v>
      </c>
    </row>
    <row r="59" spans="1:53">
      <c r="A59" s="2">
        <v>50</v>
      </c>
      <c r="B59" s="277">
        <f t="shared" si="24"/>
        <v>0</v>
      </c>
      <c r="C59" s="277">
        <f t="shared" si="25"/>
        <v>0</v>
      </c>
      <c r="D59" s="277">
        <f t="shared" si="26"/>
        <v>0</v>
      </c>
      <c r="E59" s="22">
        <f t="shared" si="27"/>
        <v>0</v>
      </c>
      <c r="F59" s="160"/>
      <c r="G59" s="160"/>
      <c r="H59" s="160"/>
      <c r="I59" s="160"/>
      <c r="J59" s="75" t="str">
        <f>IFERROR(VLOOKUP(I59,'PAINT LABOR COSTS'!$B$59:$C$61,2,FALSE),"Pick Color")</f>
        <v>Pick Color</v>
      </c>
      <c r="K59" s="160"/>
      <c r="L59" s="198">
        <v>0</v>
      </c>
      <c r="M59" s="199">
        <v>0</v>
      </c>
      <c r="N59" s="198">
        <v>0</v>
      </c>
      <c r="O59" s="199">
        <v>0</v>
      </c>
      <c r="P59" s="160" t="s">
        <v>419</v>
      </c>
      <c r="Q59" s="160" t="s">
        <v>419</v>
      </c>
      <c r="R59" s="160" t="s">
        <v>419</v>
      </c>
      <c r="S59" s="160" t="s">
        <v>419</v>
      </c>
      <c r="T59" s="160" t="s">
        <v>419</v>
      </c>
      <c r="U59" s="160" t="s">
        <v>419</v>
      </c>
      <c r="V59" s="160" t="s">
        <v>419</v>
      </c>
      <c r="W59" s="160">
        <v>0</v>
      </c>
      <c r="X59" s="160" t="s">
        <v>419</v>
      </c>
      <c r="Y59" s="160">
        <v>0</v>
      </c>
      <c r="Z59" s="160" t="s">
        <v>419</v>
      </c>
      <c r="AB59" s="2">
        <f t="shared" si="28"/>
        <v>0</v>
      </c>
      <c r="AC59" s="277">
        <f t="shared" si="29"/>
        <v>0</v>
      </c>
      <c r="AD59" s="277">
        <f t="shared" si="30"/>
        <v>0</v>
      </c>
      <c r="AE59" s="234">
        <f t="shared" si="31"/>
        <v>0</v>
      </c>
      <c r="AF59" s="104">
        <f t="shared" si="32"/>
        <v>0</v>
      </c>
      <c r="AG59" s="279">
        <f t="shared" si="33"/>
        <v>0</v>
      </c>
      <c r="AH59" s="279">
        <f t="shared" si="34"/>
        <v>0</v>
      </c>
      <c r="AI59" s="104">
        <f t="shared" si="35"/>
        <v>0</v>
      </c>
      <c r="AJ59" s="104">
        <f t="shared" si="36"/>
        <v>0</v>
      </c>
      <c r="AK59" s="104">
        <f t="shared" si="37"/>
        <v>0</v>
      </c>
      <c r="AL59" s="104">
        <f t="shared" si="38"/>
        <v>0</v>
      </c>
      <c r="AM59" s="104">
        <f t="shared" si="39"/>
        <v>0</v>
      </c>
      <c r="AN59" s="104">
        <f t="shared" si="40"/>
        <v>0</v>
      </c>
      <c r="AO59" s="104">
        <f t="shared" si="41"/>
        <v>0</v>
      </c>
      <c r="AP59" s="181">
        <f>IF(I59="BB-CFPNT",VLOOKUP(I59,'PAINT LABOR COSTS'!$B$59:$M$61,12,0)*(AB59/144),0)</f>
        <v>0</v>
      </c>
      <c r="AQ59" s="181">
        <f t="shared" si="42"/>
        <v>0</v>
      </c>
      <c r="AR59" s="104">
        <f t="shared" si="43"/>
        <v>0</v>
      </c>
      <c r="AS59" s="104">
        <f t="shared" si="44"/>
        <v>0</v>
      </c>
      <c r="AT59" s="181" cm="1">
        <f t="array" ref="AT59">IF(P59="NO",0,IF(AND(N59&lt;49,$A$4="RETAIL"),'Comp Hardware'!$L$6,IF(AND(N59&gt;48,N59&lt;96,$A$4="RETAIL"),'Comp Hardware'!$L$7,IF(AND(N59&gt;=96,$A$4="RETAIL"),'Comp Hardware'!$L$8,IF(AND(N59&lt;49,$A$4="BLDR"),'Comp Hardware'!$M$6,IF(AND(N59&gt;48,N59&lt;96,$A$4="BLDR"),'Comp Hardware'!$M$7,IF(AND(N59&gt;=96,$A$4="BLDR"),'Comp Hardware'!$M$8,IF(AND(N59&lt;49,$A$4="WHOLE"),'Comp Hardware'!$N$6,IF(AND(N59&gt;48,N59&lt;96,$A$4="WHOLE"),'Comp Hardware'!$N$7,IF(AND(N59&gt;=96,$A$4="WHOLE"),'Comp Hardware'!$N$8,IF(AND(N59&lt;49,$A$4="LCR"),'Comp Hardware'!$N$6,IF(AND(N59&gt;48,N59&lt;96,$A$4="LCR"),'Comp Hardware'!$N$7,IF(AND(N59&gt;=96,$A$4="LCR"),'Comp Hardware'!$N$8,_xludf.na)))))))))))))*F59</f>
        <v>0</v>
      </c>
      <c r="AU59" s="181" cm="1">
        <f t="array" ref="AU59">IF(Q59="NO",0,IF(AND(N59&lt;49,$A$4="RETAIL"),'Comp Hardware'!$G$171,IF(AND(N59&gt;48,N59&lt;96,$A$4="RETAIL"),'Comp Hardware'!$G$171*1.5,IF(AND(N59&gt;=96,$A$4="RETAIL"),'Comp Hardware'!$G$171*2,IF(AND(N59&lt;49,$A$4="BLDR"),'Comp Hardware'!$H$171,IF(AND(N59&gt;48,N59&lt;96,$A$4="BLDR"),'Comp Hardware'!$H$171*1.5,IF(AND(N59&gt;=96,$A$4="BLDR"),'Comp Hardware'!$H$171*2,IF(AND(N59&lt;49,$A$4="WHOLE"),'Comp Hardware'!$I$171,IF(AND(N59&gt;48,N59&lt;96,$A$4="WHOLE"),'Comp Hardware'!$I$171*1.5,IF(AND(N59&gt;=96,$A$4="WHOLE"),'Comp Hardware'!$I$171*2,IF(AND(N59&lt;49,$A$4="LCR"),'Comp Hardware'!$I$171,IF(AND(N59&gt;48,N59&lt;96,$A$4="LCR"),'Comp Hardware'!$I$171*1.5,IF(AND(N59&gt;=96,$A$4="LCR"),'Comp Hardware'!$I$171*2,_xludf.na)))))))))))))*F59</f>
        <v>0</v>
      </c>
      <c r="AV59" s="104">
        <f t="shared" si="45"/>
        <v>0</v>
      </c>
      <c r="AW59" s="104">
        <f t="shared" si="46"/>
        <v>0</v>
      </c>
      <c r="AX59" s="104">
        <f t="shared" si="47"/>
        <v>0</v>
      </c>
      <c r="AY59" s="104">
        <f t="shared" si="48"/>
        <v>0</v>
      </c>
      <c r="AZ59" s="104">
        <f t="shared" si="49"/>
        <v>0</v>
      </c>
      <c r="BA59" s="104">
        <f t="shared" si="50"/>
        <v>0</v>
      </c>
    </row>
    <row r="60" spans="1:53">
      <c r="A60" s="2">
        <v>51</v>
      </c>
      <c r="B60" s="277">
        <f t="shared" si="24"/>
        <v>0</v>
      </c>
      <c r="C60" s="277">
        <f t="shared" si="25"/>
        <v>0</v>
      </c>
      <c r="D60" s="277">
        <f t="shared" si="26"/>
        <v>0</v>
      </c>
      <c r="E60" s="22">
        <f t="shared" si="27"/>
        <v>0</v>
      </c>
      <c r="F60" s="160"/>
      <c r="G60" s="160"/>
      <c r="H60" s="160"/>
      <c r="I60" s="160"/>
      <c r="J60" s="75" t="str">
        <f>IFERROR(VLOOKUP(I60,'PAINT LABOR COSTS'!$B$59:$C$61,2,FALSE),"Pick Color")</f>
        <v>Pick Color</v>
      </c>
      <c r="K60" s="160"/>
      <c r="L60" s="198">
        <v>0</v>
      </c>
      <c r="M60" s="199">
        <v>0</v>
      </c>
      <c r="N60" s="198">
        <v>0</v>
      </c>
      <c r="O60" s="199">
        <v>0</v>
      </c>
      <c r="P60" s="160" t="s">
        <v>419</v>
      </c>
      <c r="Q60" s="160" t="s">
        <v>419</v>
      </c>
      <c r="R60" s="160" t="s">
        <v>419</v>
      </c>
      <c r="S60" s="160" t="s">
        <v>419</v>
      </c>
      <c r="T60" s="160" t="s">
        <v>419</v>
      </c>
      <c r="U60" s="160" t="s">
        <v>419</v>
      </c>
      <c r="V60" s="160" t="s">
        <v>419</v>
      </c>
      <c r="W60" s="160">
        <v>0</v>
      </c>
      <c r="X60" s="160" t="s">
        <v>419</v>
      </c>
      <c r="Y60" s="160">
        <v>0</v>
      </c>
      <c r="Z60" s="160" t="s">
        <v>419</v>
      </c>
      <c r="AB60" s="2">
        <f t="shared" si="28"/>
        <v>0</v>
      </c>
      <c r="AC60" s="277">
        <f t="shared" si="29"/>
        <v>0</v>
      </c>
      <c r="AD60" s="277">
        <f t="shared" si="30"/>
        <v>0</v>
      </c>
      <c r="AE60" s="234">
        <f t="shared" si="31"/>
        <v>0</v>
      </c>
      <c r="AF60" s="104">
        <f t="shared" si="32"/>
        <v>0</v>
      </c>
      <c r="AG60" s="279">
        <f t="shared" si="33"/>
        <v>0</v>
      </c>
      <c r="AH60" s="279">
        <f t="shared" si="34"/>
        <v>0</v>
      </c>
      <c r="AI60" s="104">
        <f t="shared" si="35"/>
        <v>0</v>
      </c>
      <c r="AJ60" s="104">
        <f t="shared" si="36"/>
        <v>0</v>
      </c>
      <c r="AK60" s="104">
        <f t="shared" si="37"/>
        <v>0</v>
      </c>
      <c r="AL60" s="104">
        <f t="shared" si="38"/>
        <v>0</v>
      </c>
      <c r="AM60" s="104">
        <f t="shared" si="39"/>
        <v>0</v>
      </c>
      <c r="AN60" s="104">
        <f t="shared" si="40"/>
        <v>0</v>
      </c>
      <c r="AO60" s="104">
        <f t="shared" si="41"/>
        <v>0</v>
      </c>
      <c r="AP60" s="181">
        <f>IF(I60="BB-CFPNT",VLOOKUP(I60,'PAINT LABOR COSTS'!$B$59:$M$61,12,0)*(AB60/144),0)</f>
        <v>0</v>
      </c>
      <c r="AQ60" s="181">
        <f t="shared" si="42"/>
        <v>0</v>
      </c>
      <c r="AR60" s="104">
        <f t="shared" si="43"/>
        <v>0</v>
      </c>
      <c r="AS60" s="104">
        <f t="shared" si="44"/>
        <v>0</v>
      </c>
      <c r="AT60" s="181" cm="1">
        <f t="array" ref="AT60">IF(P60="NO",0,IF(AND(N60&lt;49,$A$4="RETAIL"),'Comp Hardware'!$L$6,IF(AND(N60&gt;48,N60&lt;96,$A$4="RETAIL"),'Comp Hardware'!$L$7,IF(AND(N60&gt;=96,$A$4="RETAIL"),'Comp Hardware'!$L$8,IF(AND(N60&lt;49,$A$4="BLDR"),'Comp Hardware'!$M$6,IF(AND(N60&gt;48,N60&lt;96,$A$4="BLDR"),'Comp Hardware'!$M$7,IF(AND(N60&gt;=96,$A$4="BLDR"),'Comp Hardware'!$M$8,IF(AND(N60&lt;49,$A$4="WHOLE"),'Comp Hardware'!$N$6,IF(AND(N60&gt;48,N60&lt;96,$A$4="WHOLE"),'Comp Hardware'!$N$7,IF(AND(N60&gt;=96,$A$4="WHOLE"),'Comp Hardware'!$N$8,IF(AND(N60&lt;49,$A$4="LCR"),'Comp Hardware'!$N$6,IF(AND(N60&gt;48,N60&lt;96,$A$4="LCR"),'Comp Hardware'!$N$7,IF(AND(N60&gt;=96,$A$4="LCR"),'Comp Hardware'!$N$8,_xludf.na)))))))))))))*F60</f>
        <v>0</v>
      </c>
      <c r="AU60" s="181" cm="1">
        <f t="array" ref="AU60">IF(Q60="NO",0,IF(AND(N60&lt;49,$A$4="RETAIL"),'Comp Hardware'!$G$171,IF(AND(N60&gt;48,N60&lt;96,$A$4="RETAIL"),'Comp Hardware'!$G$171*1.5,IF(AND(N60&gt;=96,$A$4="RETAIL"),'Comp Hardware'!$G$171*2,IF(AND(N60&lt;49,$A$4="BLDR"),'Comp Hardware'!$H$171,IF(AND(N60&gt;48,N60&lt;96,$A$4="BLDR"),'Comp Hardware'!$H$171*1.5,IF(AND(N60&gt;=96,$A$4="BLDR"),'Comp Hardware'!$H$171*2,IF(AND(N60&lt;49,$A$4="WHOLE"),'Comp Hardware'!$I$171,IF(AND(N60&gt;48,N60&lt;96,$A$4="WHOLE"),'Comp Hardware'!$I$171*1.5,IF(AND(N60&gt;=96,$A$4="WHOLE"),'Comp Hardware'!$I$171*2,IF(AND(N60&lt;49,$A$4="LCR"),'Comp Hardware'!$I$171,IF(AND(N60&gt;48,N60&lt;96,$A$4="LCR"),'Comp Hardware'!$I$171*1.5,IF(AND(N60&gt;=96,$A$4="LCR"),'Comp Hardware'!$I$171*2,_xludf.na)))))))))))))*F60</f>
        <v>0</v>
      </c>
      <c r="AV60" s="104">
        <f t="shared" si="45"/>
        <v>0</v>
      </c>
      <c r="AW60" s="104">
        <f t="shared" si="46"/>
        <v>0</v>
      </c>
      <c r="AX60" s="104">
        <f t="shared" si="47"/>
        <v>0</v>
      </c>
      <c r="AY60" s="104">
        <f t="shared" si="48"/>
        <v>0</v>
      </c>
      <c r="AZ60" s="104">
        <f t="shared" si="49"/>
        <v>0</v>
      </c>
      <c r="BA60" s="104">
        <f t="shared" si="50"/>
        <v>0</v>
      </c>
    </row>
    <row r="61" spans="1:53">
      <c r="A61" s="2">
        <v>52</v>
      </c>
      <c r="B61" s="277">
        <f t="shared" si="24"/>
        <v>0</v>
      </c>
      <c r="C61" s="277">
        <f t="shared" si="25"/>
        <v>0</v>
      </c>
      <c r="D61" s="277">
        <f t="shared" si="26"/>
        <v>0</v>
      </c>
      <c r="E61" s="22">
        <f t="shared" si="27"/>
        <v>0</v>
      </c>
      <c r="F61" s="160"/>
      <c r="G61" s="160"/>
      <c r="H61" s="160"/>
      <c r="I61" s="160"/>
      <c r="J61" s="75" t="str">
        <f>IFERROR(VLOOKUP(I61,'PAINT LABOR COSTS'!$B$59:$C$61,2,FALSE),"Pick Color")</f>
        <v>Pick Color</v>
      </c>
      <c r="K61" s="160"/>
      <c r="L61" s="198">
        <v>0</v>
      </c>
      <c r="M61" s="199">
        <v>0</v>
      </c>
      <c r="N61" s="198">
        <v>0</v>
      </c>
      <c r="O61" s="199">
        <v>0</v>
      </c>
      <c r="P61" s="160" t="s">
        <v>419</v>
      </c>
      <c r="Q61" s="160" t="s">
        <v>419</v>
      </c>
      <c r="R61" s="160" t="s">
        <v>419</v>
      </c>
      <c r="S61" s="160" t="s">
        <v>419</v>
      </c>
      <c r="T61" s="160" t="s">
        <v>419</v>
      </c>
      <c r="U61" s="160" t="s">
        <v>419</v>
      </c>
      <c r="V61" s="160" t="s">
        <v>419</v>
      </c>
      <c r="W61" s="160">
        <v>0</v>
      </c>
      <c r="X61" s="160" t="s">
        <v>419</v>
      </c>
      <c r="Y61" s="160">
        <v>0</v>
      </c>
      <c r="Z61" s="160" t="s">
        <v>419</v>
      </c>
      <c r="AB61" s="2">
        <f t="shared" si="28"/>
        <v>0</v>
      </c>
      <c r="AC61" s="277">
        <f t="shared" si="29"/>
        <v>0</v>
      </c>
      <c r="AD61" s="277">
        <f t="shared" si="30"/>
        <v>0</v>
      </c>
      <c r="AE61" s="234">
        <f t="shared" si="31"/>
        <v>0</v>
      </c>
      <c r="AF61" s="104">
        <f t="shared" si="32"/>
        <v>0</v>
      </c>
      <c r="AG61" s="279">
        <f t="shared" si="33"/>
        <v>0</v>
      </c>
      <c r="AH61" s="279">
        <f t="shared" si="34"/>
        <v>0</v>
      </c>
      <c r="AI61" s="104">
        <f t="shared" si="35"/>
        <v>0</v>
      </c>
      <c r="AJ61" s="104">
        <f t="shared" si="36"/>
        <v>0</v>
      </c>
      <c r="AK61" s="104">
        <f t="shared" si="37"/>
        <v>0</v>
      </c>
      <c r="AL61" s="104">
        <f t="shared" si="38"/>
        <v>0</v>
      </c>
      <c r="AM61" s="104">
        <f t="shared" si="39"/>
        <v>0</v>
      </c>
      <c r="AN61" s="104">
        <f t="shared" si="40"/>
        <v>0</v>
      </c>
      <c r="AO61" s="104">
        <f t="shared" si="41"/>
        <v>0</v>
      </c>
      <c r="AP61" s="181">
        <f>IF(I61="BB-CFPNT",VLOOKUP(I61,'PAINT LABOR COSTS'!$B$59:$M$61,12,0)*(AB61/144),0)</f>
        <v>0</v>
      </c>
      <c r="AQ61" s="181">
        <f t="shared" si="42"/>
        <v>0</v>
      </c>
      <c r="AR61" s="104">
        <f t="shared" si="43"/>
        <v>0</v>
      </c>
      <c r="AS61" s="104">
        <f t="shared" si="44"/>
        <v>0</v>
      </c>
      <c r="AT61" s="181" cm="1">
        <f t="array" ref="AT61">IF(P61="NO",0,IF(AND(N61&lt;49,$A$4="RETAIL"),'Comp Hardware'!$L$6,IF(AND(N61&gt;48,N61&lt;96,$A$4="RETAIL"),'Comp Hardware'!$L$7,IF(AND(N61&gt;=96,$A$4="RETAIL"),'Comp Hardware'!$L$8,IF(AND(N61&lt;49,$A$4="BLDR"),'Comp Hardware'!$M$6,IF(AND(N61&gt;48,N61&lt;96,$A$4="BLDR"),'Comp Hardware'!$M$7,IF(AND(N61&gt;=96,$A$4="BLDR"),'Comp Hardware'!$M$8,IF(AND(N61&lt;49,$A$4="WHOLE"),'Comp Hardware'!$N$6,IF(AND(N61&gt;48,N61&lt;96,$A$4="WHOLE"),'Comp Hardware'!$N$7,IF(AND(N61&gt;=96,$A$4="WHOLE"),'Comp Hardware'!$N$8,IF(AND(N61&lt;49,$A$4="LCR"),'Comp Hardware'!$N$6,IF(AND(N61&gt;48,N61&lt;96,$A$4="LCR"),'Comp Hardware'!$N$7,IF(AND(N61&gt;=96,$A$4="LCR"),'Comp Hardware'!$N$8,_xludf.na)))))))))))))*F61</f>
        <v>0</v>
      </c>
      <c r="AU61" s="181" cm="1">
        <f t="array" ref="AU61">IF(Q61="NO",0,IF(AND(N61&lt;49,$A$4="RETAIL"),'Comp Hardware'!$G$171,IF(AND(N61&gt;48,N61&lt;96,$A$4="RETAIL"),'Comp Hardware'!$G$171*1.5,IF(AND(N61&gt;=96,$A$4="RETAIL"),'Comp Hardware'!$G$171*2,IF(AND(N61&lt;49,$A$4="BLDR"),'Comp Hardware'!$H$171,IF(AND(N61&gt;48,N61&lt;96,$A$4="BLDR"),'Comp Hardware'!$H$171*1.5,IF(AND(N61&gt;=96,$A$4="BLDR"),'Comp Hardware'!$H$171*2,IF(AND(N61&lt;49,$A$4="WHOLE"),'Comp Hardware'!$I$171,IF(AND(N61&gt;48,N61&lt;96,$A$4="WHOLE"),'Comp Hardware'!$I$171*1.5,IF(AND(N61&gt;=96,$A$4="WHOLE"),'Comp Hardware'!$I$171*2,IF(AND(N61&lt;49,$A$4="LCR"),'Comp Hardware'!$I$171,IF(AND(N61&gt;48,N61&lt;96,$A$4="LCR"),'Comp Hardware'!$I$171*1.5,IF(AND(N61&gt;=96,$A$4="LCR"),'Comp Hardware'!$I$171*2,_xludf.na)))))))))))))*F61</f>
        <v>0</v>
      </c>
      <c r="AV61" s="104">
        <f t="shared" si="45"/>
        <v>0</v>
      </c>
      <c r="AW61" s="104">
        <f t="shared" si="46"/>
        <v>0</v>
      </c>
      <c r="AX61" s="104">
        <f t="shared" si="47"/>
        <v>0</v>
      </c>
      <c r="AY61" s="104">
        <f t="shared" si="48"/>
        <v>0</v>
      </c>
      <c r="AZ61" s="104">
        <f t="shared" si="49"/>
        <v>0</v>
      </c>
      <c r="BA61" s="104">
        <f t="shared" si="50"/>
        <v>0</v>
      </c>
    </row>
    <row r="62" spans="1:53">
      <c r="A62" s="2">
        <v>53</v>
      </c>
      <c r="B62" s="277">
        <f t="shared" si="24"/>
        <v>0</v>
      </c>
      <c r="C62" s="277">
        <f t="shared" si="25"/>
        <v>0</v>
      </c>
      <c r="D62" s="277">
        <f t="shared" si="26"/>
        <v>0</v>
      </c>
      <c r="E62" s="22">
        <f t="shared" si="27"/>
        <v>0</v>
      </c>
      <c r="F62" s="160"/>
      <c r="G62" s="160"/>
      <c r="H62" s="160"/>
      <c r="I62" s="160"/>
      <c r="J62" s="75" t="str">
        <f>IFERROR(VLOOKUP(I62,'PAINT LABOR COSTS'!$B$59:$C$61,2,FALSE),"Pick Color")</f>
        <v>Pick Color</v>
      </c>
      <c r="K62" s="160"/>
      <c r="L62" s="198">
        <v>0</v>
      </c>
      <c r="M62" s="199">
        <v>0</v>
      </c>
      <c r="N62" s="198">
        <v>0</v>
      </c>
      <c r="O62" s="199">
        <v>0</v>
      </c>
      <c r="P62" s="160" t="s">
        <v>419</v>
      </c>
      <c r="Q62" s="160" t="s">
        <v>419</v>
      </c>
      <c r="R62" s="160" t="s">
        <v>419</v>
      </c>
      <c r="S62" s="160" t="s">
        <v>419</v>
      </c>
      <c r="T62" s="160" t="s">
        <v>419</v>
      </c>
      <c r="U62" s="160" t="s">
        <v>419</v>
      </c>
      <c r="V62" s="160" t="s">
        <v>419</v>
      </c>
      <c r="W62" s="160">
        <v>0</v>
      </c>
      <c r="X62" s="160" t="s">
        <v>419</v>
      </c>
      <c r="Y62" s="160">
        <v>0</v>
      </c>
      <c r="Z62" s="160" t="s">
        <v>419</v>
      </c>
      <c r="AB62" s="2">
        <f t="shared" si="28"/>
        <v>0</v>
      </c>
      <c r="AC62" s="277">
        <f t="shared" si="29"/>
        <v>0</v>
      </c>
      <c r="AD62" s="277">
        <f t="shared" si="30"/>
        <v>0</v>
      </c>
      <c r="AE62" s="234">
        <f t="shared" si="31"/>
        <v>0</v>
      </c>
      <c r="AF62" s="104">
        <f t="shared" si="32"/>
        <v>0</v>
      </c>
      <c r="AG62" s="279">
        <f t="shared" si="33"/>
        <v>0</v>
      </c>
      <c r="AH62" s="279">
        <f t="shared" si="34"/>
        <v>0</v>
      </c>
      <c r="AI62" s="104">
        <f t="shared" si="35"/>
        <v>0</v>
      </c>
      <c r="AJ62" s="104">
        <f t="shared" si="36"/>
        <v>0</v>
      </c>
      <c r="AK62" s="104">
        <f t="shared" si="37"/>
        <v>0</v>
      </c>
      <c r="AL62" s="104">
        <f t="shared" si="38"/>
        <v>0</v>
      </c>
      <c r="AM62" s="104">
        <f t="shared" si="39"/>
        <v>0</v>
      </c>
      <c r="AN62" s="104">
        <f t="shared" si="40"/>
        <v>0</v>
      </c>
      <c r="AO62" s="104">
        <f t="shared" si="41"/>
        <v>0</v>
      </c>
      <c r="AP62" s="181">
        <f>IF(I62="BB-CFPNT",VLOOKUP(I62,'PAINT LABOR COSTS'!$B$59:$M$61,12,0)*(AB62/144),0)</f>
        <v>0</v>
      </c>
      <c r="AQ62" s="181">
        <f t="shared" si="42"/>
        <v>0</v>
      </c>
      <c r="AR62" s="104">
        <f t="shared" si="43"/>
        <v>0</v>
      </c>
      <c r="AS62" s="104">
        <f t="shared" si="44"/>
        <v>0</v>
      </c>
      <c r="AT62" s="181" cm="1">
        <f t="array" ref="AT62">IF(P62="NO",0,IF(AND(N62&lt;49,$A$4="RETAIL"),'Comp Hardware'!$L$6,IF(AND(N62&gt;48,N62&lt;96,$A$4="RETAIL"),'Comp Hardware'!$L$7,IF(AND(N62&gt;=96,$A$4="RETAIL"),'Comp Hardware'!$L$8,IF(AND(N62&lt;49,$A$4="BLDR"),'Comp Hardware'!$M$6,IF(AND(N62&gt;48,N62&lt;96,$A$4="BLDR"),'Comp Hardware'!$M$7,IF(AND(N62&gt;=96,$A$4="BLDR"),'Comp Hardware'!$M$8,IF(AND(N62&lt;49,$A$4="WHOLE"),'Comp Hardware'!$N$6,IF(AND(N62&gt;48,N62&lt;96,$A$4="WHOLE"),'Comp Hardware'!$N$7,IF(AND(N62&gt;=96,$A$4="WHOLE"),'Comp Hardware'!$N$8,IF(AND(N62&lt;49,$A$4="LCR"),'Comp Hardware'!$N$6,IF(AND(N62&gt;48,N62&lt;96,$A$4="LCR"),'Comp Hardware'!$N$7,IF(AND(N62&gt;=96,$A$4="LCR"),'Comp Hardware'!$N$8,_xludf.na)))))))))))))*F62</f>
        <v>0</v>
      </c>
      <c r="AU62" s="181" cm="1">
        <f t="array" ref="AU62">IF(Q62="NO",0,IF(AND(N62&lt;49,$A$4="RETAIL"),'Comp Hardware'!$G$171,IF(AND(N62&gt;48,N62&lt;96,$A$4="RETAIL"),'Comp Hardware'!$G$171*1.5,IF(AND(N62&gt;=96,$A$4="RETAIL"),'Comp Hardware'!$G$171*2,IF(AND(N62&lt;49,$A$4="BLDR"),'Comp Hardware'!$H$171,IF(AND(N62&gt;48,N62&lt;96,$A$4="BLDR"),'Comp Hardware'!$H$171*1.5,IF(AND(N62&gt;=96,$A$4="BLDR"),'Comp Hardware'!$H$171*2,IF(AND(N62&lt;49,$A$4="WHOLE"),'Comp Hardware'!$I$171,IF(AND(N62&gt;48,N62&lt;96,$A$4="WHOLE"),'Comp Hardware'!$I$171*1.5,IF(AND(N62&gt;=96,$A$4="WHOLE"),'Comp Hardware'!$I$171*2,IF(AND(N62&lt;49,$A$4="LCR"),'Comp Hardware'!$I$171,IF(AND(N62&gt;48,N62&lt;96,$A$4="LCR"),'Comp Hardware'!$I$171*1.5,IF(AND(N62&gt;=96,$A$4="LCR"),'Comp Hardware'!$I$171*2,_xludf.na)))))))))))))*F62</f>
        <v>0</v>
      </c>
      <c r="AV62" s="104">
        <f t="shared" si="45"/>
        <v>0</v>
      </c>
      <c r="AW62" s="104">
        <f t="shared" si="46"/>
        <v>0</v>
      </c>
      <c r="AX62" s="104">
        <f t="shared" si="47"/>
        <v>0</v>
      </c>
      <c r="AY62" s="104">
        <f t="shared" si="48"/>
        <v>0</v>
      </c>
      <c r="AZ62" s="104">
        <f t="shared" si="49"/>
        <v>0</v>
      </c>
      <c r="BA62" s="104">
        <f t="shared" si="50"/>
        <v>0</v>
      </c>
    </row>
    <row r="63" spans="1:53">
      <c r="A63" s="2">
        <v>54</v>
      </c>
      <c r="B63" s="277">
        <f t="shared" si="24"/>
        <v>0</v>
      </c>
      <c r="C63" s="277">
        <f t="shared" si="25"/>
        <v>0</v>
      </c>
      <c r="D63" s="277">
        <f t="shared" si="26"/>
        <v>0</v>
      </c>
      <c r="E63" s="22">
        <f t="shared" si="27"/>
        <v>0</v>
      </c>
      <c r="F63" s="160"/>
      <c r="G63" s="160"/>
      <c r="H63" s="160"/>
      <c r="I63" s="160"/>
      <c r="J63" s="75" t="str">
        <f>IFERROR(VLOOKUP(I63,'PAINT LABOR COSTS'!$B$59:$C$61,2,FALSE),"Pick Color")</f>
        <v>Pick Color</v>
      </c>
      <c r="K63" s="160"/>
      <c r="L63" s="198">
        <v>0</v>
      </c>
      <c r="M63" s="199">
        <v>0</v>
      </c>
      <c r="N63" s="198">
        <v>0</v>
      </c>
      <c r="O63" s="199">
        <v>0</v>
      </c>
      <c r="P63" s="160" t="s">
        <v>419</v>
      </c>
      <c r="Q63" s="160" t="s">
        <v>419</v>
      </c>
      <c r="R63" s="160" t="s">
        <v>419</v>
      </c>
      <c r="S63" s="160" t="s">
        <v>419</v>
      </c>
      <c r="T63" s="160" t="s">
        <v>419</v>
      </c>
      <c r="U63" s="160" t="s">
        <v>419</v>
      </c>
      <c r="V63" s="160" t="s">
        <v>419</v>
      </c>
      <c r="W63" s="160">
        <v>0</v>
      </c>
      <c r="X63" s="160" t="s">
        <v>419</v>
      </c>
      <c r="Y63" s="160">
        <v>0</v>
      </c>
      <c r="Z63" s="160" t="s">
        <v>419</v>
      </c>
      <c r="AB63" s="2">
        <f t="shared" si="28"/>
        <v>0</v>
      </c>
      <c r="AC63" s="277">
        <f t="shared" si="29"/>
        <v>0</v>
      </c>
      <c r="AD63" s="277">
        <f t="shared" si="30"/>
        <v>0</v>
      </c>
      <c r="AE63" s="234">
        <f t="shared" si="31"/>
        <v>0</v>
      </c>
      <c r="AF63" s="104">
        <f t="shared" si="32"/>
        <v>0</v>
      </c>
      <c r="AG63" s="279">
        <f t="shared" si="33"/>
        <v>0</v>
      </c>
      <c r="AH63" s="279">
        <f t="shared" si="34"/>
        <v>0</v>
      </c>
      <c r="AI63" s="104">
        <f t="shared" si="35"/>
        <v>0</v>
      </c>
      <c r="AJ63" s="104">
        <f t="shared" si="36"/>
        <v>0</v>
      </c>
      <c r="AK63" s="104">
        <f t="shared" si="37"/>
        <v>0</v>
      </c>
      <c r="AL63" s="104">
        <f t="shared" si="38"/>
        <v>0</v>
      </c>
      <c r="AM63" s="104">
        <f t="shared" si="39"/>
        <v>0</v>
      </c>
      <c r="AN63" s="104">
        <f t="shared" si="40"/>
        <v>0</v>
      </c>
      <c r="AO63" s="104">
        <f t="shared" si="41"/>
        <v>0</v>
      </c>
      <c r="AP63" s="181">
        <f>IF(I63="BB-CFPNT",VLOOKUP(I63,'PAINT LABOR COSTS'!$B$59:$M$61,12,0)*(AB63/144),0)</f>
        <v>0</v>
      </c>
      <c r="AQ63" s="181">
        <f t="shared" si="42"/>
        <v>0</v>
      </c>
      <c r="AR63" s="104">
        <f t="shared" si="43"/>
        <v>0</v>
      </c>
      <c r="AS63" s="104">
        <f t="shared" si="44"/>
        <v>0</v>
      </c>
      <c r="AT63" s="181" cm="1">
        <f t="array" ref="AT63">IF(P63="NO",0,IF(AND(N63&lt;49,$A$4="RETAIL"),'Comp Hardware'!$L$6,IF(AND(N63&gt;48,N63&lt;96,$A$4="RETAIL"),'Comp Hardware'!$L$7,IF(AND(N63&gt;=96,$A$4="RETAIL"),'Comp Hardware'!$L$8,IF(AND(N63&lt;49,$A$4="BLDR"),'Comp Hardware'!$M$6,IF(AND(N63&gt;48,N63&lt;96,$A$4="BLDR"),'Comp Hardware'!$M$7,IF(AND(N63&gt;=96,$A$4="BLDR"),'Comp Hardware'!$M$8,IF(AND(N63&lt;49,$A$4="WHOLE"),'Comp Hardware'!$N$6,IF(AND(N63&gt;48,N63&lt;96,$A$4="WHOLE"),'Comp Hardware'!$N$7,IF(AND(N63&gt;=96,$A$4="WHOLE"),'Comp Hardware'!$N$8,IF(AND(N63&lt;49,$A$4="LCR"),'Comp Hardware'!$N$6,IF(AND(N63&gt;48,N63&lt;96,$A$4="LCR"),'Comp Hardware'!$N$7,IF(AND(N63&gt;=96,$A$4="LCR"),'Comp Hardware'!$N$8,_xludf.na)))))))))))))*F63</f>
        <v>0</v>
      </c>
      <c r="AU63" s="181" cm="1">
        <f t="array" ref="AU63">IF(Q63="NO",0,IF(AND(N63&lt;49,$A$4="RETAIL"),'Comp Hardware'!$G$171,IF(AND(N63&gt;48,N63&lt;96,$A$4="RETAIL"),'Comp Hardware'!$G$171*1.5,IF(AND(N63&gt;=96,$A$4="RETAIL"),'Comp Hardware'!$G$171*2,IF(AND(N63&lt;49,$A$4="BLDR"),'Comp Hardware'!$H$171,IF(AND(N63&gt;48,N63&lt;96,$A$4="BLDR"),'Comp Hardware'!$H$171*1.5,IF(AND(N63&gt;=96,$A$4="BLDR"),'Comp Hardware'!$H$171*2,IF(AND(N63&lt;49,$A$4="WHOLE"),'Comp Hardware'!$I$171,IF(AND(N63&gt;48,N63&lt;96,$A$4="WHOLE"),'Comp Hardware'!$I$171*1.5,IF(AND(N63&gt;=96,$A$4="WHOLE"),'Comp Hardware'!$I$171*2,IF(AND(N63&lt;49,$A$4="LCR"),'Comp Hardware'!$I$171,IF(AND(N63&gt;48,N63&lt;96,$A$4="LCR"),'Comp Hardware'!$I$171*1.5,IF(AND(N63&gt;=96,$A$4="LCR"),'Comp Hardware'!$I$171*2,_xludf.na)))))))))))))*F63</f>
        <v>0</v>
      </c>
      <c r="AV63" s="104">
        <f t="shared" si="45"/>
        <v>0</v>
      </c>
      <c r="AW63" s="104">
        <f t="shared" si="46"/>
        <v>0</v>
      </c>
      <c r="AX63" s="104">
        <f t="shared" si="47"/>
        <v>0</v>
      </c>
      <c r="AY63" s="104">
        <f t="shared" si="48"/>
        <v>0</v>
      </c>
      <c r="AZ63" s="104">
        <f t="shared" si="49"/>
        <v>0</v>
      </c>
      <c r="BA63" s="104">
        <f t="shared" si="50"/>
        <v>0</v>
      </c>
    </row>
    <row r="64" spans="1:53">
      <c r="A64" s="2">
        <v>55</v>
      </c>
      <c r="B64" s="277">
        <f t="shared" si="24"/>
        <v>0</v>
      </c>
      <c r="C64" s="277">
        <f t="shared" si="25"/>
        <v>0</v>
      </c>
      <c r="D64" s="277">
        <f t="shared" si="26"/>
        <v>0</v>
      </c>
      <c r="E64" s="22">
        <f t="shared" si="27"/>
        <v>0</v>
      </c>
      <c r="F64" s="160"/>
      <c r="G64" s="160"/>
      <c r="H64" s="160"/>
      <c r="I64" s="160"/>
      <c r="J64" s="75" t="str">
        <f>IFERROR(VLOOKUP(I64,'PAINT LABOR COSTS'!$B$59:$C$61,2,FALSE),"Pick Color")</f>
        <v>Pick Color</v>
      </c>
      <c r="K64" s="160"/>
      <c r="L64" s="198">
        <v>0</v>
      </c>
      <c r="M64" s="199">
        <v>0</v>
      </c>
      <c r="N64" s="198">
        <v>0</v>
      </c>
      <c r="O64" s="199">
        <v>0</v>
      </c>
      <c r="P64" s="160" t="s">
        <v>419</v>
      </c>
      <c r="Q64" s="160" t="s">
        <v>419</v>
      </c>
      <c r="R64" s="160" t="s">
        <v>419</v>
      </c>
      <c r="S64" s="160" t="s">
        <v>419</v>
      </c>
      <c r="T64" s="160" t="s">
        <v>419</v>
      </c>
      <c r="U64" s="160" t="s">
        <v>419</v>
      </c>
      <c r="V64" s="160" t="s">
        <v>419</v>
      </c>
      <c r="W64" s="160">
        <v>0</v>
      </c>
      <c r="X64" s="160" t="s">
        <v>419</v>
      </c>
      <c r="Y64" s="160">
        <v>0</v>
      </c>
      <c r="Z64" s="160" t="s">
        <v>419</v>
      </c>
      <c r="AB64" s="2">
        <f t="shared" si="28"/>
        <v>0</v>
      </c>
      <c r="AC64" s="277">
        <f t="shared" si="29"/>
        <v>0</v>
      </c>
      <c r="AD64" s="277">
        <f t="shared" si="30"/>
        <v>0</v>
      </c>
      <c r="AE64" s="234">
        <f t="shared" si="31"/>
        <v>0</v>
      </c>
      <c r="AF64" s="104">
        <f t="shared" si="32"/>
        <v>0</v>
      </c>
      <c r="AG64" s="279">
        <f t="shared" si="33"/>
        <v>0</v>
      </c>
      <c r="AH64" s="279">
        <f t="shared" si="34"/>
        <v>0</v>
      </c>
      <c r="AI64" s="104">
        <f t="shared" si="35"/>
        <v>0</v>
      </c>
      <c r="AJ64" s="104">
        <f t="shared" si="36"/>
        <v>0</v>
      </c>
      <c r="AK64" s="104">
        <f t="shared" si="37"/>
        <v>0</v>
      </c>
      <c r="AL64" s="104">
        <f t="shared" si="38"/>
        <v>0</v>
      </c>
      <c r="AM64" s="104">
        <f t="shared" si="39"/>
        <v>0</v>
      </c>
      <c r="AN64" s="104">
        <f t="shared" si="40"/>
        <v>0</v>
      </c>
      <c r="AO64" s="104">
        <f t="shared" si="41"/>
        <v>0</v>
      </c>
      <c r="AP64" s="181">
        <f>IF(I64="BB-CFPNT",VLOOKUP(I64,'PAINT LABOR COSTS'!$B$59:$M$61,12,0)*(AB64/144),0)</f>
        <v>0</v>
      </c>
      <c r="AQ64" s="181">
        <f t="shared" si="42"/>
        <v>0</v>
      </c>
      <c r="AR64" s="104">
        <f t="shared" si="43"/>
        <v>0</v>
      </c>
      <c r="AS64" s="104">
        <f t="shared" si="44"/>
        <v>0</v>
      </c>
      <c r="AT64" s="181" cm="1">
        <f t="array" ref="AT64">IF(P64="NO",0,IF(AND(N64&lt;49,$A$4="RETAIL"),'Comp Hardware'!$L$6,IF(AND(N64&gt;48,N64&lt;96,$A$4="RETAIL"),'Comp Hardware'!$L$7,IF(AND(N64&gt;=96,$A$4="RETAIL"),'Comp Hardware'!$L$8,IF(AND(N64&lt;49,$A$4="BLDR"),'Comp Hardware'!$M$6,IF(AND(N64&gt;48,N64&lt;96,$A$4="BLDR"),'Comp Hardware'!$M$7,IF(AND(N64&gt;=96,$A$4="BLDR"),'Comp Hardware'!$M$8,IF(AND(N64&lt;49,$A$4="WHOLE"),'Comp Hardware'!$N$6,IF(AND(N64&gt;48,N64&lt;96,$A$4="WHOLE"),'Comp Hardware'!$N$7,IF(AND(N64&gt;=96,$A$4="WHOLE"),'Comp Hardware'!$N$8,IF(AND(N64&lt;49,$A$4="LCR"),'Comp Hardware'!$N$6,IF(AND(N64&gt;48,N64&lt;96,$A$4="LCR"),'Comp Hardware'!$N$7,IF(AND(N64&gt;=96,$A$4="LCR"),'Comp Hardware'!$N$8,_xludf.na)))))))))))))*F64</f>
        <v>0</v>
      </c>
      <c r="AU64" s="181" cm="1">
        <f t="array" ref="AU64">IF(Q64="NO",0,IF(AND(N64&lt;49,$A$4="RETAIL"),'Comp Hardware'!$G$171,IF(AND(N64&gt;48,N64&lt;96,$A$4="RETAIL"),'Comp Hardware'!$G$171*1.5,IF(AND(N64&gt;=96,$A$4="RETAIL"),'Comp Hardware'!$G$171*2,IF(AND(N64&lt;49,$A$4="BLDR"),'Comp Hardware'!$H$171,IF(AND(N64&gt;48,N64&lt;96,$A$4="BLDR"),'Comp Hardware'!$H$171*1.5,IF(AND(N64&gt;=96,$A$4="BLDR"),'Comp Hardware'!$H$171*2,IF(AND(N64&lt;49,$A$4="WHOLE"),'Comp Hardware'!$I$171,IF(AND(N64&gt;48,N64&lt;96,$A$4="WHOLE"),'Comp Hardware'!$I$171*1.5,IF(AND(N64&gt;=96,$A$4="WHOLE"),'Comp Hardware'!$I$171*2,IF(AND(N64&lt;49,$A$4="LCR"),'Comp Hardware'!$I$171,IF(AND(N64&gt;48,N64&lt;96,$A$4="LCR"),'Comp Hardware'!$I$171*1.5,IF(AND(N64&gt;=96,$A$4="LCR"),'Comp Hardware'!$I$171*2,_xludf.na)))))))))))))*F64</f>
        <v>0</v>
      </c>
      <c r="AV64" s="104">
        <f t="shared" si="45"/>
        <v>0</v>
      </c>
      <c r="AW64" s="104">
        <f t="shared" si="46"/>
        <v>0</v>
      </c>
      <c r="AX64" s="104">
        <f t="shared" si="47"/>
        <v>0</v>
      </c>
      <c r="AY64" s="104">
        <f t="shared" si="48"/>
        <v>0</v>
      </c>
      <c r="AZ64" s="104">
        <f t="shared" si="49"/>
        <v>0</v>
      </c>
      <c r="BA64" s="104">
        <f t="shared" si="50"/>
        <v>0</v>
      </c>
    </row>
    <row r="65" spans="1:53">
      <c r="A65" s="2">
        <v>56</v>
      </c>
      <c r="B65" s="277">
        <f t="shared" si="24"/>
        <v>0</v>
      </c>
      <c r="C65" s="277">
        <f t="shared" si="25"/>
        <v>0</v>
      </c>
      <c r="D65" s="277">
        <f t="shared" si="26"/>
        <v>0</v>
      </c>
      <c r="E65" s="22">
        <f t="shared" si="27"/>
        <v>0</v>
      </c>
      <c r="F65" s="160"/>
      <c r="G65" s="160"/>
      <c r="H65" s="160"/>
      <c r="I65" s="160"/>
      <c r="J65" s="75" t="str">
        <f>IFERROR(VLOOKUP(I65,'PAINT LABOR COSTS'!$B$59:$C$61,2,FALSE),"Pick Color")</f>
        <v>Pick Color</v>
      </c>
      <c r="K65" s="160"/>
      <c r="L65" s="198">
        <v>0</v>
      </c>
      <c r="M65" s="199">
        <v>0</v>
      </c>
      <c r="N65" s="198">
        <v>0</v>
      </c>
      <c r="O65" s="199">
        <v>0</v>
      </c>
      <c r="P65" s="160" t="s">
        <v>419</v>
      </c>
      <c r="Q65" s="160" t="s">
        <v>419</v>
      </c>
      <c r="R65" s="160" t="s">
        <v>419</v>
      </c>
      <c r="S65" s="160" t="s">
        <v>419</v>
      </c>
      <c r="T65" s="160" t="s">
        <v>419</v>
      </c>
      <c r="U65" s="160" t="s">
        <v>419</v>
      </c>
      <c r="V65" s="160" t="s">
        <v>419</v>
      </c>
      <c r="W65" s="160">
        <v>0</v>
      </c>
      <c r="X65" s="160" t="s">
        <v>419</v>
      </c>
      <c r="Y65" s="160">
        <v>0</v>
      </c>
      <c r="Z65" s="160" t="s">
        <v>419</v>
      </c>
      <c r="AB65" s="2">
        <f t="shared" si="28"/>
        <v>0</v>
      </c>
      <c r="AC65" s="277">
        <f t="shared" si="29"/>
        <v>0</v>
      </c>
      <c r="AD65" s="277">
        <f t="shared" si="30"/>
        <v>0</v>
      </c>
      <c r="AE65" s="234">
        <f t="shared" si="31"/>
        <v>0</v>
      </c>
      <c r="AF65" s="104">
        <f t="shared" si="32"/>
        <v>0</v>
      </c>
      <c r="AG65" s="279">
        <f t="shared" si="33"/>
        <v>0</v>
      </c>
      <c r="AH65" s="279">
        <f t="shared" si="34"/>
        <v>0</v>
      </c>
      <c r="AI65" s="104">
        <f t="shared" si="35"/>
        <v>0</v>
      </c>
      <c r="AJ65" s="104">
        <f t="shared" si="36"/>
        <v>0</v>
      </c>
      <c r="AK65" s="104">
        <f t="shared" si="37"/>
        <v>0</v>
      </c>
      <c r="AL65" s="104">
        <f t="shared" si="38"/>
        <v>0</v>
      </c>
      <c r="AM65" s="104">
        <f t="shared" si="39"/>
        <v>0</v>
      </c>
      <c r="AN65" s="104">
        <f t="shared" si="40"/>
        <v>0</v>
      </c>
      <c r="AO65" s="104">
        <f t="shared" si="41"/>
        <v>0</v>
      </c>
      <c r="AP65" s="181">
        <f>IF(I65="BB-CFPNT",VLOOKUP(I65,'PAINT LABOR COSTS'!$B$59:$M$61,12,0)*(AB65/144),0)</f>
        <v>0</v>
      </c>
      <c r="AQ65" s="181">
        <f t="shared" si="42"/>
        <v>0</v>
      </c>
      <c r="AR65" s="104">
        <f t="shared" si="43"/>
        <v>0</v>
      </c>
      <c r="AS65" s="104">
        <f t="shared" si="44"/>
        <v>0</v>
      </c>
      <c r="AT65" s="181" cm="1">
        <f t="array" ref="AT65">IF(P65="NO",0,IF(AND(N65&lt;49,$A$4="RETAIL"),'Comp Hardware'!$L$6,IF(AND(N65&gt;48,N65&lt;96,$A$4="RETAIL"),'Comp Hardware'!$L$7,IF(AND(N65&gt;=96,$A$4="RETAIL"),'Comp Hardware'!$L$8,IF(AND(N65&lt;49,$A$4="BLDR"),'Comp Hardware'!$M$6,IF(AND(N65&gt;48,N65&lt;96,$A$4="BLDR"),'Comp Hardware'!$M$7,IF(AND(N65&gt;=96,$A$4="BLDR"),'Comp Hardware'!$M$8,IF(AND(N65&lt;49,$A$4="WHOLE"),'Comp Hardware'!$N$6,IF(AND(N65&gt;48,N65&lt;96,$A$4="WHOLE"),'Comp Hardware'!$N$7,IF(AND(N65&gt;=96,$A$4="WHOLE"),'Comp Hardware'!$N$8,IF(AND(N65&lt;49,$A$4="LCR"),'Comp Hardware'!$N$6,IF(AND(N65&gt;48,N65&lt;96,$A$4="LCR"),'Comp Hardware'!$N$7,IF(AND(N65&gt;=96,$A$4="LCR"),'Comp Hardware'!$N$8,_xludf.na)))))))))))))*F65</f>
        <v>0</v>
      </c>
      <c r="AU65" s="181" cm="1">
        <f t="array" ref="AU65">IF(Q65="NO",0,IF(AND(N65&lt;49,$A$4="RETAIL"),'Comp Hardware'!$G$171,IF(AND(N65&gt;48,N65&lt;96,$A$4="RETAIL"),'Comp Hardware'!$G$171*1.5,IF(AND(N65&gt;=96,$A$4="RETAIL"),'Comp Hardware'!$G$171*2,IF(AND(N65&lt;49,$A$4="BLDR"),'Comp Hardware'!$H$171,IF(AND(N65&gt;48,N65&lt;96,$A$4="BLDR"),'Comp Hardware'!$H$171*1.5,IF(AND(N65&gt;=96,$A$4="BLDR"),'Comp Hardware'!$H$171*2,IF(AND(N65&lt;49,$A$4="WHOLE"),'Comp Hardware'!$I$171,IF(AND(N65&gt;48,N65&lt;96,$A$4="WHOLE"),'Comp Hardware'!$I$171*1.5,IF(AND(N65&gt;=96,$A$4="WHOLE"),'Comp Hardware'!$I$171*2,IF(AND(N65&lt;49,$A$4="LCR"),'Comp Hardware'!$I$171,IF(AND(N65&gt;48,N65&lt;96,$A$4="LCR"),'Comp Hardware'!$I$171*1.5,IF(AND(N65&gt;=96,$A$4="LCR"),'Comp Hardware'!$I$171*2,_xludf.na)))))))))))))*F65</f>
        <v>0</v>
      </c>
      <c r="AV65" s="104">
        <f t="shared" si="45"/>
        <v>0</v>
      </c>
      <c r="AW65" s="104">
        <f t="shared" si="46"/>
        <v>0</v>
      </c>
      <c r="AX65" s="104">
        <f t="shared" si="47"/>
        <v>0</v>
      </c>
      <c r="AY65" s="104">
        <f t="shared" si="48"/>
        <v>0</v>
      </c>
      <c r="AZ65" s="104">
        <f t="shared" si="49"/>
        <v>0</v>
      </c>
      <c r="BA65" s="104">
        <f t="shared" si="50"/>
        <v>0</v>
      </c>
    </row>
    <row r="66" spans="1:53">
      <c r="A66" s="2">
        <v>57</v>
      </c>
      <c r="B66" s="277">
        <f t="shared" si="24"/>
        <v>0</v>
      </c>
      <c r="C66" s="277">
        <f t="shared" si="25"/>
        <v>0</v>
      </c>
      <c r="D66" s="277">
        <f t="shared" si="26"/>
        <v>0</v>
      </c>
      <c r="E66" s="22">
        <f t="shared" si="27"/>
        <v>0</v>
      </c>
      <c r="F66" s="160"/>
      <c r="G66" s="160"/>
      <c r="H66" s="160"/>
      <c r="I66" s="160"/>
      <c r="J66" s="75" t="str">
        <f>IFERROR(VLOOKUP(I66,'PAINT LABOR COSTS'!$B$59:$C$61,2,FALSE),"Pick Color")</f>
        <v>Pick Color</v>
      </c>
      <c r="K66" s="160"/>
      <c r="L66" s="198">
        <v>0</v>
      </c>
      <c r="M66" s="199">
        <v>0</v>
      </c>
      <c r="N66" s="198">
        <v>0</v>
      </c>
      <c r="O66" s="199">
        <v>0</v>
      </c>
      <c r="P66" s="160" t="s">
        <v>419</v>
      </c>
      <c r="Q66" s="160" t="s">
        <v>419</v>
      </c>
      <c r="R66" s="160" t="s">
        <v>419</v>
      </c>
      <c r="S66" s="160" t="s">
        <v>419</v>
      </c>
      <c r="T66" s="160" t="s">
        <v>419</v>
      </c>
      <c r="U66" s="160" t="s">
        <v>419</v>
      </c>
      <c r="V66" s="160" t="s">
        <v>419</v>
      </c>
      <c r="W66" s="160">
        <v>0</v>
      </c>
      <c r="X66" s="160" t="s">
        <v>419</v>
      </c>
      <c r="Y66" s="160">
        <v>0</v>
      </c>
      <c r="Z66" s="160" t="s">
        <v>419</v>
      </c>
      <c r="AB66" s="2">
        <f t="shared" si="28"/>
        <v>0</v>
      </c>
      <c r="AC66" s="277">
        <f t="shared" si="29"/>
        <v>0</v>
      </c>
      <c r="AD66" s="277">
        <f t="shared" si="30"/>
        <v>0</v>
      </c>
      <c r="AE66" s="234">
        <f t="shared" si="31"/>
        <v>0</v>
      </c>
      <c r="AF66" s="104">
        <f t="shared" si="32"/>
        <v>0</v>
      </c>
      <c r="AG66" s="279">
        <f t="shared" si="33"/>
        <v>0</v>
      </c>
      <c r="AH66" s="279">
        <f t="shared" si="34"/>
        <v>0</v>
      </c>
      <c r="AI66" s="104">
        <f t="shared" si="35"/>
        <v>0</v>
      </c>
      <c r="AJ66" s="104">
        <f t="shared" si="36"/>
        <v>0</v>
      </c>
      <c r="AK66" s="104">
        <f t="shared" si="37"/>
        <v>0</v>
      </c>
      <c r="AL66" s="104">
        <f t="shared" si="38"/>
        <v>0</v>
      </c>
      <c r="AM66" s="104">
        <f t="shared" si="39"/>
        <v>0</v>
      </c>
      <c r="AN66" s="104">
        <f t="shared" si="40"/>
        <v>0</v>
      </c>
      <c r="AO66" s="104">
        <f t="shared" si="41"/>
        <v>0</v>
      </c>
      <c r="AP66" s="181">
        <f>IF(I66="BB-CFPNT",VLOOKUP(I66,'PAINT LABOR COSTS'!$B$59:$M$61,12,0)*(AB66/144),0)</f>
        <v>0</v>
      </c>
      <c r="AQ66" s="181">
        <f t="shared" si="42"/>
        <v>0</v>
      </c>
      <c r="AR66" s="104">
        <f t="shared" si="43"/>
        <v>0</v>
      </c>
      <c r="AS66" s="104">
        <f t="shared" si="44"/>
        <v>0</v>
      </c>
      <c r="AT66" s="181" cm="1">
        <f t="array" ref="AT66">IF(P66="NO",0,IF(AND(N66&lt;49,$A$4="RETAIL"),'Comp Hardware'!$L$6,IF(AND(N66&gt;48,N66&lt;96,$A$4="RETAIL"),'Comp Hardware'!$L$7,IF(AND(N66&gt;=96,$A$4="RETAIL"),'Comp Hardware'!$L$8,IF(AND(N66&lt;49,$A$4="BLDR"),'Comp Hardware'!$M$6,IF(AND(N66&gt;48,N66&lt;96,$A$4="BLDR"),'Comp Hardware'!$M$7,IF(AND(N66&gt;=96,$A$4="BLDR"),'Comp Hardware'!$M$8,IF(AND(N66&lt;49,$A$4="WHOLE"),'Comp Hardware'!$N$6,IF(AND(N66&gt;48,N66&lt;96,$A$4="WHOLE"),'Comp Hardware'!$N$7,IF(AND(N66&gt;=96,$A$4="WHOLE"),'Comp Hardware'!$N$8,IF(AND(N66&lt;49,$A$4="LCR"),'Comp Hardware'!$N$6,IF(AND(N66&gt;48,N66&lt;96,$A$4="LCR"),'Comp Hardware'!$N$7,IF(AND(N66&gt;=96,$A$4="LCR"),'Comp Hardware'!$N$8,_xludf.na)))))))))))))*F66</f>
        <v>0</v>
      </c>
      <c r="AU66" s="181" cm="1">
        <f t="array" ref="AU66">IF(Q66="NO",0,IF(AND(N66&lt;49,$A$4="RETAIL"),'Comp Hardware'!$G$171,IF(AND(N66&gt;48,N66&lt;96,$A$4="RETAIL"),'Comp Hardware'!$G$171*1.5,IF(AND(N66&gt;=96,$A$4="RETAIL"),'Comp Hardware'!$G$171*2,IF(AND(N66&lt;49,$A$4="BLDR"),'Comp Hardware'!$H$171,IF(AND(N66&gt;48,N66&lt;96,$A$4="BLDR"),'Comp Hardware'!$H$171*1.5,IF(AND(N66&gt;=96,$A$4="BLDR"),'Comp Hardware'!$H$171*2,IF(AND(N66&lt;49,$A$4="WHOLE"),'Comp Hardware'!$I$171,IF(AND(N66&gt;48,N66&lt;96,$A$4="WHOLE"),'Comp Hardware'!$I$171*1.5,IF(AND(N66&gt;=96,$A$4="WHOLE"),'Comp Hardware'!$I$171*2,IF(AND(N66&lt;49,$A$4="LCR"),'Comp Hardware'!$I$171,IF(AND(N66&gt;48,N66&lt;96,$A$4="LCR"),'Comp Hardware'!$I$171*1.5,IF(AND(N66&gt;=96,$A$4="LCR"),'Comp Hardware'!$I$171*2,_xludf.na)))))))))))))*F66</f>
        <v>0</v>
      </c>
      <c r="AV66" s="104">
        <f t="shared" si="45"/>
        <v>0</v>
      </c>
      <c r="AW66" s="104">
        <f t="shared" si="46"/>
        <v>0</v>
      </c>
      <c r="AX66" s="104">
        <f t="shared" si="47"/>
        <v>0</v>
      </c>
      <c r="AY66" s="104">
        <f t="shared" si="48"/>
        <v>0</v>
      </c>
      <c r="AZ66" s="104">
        <f t="shared" si="49"/>
        <v>0</v>
      </c>
      <c r="BA66" s="104">
        <f t="shared" si="50"/>
        <v>0</v>
      </c>
    </row>
    <row r="67" spans="1:53">
      <c r="A67" s="2">
        <v>58</v>
      </c>
      <c r="B67" s="277">
        <f t="shared" si="24"/>
        <v>0</v>
      </c>
      <c r="C67" s="277">
        <f t="shared" si="25"/>
        <v>0</v>
      </c>
      <c r="D67" s="277">
        <f t="shared" si="26"/>
        <v>0</v>
      </c>
      <c r="E67" s="22">
        <f t="shared" si="27"/>
        <v>0</v>
      </c>
      <c r="F67" s="160"/>
      <c r="G67" s="160"/>
      <c r="H67" s="160"/>
      <c r="I67" s="160"/>
      <c r="J67" s="75" t="str">
        <f>IFERROR(VLOOKUP(I67,'PAINT LABOR COSTS'!$B$59:$C$61,2,FALSE),"Pick Color")</f>
        <v>Pick Color</v>
      </c>
      <c r="K67" s="160"/>
      <c r="L67" s="198">
        <v>0</v>
      </c>
      <c r="M67" s="199">
        <v>0</v>
      </c>
      <c r="N67" s="198">
        <v>0</v>
      </c>
      <c r="O67" s="199">
        <v>0</v>
      </c>
      <c r="P67" s="160" t="s">
        <v>419</v>
      </c>
      <c r="Q67" s="160" t="s">
        <v>419</v>
      </c>
      <c r="R67" s="160" t="s">
        <v>419</v>
      </c>
      <c r="S67" s="160" t="s">
        <v>419</v>
      </c>
      <c r="T67" s="160" t="s">
        <v>419</v>
      </c>
      <c r="U67" s="160" t="s">
        <v>419</v>
      </c>
      <c r="V67" s="160" t="s">
        <v>419</v>
      </c>
      <c r="W67" s="160">
        <v>0</v>
      </c>
      <c r="X67" s="160" t="s">
        <v>419</v>
      </c>
      <c r="Y67" s="160">
        <v>0</v>
      </c>
      <c r="Z67" s="160" t="s">
        <v>419</v>
      </c>
      <c r="AB67" s="2">
        <f t="shared" si="28"/>
        <v>0</v>
      </c>
      <c r="AC67" s="277">
        <f t="shared" si="29"/>
        <v>0</v>
      </c>
      <c r="AD67" s="277">
        <f t="shared" si="30"/>
        <v>0</v>
      </c>
      <c r="AE67" s="234">
        <f t="shared" si="31"/>
        <v>0</v>
      </c>
      <c r="AF67" s="104">
        <f t="shared" si="32"/>
        <v>0</v>
      </c>
      <c r="AG67" s="279">
        <f t="shared" si="33"/>
        <v>0</v>
      </c>
      <c r="AH67" s="279">
        <f t="shared" si="34"/>
        <v>0</v>
      </c>
      <c r="AI67" s="104">
        <f t="shared" si="35"/>
        <v>0</v>
      </c>
      <c r="AJ67" s="104">
        <f t="shared" si="36"/>
        <v>0</v>
      </c>
      <c r="AK67" s="104">
        <f t="shared" si="37"/>
        <v>0</v>
      </c>
      <c r="AL67" s="104">
        <f t="shared" si="38"/>
        <v>0</v>
      </c>
      <c r="AM67" s="104">
        <f t="shared" si="39"/>
        <v>0</v>
      </c>
      <c r="AN67" s="104">
        <f t="shared" si="40"/>
        <v>0</v>
      </c>
      <c r="AO67" s="104">
        <f t="shared" si="41"/>
        <v>0</v>
      </c>
      <c r="AP67" s="181">
        <f>IF(I67="BB-CFPNT",VLOOKUP(I67,'PAINT LABOR COSTS'!$B$59:$M$61,12,0)*(AB67/144),0)</f>
        <v>0</v>
      </c>
      <c r="AQ67" s="181">
        <f t="shared" si="42"/>
        <v>0</v>
      </c>
      <c r="AR67" s="104">
        <f t="shared" si="43"/>
        <v>0</v>
      </c>
      <c r="AS67" s="104">
        <f t="shared" si="44"/>
        <v>0</v>
      </c>
      <c r="AT67" s="181" cm="1">
        <f t="array" ref="AT67">IF(P67="NO",0,IF(AND(N67&lt;49,$A$4="RETAIL"),'Comp Hardware'!$L$6,IF(AND(N67&gt;48,N67&lt;96,$A$4="RETAIL"),'Comp Hardware'!$L$7,IF(AND(N67&gt;=96,$A$4="RETAIL"),'Comp Hardware'!$L$8,IF(AND(N67&lt;49,$A$4="BLDR"),'Comp Hardware'!$M$6,IF(AND(N67&gt;48,N67&lt;96,$A$4="BLDR"),'Comp Hardware'!$M$7,IF(AND(N67&gt;=96,$A$4="BLDR"),'Comp Hardware'!$M$8,IF(AND(N67&lt;49,$A$4="WHOLE"),'Comp Hardware'!$N$6,IF(AND(N67&gt;48,N67&lt;96,$A$4="WHOLE"),'Comp Hardware'!$N$7,IF(AND(N67&gt;=96,$A$4="WHOLE"),'Comp Hardware'!$N$8,IF(AND(N67&lt;49,$A$4="LCR"),'Comp Hardware'!$N$6,IF(AND(N67&gt;48,N67&lt;96,$A$4="LCR"),'Comp Hardware'!$N$7,IF(AND(N67&gt;=96,$A$4="LCR"),'Comp Hardware'!$N$8,_xludf.na)))))))))))))*F67</f>
        <v>0</v>
      </c>
      <c r="AU67" s="181" cm="1">
        <f t="array" ref="AU67">IF(Q67="NO",0,IF(AND(N67&lt;49,$A$4="RETAIL"),'Comp Hardware'!$G$171,IF(AND(N67&gt;48,N67&lt;96,$A$4="RETAIL"),'Comp Hardware'!$G$171*1.5,IF(AND(N67&gt;=96,$A$4="RETAIL"),'Comp Hardware'!$G$171*2,IF(AND(N67&lt;49,$A$4="BLDR"),'Comp Hardware'!$H$171,IF(AND(N67&gt;48,N67&lt;96,$A$4="BLDR"),'Comp Hardware'!$H$171*1.5,IF(AND(N67&gt;=96,$A$4="BLDR"),'Comp Hardware'!$H$171*2,IF(AND(N67&lt;49,$A$4="WHOLE"),'Comp Hardware'!$I$171,IF(AND(N67&gt;48,N67&lt;96,$A$4="WHOLE"),'Comp Hardware'!$I$171*1.5,IF(AND(N67&gt;=96,$A$4="WHOLE"),'Comp Hardware'!$I$171*2,IF(AND(N67&lt;49,$A$4="LCR"),'Comp Hardware'!$I$171,IF(AND(N67&gt;48,N67&lt;96,$A$4="LCR"),'Comp Hardware'!$I$171*1.5,IF(AND(N67&gt;=96,$A$4="LCR"),'Comp Hardware'!$I$171*2,_xludf.na)))))))))))))*F67</f>
        <v>0</v>
      </c>
      <c r="AV67" s="104">
        <f t="shared" si="45"/>
        <v>0</v>
      </c>
      <c r="AW67" s="104">
        <f t="shared" si="46"/>
        <v>0</v>
      </c>
      <c r="AX67" s="104">
        <f t="shared" si="47"/>
        <v>0</v>
      </c>
      <c r="AY67" s="104">
        <f t="shared" si="48"/>
        <v>0</v>
      </c>
      <c r="AZ67" s="104">
        <f t="shared" si="49"/>
        <v>0</v>
      </c>
      <c r="BA67" s="104">
        <f t="shared" si="50"/>
        <v>0</v>
      </c>
    </row>
    <row r="68" spans="1:53">
      <c r="A68" s="2">
        <v>59</v>
      </c>
      <c r="B68" s="277">
        <f t="shared" si="24"/>
        <v>0</v>
      </c>
      <c r="C68" s="277">
        <f t="shared" si="25"/>
        <v>0</v>
      </c>
      <c r="D68" s="277">
        <f t="shared" si="26"/>
        <v>0</v>
      </c>
      <c r="E68" s="22">
        <f t="shared" si="27"/>
        <v>0</v>
      </c>
      <c r="F68" s="160"/>
      <c r="G68" s="160"/>
      <c r="H68" s="160"/>
      <c r="I68" s="160"/>
      <c r="J68" s="75" t="str">
        <f>IFERROR(VLOOKUP(I68,'PAINT LABOR COSTS'!$B$59:$C$61,2,FALSE),"Pick Color")</f>
        <v>Pick Color</v>
      </c>
      <c r="K68" s="160"/>
      <c r="L68" s="198">
        <v>0</v>
      </c>
      <c r="M68" s="199">
        <v>0</v>
      </c>
      <c r="N68" s="198">
        <v>0</v>
      </c>
      <c r="O68" s="199">
        <v>0</v>
      </c>
      <c r="P68" s="160" t="s">
        <v>419</v>
      </c>
      <c r="Q68" s="160" t="s">
        <v>419</v>
      </c>
      <c r="R68" s="160" t="s">
        <v>419</v>
      </c>
      <c r="S68" s="160" t="s">
        <v>419</v>
      </c>
      <c r="T68" s="160" t="s">
        <v>419</v>
      </c>
      <c r="U68" s="160" t="s">
        <v>419</v>
      </c>
      <c r="V68" s="160" t="s">
        <v>419</v>
      </c>
      <c r="W68" s="160">
        <v>0</v>
      </c>
      <c r="X68" s="160" t="s">
        <v>419</v>
      </c>
      <c r="Y68" s="160">
        <v>0</v>
      </c>
      <c r="Z68" s="160" t="s">
        <v>419</v>
      </c>
      <c r="AB68" s="2">
        <f t="shared" si="28"/>
        <v>0</v>
      </c>
      <c r="AC68" s="277">
        <f t="shared" si="29"/>
        <v>0</v>
      </c>
      <c r="AD68" s="277">
        <f t="shared" si="30"/>
        <v>0</v>
      </c>
      <c r="AE68" s="234">
        <f t="shared" si="31"/>
        <v>0</v>
      </c>
      <c r="AF68" s="104">
        <f t="shared" si="32"/>
        <v>0</v>
      </c>
      <c r="AG68" s="279">
        <f t="shared" si="33"/>
        <v>0</v>
      </c>
      <c r="AH68" s="279">
        <f t="shared" si="34"/>
        <v>0</v>
      </c>
      <c r="AI68" s="104">
        <f t="shared" si="35"/>
        <v>0</v>
      </c>
      <c r="AJ68" s="104">
        <f t="shared" si="36"/>
        <v>0</v>
      </c>
      <c r="AK68" s="104">
        <f t="shared" si="37"/>
        <v>0</v>
      </c>
      <c r="AL68" s="104">
        <f t="shared" si="38"/>
        <v>0</v>
      </c>
      <c r="AM68" s="104">
        <f t="shared" si="39"/>
        <v>0</v>
      </c>
      <c r="AN68" s="104">
        <f t="shared" si="40"/>
        <v>0</v>
      </c>
      <c r="AO68" s="104">
        <f t="shared" si="41"/>
        <v>0</v>
      </c>
      <c r="AP68" s="181">
        <f>IF(I68="BB-CFPNT",VLOOKUP(I68,'PAINT LABOR COSTS'!$B$59:$M$61,12,0)*(AB68/144),0)</f>
        <v>0</v>
      </c>
      <c r="AQ68" s="181">
        <f t="shared" si="42"/>
        <v>0</v>
      </c>
      <c r="AR68" s="104">
        <f t="shared" si="43"/>
        <v>0</v>
      </c>
      <c r="AS68" s="104">
        <f t="shared" si="44"/>
        <v>0</v>
      </c>
      <c r="AT68" s="181" cm="1">
        <f t="array" ref="AT68">IF(P68="NO",0,IF(AND(N68&lt;49,$A$4="RETAIL"),'Comp Hardware'!$L$6,IF(AND(N68&gt;48,N68&lt;96,$A$4="RETAIL"),'Comp Hardware'!$L$7,IF(AND(N68&gt;=96,$A$4="RETAIL"),'Comp Hardware'!$L$8,IF(AND(N68&lt;49,$A$4="BLDR"),'Comp Hardware'!$M$6,IF(AND(N68&gt;48,N68&lt;96,$A$4="BLDR"),'Comp Hardware'!$M$7,IF(AND(N68&gt;=96,$A$4="BLDR"),'Comp Hardware'!$M$8,IF(AND(N68&lt;49,$A$4="WHOLE"),'Comp Hardware'!$N$6,IF(AND(N68&gt;48,N68&lt;96,$A$4="WHOLE"),'Comp Hardware'!$N$7,IF(AND(N68&gt;=96,$A$4="WHOLE"),'Comp Hardware'!$N$8,IF(AND(N68&lt;49,$A$4="LCR"),'Comp Hardware'!$N$6,IF(AND(N68&gt;48,N68&lt;96,$A$4="LCR"),'Comp Hardware'!$N$7,IF(AND(N68&gt;=96,$A$4="LCR"),'Comp Hardware'!$N$8,_xludf.na)))))))))))))*F68</f>
        <v>0</v>
      </c>
      <c r="AU68" s="181" cm="1">
        <f t="array" ref="AU68">IF(Q68="NO",0,IF(AND(N68&lt;49,$A$4="RETAIL"),'Comp Hardware'!$G$171,IF(AND(N68&gt;48,N68&lt;96,$A$4="RETAIL"),'Comp Hardware'!$G$171*1.5,IF(AND(N68&gt;=96,$A$4="RETAIL"),'Comp Hardware'!$G$171*2,IF(AND(N68&lt;49,$A$4="BLDR"),'Comp Hardware'!$H$171,IF(AND(N68&gt;48,N68&lt;96,$A$4="BLDR"),'Comp Hardware'!$H$171*1.5,IF(AND(N68&gt;=96,$A$4="BLDR"),'Comp Hardware'!$H$171*2,IF(AND(N68&lt;49,$A$4="WHOLE"),'Comp Hardware'!$I$171,IF(AND(N68&gt;48,N68&lt;96,$A$4="WHOLE"),'Comp Hardware'!$I$171*1.5,IF(AND(N68&gt;=96,$A$4="WHOLE"),'Comp Hardware'!$I$171*2,IF(AND(N68&lt;49,$A$4="LCR"),'Comp Hardware'!$I$171,IF(AND(N68&gt;48,N68&lt;96,$A$4="LCR"),'Comp Hardware'!$I$171*1.5,IF(AND(N68&gt;=96,$A$4="LCR"),'Comp Hardware'!$I$171*2,_xludf.na)))))))))))))*F68</f>
        <v>0</v>
      </c>
      <c r="AV68" s="104">
        <f t="shared" si="45"/>
        <v>0</v>
      </c>
      <c r="AW68" s="104">
        <f t="shared" si="46"/>
        <v>0</v>
      </c>
      <c r="AX68" s="104">
        <f t="shared" si="47"/>
        <v>0</v>
      </c>
      <c r="AY68" s="104">
        <f t="shared" si="48"/>
        <v>0</v>
      </c>
      <c r="AZ68" s="104">
        <f t="shared" si="49"/>
        <v>0</v>
      </c>
      <c r="BA68" s="104">
        <f t="shared" si="50"/>
        <v>0</v>
      </c>
    </row>
    <row r="69" spans="1:53">
      <c r="A69" s="2">
        <v>60</v>
      </c>
      <c r="B69" s="277">
        <f t="shared" si="24"/>
        <v>0</v>
      </c>
      <c r="C69" s="277">
        <f t="shared" si="25"/>
        <v>0</v>
      </c>
      <c r="D69" s="277">
        <f t="shared" si="26"/>
        <v>0</v>
      </c>
      <c r="E69" s="22">
        <f t="shared" si="27"/>
        <v>0</v>
      </c>
      <c r="F69" s="160"/>
      <c r="G69" s="160"/>
      <c r="H69" s="160"/>
      <c r="I69" s="160"/>
      <c r="J69" s="75" t="str">
        <f>IFERROR(VLOOKUP(I69,'PAINT LABOR COSTS'!$B$59:$C$61,2,FALSE),"Pick Color")</f>
        <v>Pick Color</v>
      </c>
      <c r="K69" s="160"/>
      <c r="L69" s="198">
        <v>0</v>
      </c>
      <c r="M69" s="199">
        <v>0</v>
      </c>
      <c r="N69" s="198">
        <v>0</v>
      </c>
      <c r="O69" s="199">
        <v>0</v>
      </c>
      <c r="P69" s="160" t="s">
        <v>419</v>
      </c>
      <c r="Q69" s="160" t="s">
        <v>419</v>
      </c>
      <c r="R69" s="160" t="s">
        <v>419</v>
      </c>
      <c r="S69" s="160" t="s">
        <v>419</v>
      </c>
      <c r="T69" s="160" t="s">
        <v>419</v>
      </c>
      <c r="U69" s="160" t="s">
        <v>419</v>
      </c>
      <c r="V69" s="160" t="s">
        <v>419</v>
      </c>
      <c r="W69" s="160">
        <v>0</v>
      </c>
      <c r="X69" s="160" t="s">
        <v>419</v>
      </c>
      <c r="Y69" s="160">
        <v>0</v>
      </c>
      <c r="Z69" s="160" t="s">
        <v>419</v>
      </c>
      <c r="AB69" s="2">
        <f t="shared" si="28"/>
        <v>0</v>
      </c>
      <c r="AC69" s="277">
        <f t="shared" si="29"/>
        <v>0</v>
      </c>
      <c r="AD69" s="277">
        <f t="shared" si="30"/>
        <v>0</v>
      </c>
      <c r="AE69" s="234">
        <f t="shared" si="31"/>
        <v>0</v>
      </c>
      <c r="AF69" s="104">
        <f t="shared" si="32"/>
        <v>0</v>
      </c>
      <c r="AG69" s="279">
        <f t="shared" si="33"/>
        <v>0</v>
      </c>
      <c r="AH69" s="279">
        <f t="shared" si="34"/>
        <v>0</v>
      </c>
      <c r="AI69" s="104">
        <f t="shared" si="35"/>
        <v>0</v>
      </c>
      <c r="AJ69" s="104">
        <f t="shared" si="36"/>
        <v>0</v>
      </c>
      <c r="AK69" s="104">
        <f t="shared" si="37"/>
        <v>0</v>
      </c>
      <c r="AL69" s="104">
        <f t="shared" si="38"/>
        <v>0</v>
      </c>
      <c r="AM69" s="104">
        <f t="shared" si="39"/>
        <v>0</v>
      </c>
      <c r="AN69" s="104">
        <f t="shared" si="40"/>
        <v>0</v>
      </c>
      <c r="AO69" s="104">
        <f t="shared" si="41"/>
        <v>0</v>
      </c>
      <c r="AP69" s="181">
        <f>IF(I69="BB-CFPNT",VLOOKUP(I69,'PAINT LABOR COSTS'!$B$59:$M$61,12,0)*(AB69/144),0)</f>
        <v>0</v>
      </c>
      <c r="AQ69" s="181">
        <f t="shared" si="42"/>
        <v>0</v>
      </c>
      <c r="AR69" s="104">
        <f t="shared" si="43"/>
        <v>0</v>
      </c>
      <c r="AS69" s="104">
        <f t="shared" si="44"/>
        <v>0</v>
      </c>
      <c r="AT69" s="181" cm="1">
        <f t="array" ref="AT69">IF(P69="NO",0,IF(AND(N69&lt;49,$A$4="RETAIL"),'Comp Hardware'!$L$6,IF(AND(N69&gt;48,N69&lt;96,$A$4="RETAIL"),'Comp Hardware'!$L$7,IF(AND(N69&gt;=96,$A$4="RETAIL"),'Comp Hardware'!$L$8,IF(AND(N69&lt;49,$A$4="BLDR"),'Comp Hardware'!$M$6,IF(AND(N69&gt;48,N69&lt;96,$A$4="BLDR"),'Comp Hardware'!$M$7,IF(AND(N69&gt;=96,$A$4="BLDR"),'Comp Hardware'!$M$8,IF(AND(N69&lt;49,$A$4="WHOLE"),'Comp Hardware'!$N$6,IF(AND(N69&gt;48,N69&lt;96,$A$4="WHOLE"),'Comp Hardware'!$N$7,IF(AND(N69&gt;=96,$A$4="WHOLE"),'Comp Hardware'!$N$8,IF(AND(N69&lt;49,$A$4="LCR"),'Comp Hardware'!$N$6,IF(AND(N69&gt;48,N69&lt;96,$A$4="LCR"),'Comp Hardware'!$N$7,IF(AND(N69&gt;=96,$A$4="LCR"),'Comp Hardware'!$N$8,_xludf.na)))))))))))))*F69</f>
        <v>0</v>
      </c>
      <c r="AU69" s="181" cm="1">
        <f t="array" ref="AU69">IF(Q69="NO",0,IF(AND(N69&lt;49,$A$4="RETAIL"),'Comp Hardware'!$G$171,IF(AND(N69&gt;48,N69&lt;96,$A$4="RETAIL"),'Comp Hardware'!$G$171*1.5,IF(AND(N69&gt;=96,$A$4="RETAIL"),'Comp Hardware'!$G$171*2,IF(AND(N69&lt;49,$A$4="BLDR"),'Comp Hardware'!$H$171,IF(AND(N69&gt;48,N69&lt;96,$A$4="BLDR"),'Comp Hardware'!$H$171*1.5,IF(AND(N69&gt;=96,$A$4="BLDR"),'Comp Hardware'!$H$171*2,IF(AND(N69&lt;49,$A$4="WHOLE"),'Comp Hardware'!$I$171,IF(AND(N69&gt;48,N69&lt;96,$A$4="WHOLE"),'Comp Hardware'!$I$171*1.5,IF(AND(N69&gt;=96,$A$4="WHOLE"),'Comp Hardware'!$I$171*2,IF(AND(N69&lt;49,$A$4="LCR"),'Comp Hardware'!$I$171,IF(AND(N69&gt;48,N69&lt;96,$A$4="LCR"),'Comp Hardware'!$I$171*1.5,IF(AND(N69&gt;=96,$A$4="LCR"),'Comp Hardware'!$I$171*2,_xludf.na)))))))))))))*F69</f>
        <v>0</v>
      </c>
      <c r="AV69" s="104">
        <f t="shared" si="45"/>
        <v>0</v>
      </c>
      <c r="AW69" s="104">
        <f t="shared" si="46"/>
        <v>0</v>
      </c>
      <c r="AX69" s="104">
        <f t="shared" si="47"/>
        <v>0</v>
      </c>
      <c r="AY69" s="104">
        <f t="shared" si="48"/>
        <v>0</v>
      </c>
      <c r="AZ69" s="104">
        <f t="shared" si="49"/>
        <v>0</v>
      </c>
      <c r="BA69" s="104">
        <f t="shared" si="50"/>
        <v>0</v>
      </c>
    </row>
    <row r="70" spans="1:53">
      <c r="A70" s="2">
        <v>61</v>
      </c>
      <c r="B70" s="277">
        <f t="shared" si="24"/>
        <v>0</v>
      </c>
      <c r="C70" s="277">
        <f t="shared" si="25"/>
        <v>0</v>
      </c>
      <c r="D70" s="277">
        <f t="shared" si="26"/>
        <v>0</v>
      </c>
      <c r="E70" s="22">
        <f t="shared" si="27"/>
        <v>0</v>
      </c>
      <c r="F70" s="160"/>
      <c r="G70" s="160"/>
      <c r="H70" s="160"/>
      <c r="I70" s="160"/>
      <c r="J70" s="75" t="str">
        <f>IFERROR(VLOOKUP(I70,'PAINT LABOR COSTS'!$B$59:$C$61,2,FALSE),"Pick Color")</f>
        <v>Pick Color</v>
      </c>
      <c r="K70" s="160"/>
      <c r="L70" s="198">
        <v>0</v>
      </c>
      <c r="M70" s="199">
        <v>0</v>
      </c>
      <c r="N70" s="198">
        <v>0</v>
      </c>
      <c r="O70" s="199">
        <v>0</v>
      </c>
      <c r="P70" s="160" t="s">
        <v>419</v>
      </c>
      <c r="Q70" s="160" t="s">
        <v>419</v>
      </c>
      <c r="R70" s="160" t="s">
        <v>419</v>
      </c>
      <c r="S70" s="160" t="s">
        <v>419</v>
      </c>
      <c r="T70" s="160" t="s">
        <v>419</v>
      </c>
      <c r="U70" s="160" t="s">
        <v>419</v>
      </c>
      <c r="V70" s="160" t="s">
        <v>419</v>
      </c>
      <c r="W70" s="160">
        <v>0</v>
      </c>
      <c r="X70" s="160" t="s">
        <v>419</v>
      </c>
      <c r="Y70" s="160">
        <v>0</v>
      </c>
      <c r="Z70" s="160" t="s">
        <v>419</v>
      </c>
      <c r="AB70" s="2">
        <f t="shared" si="28"/>
        <v>0</v>
      </c>
      <c r="AC70" s="277">
        <f t="shared" si="29"/>
        <v>0</v>
      </c>
      <c r="AD70" s="277">
        <f t="shared" si="30"/>
        <v>0</v>
      </c>
      <c r="AE70" s="234">
        <f t="shared" si="31"/>
        <v>0</v>
      </c>
      <c r="AF70" s="104">
        <f t="shared" si="32"/>
        <v>0</v>
      </c>
      <c r="AG70" s="279">
        <f t="shared" si="33"/>
        <v>0</v>
      </c>
      <c r="AH70" s="279">
        <f t="shared" si="34"/>
        <v>0</v>
      </c>
      <c r="AI70" s="104">
        <f t="shared" si="35"/>
        <v>0</v>
      </c>
      <c r="AJ70" s="104">
        <f t="shared" si="36"/>
        <v>0</v>
      </c>
      <c r="AK70" s="104">
        <f t="shared" si="37"/>
        <v>0</v>
      </c>
      <c r="AL70" s="104">
        <f t="shared" si="38"/>
        <v>0</v>
      </c>
      <c r="AM70" s="104">
        <f t="shared" si="39"/>
        <v>0</v>
      </c>
      <c r="AN70" s="104">
        <f t="shared" si="40"/>
        <v>0</v>
      </c>
      <c r="AO70" s="104">
        <f t="shared" si="41"/>
        <v>0</v>
      </c>
      <c r="AP70" s="181">
        <f>IF(I70="BB-CFPNT",VLOOKUP(I70,'PAINT LABOR COSTS'!$B$59:$M$61,12,0)*(AB70/144),0)</f>
        <v>0</v>
      </c>
      <c r="AQ70" s="181">
        <f t="shared" si="42"/>
        <v>0</v>
      </c>
      <c r="AR70" s="104">
        <f t="shared" si="43"/>
        <v>0</v>
      </c>
      <c r="AS70" s="104">
        <f t="shared" si="44"/>
        <v>0</v>
      </c>
      <c r="AT70" s="181" cm="1">
        <f t="array" ref="AT70">IF(P70="NO",0,IF(AND(N70&lt;49,$A$4="RETAIL"),'Comp Hardware'!$L$6,IF(AND(N70&gt;48,N70&lt;96,$A$4="RETAIL"),'Comp Hardware'!$L$7,IF(AND(N70&gt;=96,$A$4="RETAIL"),'Comp Hardware'!$L$8,IF(AND(N70&lt;49,$A$4="BLDR"),'Comp Hardware'!$M$6,IF(AND(N70&gt;48,N70&lt;96,$A$4="BLDR"),'Comp Hardware'!$M$7,IF(AND(N70&gt;=96,$A$4="BLDR"),'Comp Hardware'!$M$8,IF(AND(N70&lt;49,$A$4="WHOLE"),'Comp Hardware'!$N$6,IF(AND(N70&gt;48,N70&lt;96,$A$4="WHOLE"),'Comp Hardware'!$N$7,IF(AND(N70&gt;=96,$A$4="WHOLE"),'Comp Hardware'!$N$8,IF(AND(N70&lt;49,$A$4="LCR"),'Comp Hardware'!$N$6,IF(AND(N70&gt;48,N70&lt;96,$A$4="LCR"),'Comp Hardware'!$N$7,IF(AND(N70&gt;=96,$A$4="LCR"),'Comp Hardware'!$N$8,_xludf.na)))))))))))))*F70</f>
        <v>0</v>
      </c>
      <c r="AU70" s="181" cm="1">
        <f t="array" ref="AU70">IF(Q70="NO",0,IF(AND(N70&lt;49,$A$4="RETAIL"),'Comp Hardware'!$G$171,IF(AND(N70&gt;48,N70&lt;96,$A$4="RETAIL"),'Comp Hardware'!$G$171*1.5,IF(AND(N70&gt;=96,$A$4="RETAIL"),'Comp Hardware'!$G$171*2,IF(AND(N70&lt;49,$A$4="BLDR"),'Comp Hardware'!$H$171,IF(AND(N70&gt;48,N70&lt;96,$A$4="BLDR"),'Comp Hardware'!$H$171*1.5,IF(AND(N70&gt;=96,$A$4="BLDR"),'Comp Hardware'!$H$171*2,IF(AND(N70&lt;49,$A$4="WHOLE"),'Comp Hardware'!$I$171,IF(AND(N70&gt;48,N70&lt;96,$A$4="WHOLE"),'Comp Hardware'!$I$171*1.5,IF(AND(N70&gt;=96,$A$4="WHOLE"),'Comp Hardware'!$I$171*2,IF(AND(N70&lt;49,$A$4="LCR"),'Comp Hardware'!$I$171,IF(AND(N70&gt;48,N70&lt;96,$A$4="LCR"),'Comp Hardware'!$I$171*1.5,IF(AND(N70&gt;=96,$A$4="LCR"),'Comp Hardware'!$I$171*2,_xludf.na)))))))))))))*F70</f>
        <v>0</v>
      </c>
      <c r="AV70" s="104">
        <f t="shared" si="45"/>
        <v>0</v>
      </c>
      <c r="AW70" s="104">
        <f t="shared" si="46"/>
        <v>0</v>
      </c>
      <c r="AX70" s="104">
        <f t="shared" si="47"/>
        <v>0</v>
      </c>
      <c r="AY70" s="104">
        <f t="shared" si="48"/>
        <v>0</v>
      </c>
      <c r="AZ70" s="104">
        <f t="shared" si="49"/>
        <v>0</v>
      </c>
      <c r="BA70" s="104">
        <f t="shared" si="50"/>
        <v>0</v>
      </c>
    </row>
    <row r="71" spans="1:53">
      <c r="A71" s="2">
        <v>62</v>
      </c>
      <c r="B71" s="277">
        <f t="shared" si="24"/>
        <v>0</v>
      </c>
      <c r="C71" s="277">
        <f t="shared" si="25"/>
        <v>0</v>
      </c>
      <c r="D71" s="277">
        <f t="shared" si="26"/>
        <v>0</v>
      </c>
      <c r="E71" s="22">
        <f t="shared" si="27"/>
        <v>0</v>
      </c>
      <c r="F71" s="160"/>
      <c r="G71" s="160"/>
      <c r="H71" s="160"/>
      <c r="I71" s="160"/>
      <c r="J71" s="75" t="str">
        <f>IFERROR(VLOOKUP(I71,'PAINT LABOR COSTS'!$B$59:$C$61,2,FALSE),"Pick Color")</f>
        <v>Pick Color</v>
      </c>
      <c r="K71" s="160"/>
      <c r="L71" s="198">
        <v>0</v>
      </c>
      <c r="M71" s="199">
        <v>0</v>
      </c>
      <c r="N71" s="198">
        <v>0</v>
      </c>
      <c r="O71" s="199">
        <v>0</v>
      </c>
      <c r="P71" s="160" t="s">
        <v>419</v>
      </c>
      <c r="Q71" s="160" t="s">
        <v>419</v>
      </c>
      <c r="R71" s="160" t="s">
        <v>419</v>
      </c>
      <c r="S71" s="160" t="s">
        <v>419</v>
      </c>
      <c r="T71" s="160" t="s">
        <v>419</v>
      </c>
      <c r="U71" s="160" t="s">
        <v>419</v>
      </c>
      <c r="V71" s="160" t="s">
        <v>419</v>
      </c>
      <c r="W71" s="160">
        <v>0</v>
      </c>
      <c r="X71" s="160" t="s">
        <v>419</v>
      </c>
      <c r="Y71" s="160">
        <v>0</v>
      </c>
      <c r="Z71" s="160" t="s">
        <v>419</v>
      </c>
      <c r="AB71" s="2">
        <f t="shared" si="28"/>
        <v>0</v>
      </c>
      <c r="AC71" s="277">
        <f t="shared" si="29"/>
        <v>0</v>
      </c>
      <c r="AD71" s="277">
        <f t="shared" si="30"/>
        <v>0</v>
      </c>
      <c r="AE71" s="234">
        <f t="shared" si="31"/>
        <v>0</v>
      </c>
      <c r="AF71" s="104">
        <f t="shared" si="32"/>
        <v>0</v>
      </c>
      <c r="AG71" s="279">
        <f t="shared" si="33"/>
        <v>0</v>
      </c>
      <c r="AH71" s="279">
        <f t="shared" si="34"/>
        <v>0</v>
      </c>
      <c r="AI71" s="104">
        <f t="shared" si="35"/>
        <v>0</v>
      </c>
      <c r="AJ71" s="104">
        <f t="shared" si="36"/>
        <v>0</v>
      </c>
      <c r="AK71" s="104">
        <f t="shared" si="37"/>
        <v>0</v>
      </c>
      <c r="AL71" s="104">
        <f t="shared" si="38"/>
        <v>0</v>
      </c>
      <c r="AM71" s="104">
        <f t="shared" si="39"/>
        <v>0</v>
      </c>
      <c r="AN71" s="104">
        <f t="shared" si="40"/>
        <v>0</v>
      </c>
      <c r="AO71" s="104">
        <f t="shared" si="41"/>
        <v>0</v>
      </c>
      <c r="AP71" s="181">
        <f>IF(I71="BB-CFPNT",VLOOKUP(I71,'PAINT LABOR COSTS'!$B$59:$M$61,12,0)*(AB71/144),0)</f>
        <v>0</v>
      </c>
      <c r="AQ71" s="181">
        <f t="shared" si="42"/>
        <v>0</v>
      </c>
      <c r="AR71" s="104">
        <f t="shared" si="43"/>
        <v>0</v>
      </c>
      <c r="AS71" s="104">
        <f t="shared" si="44"/>
        <v>0</v>
      </c>
      <c r="AT71" s="181" cm="1">
        <f t="array" ref="AT71">IF(P71="NO",0,IF(AND(N71&lt;49,$A$4="RETAIL"),'Comp Hardware'!$L$6,IF(AND(N71&gt;48,N71&lt;96,$A$4="RETAIL"),'Comp Hardware'!$L$7,IF(AND(N71&gt;=96,$A$4="RETAIL"),'Comp Hardware'!$L$8,IF(AND(N71&lt;49,$A$4="BLDR"),'Comp Hardware'!$M$6,IF(AND(N71&gt;48,N71&lt;96,$A$4="BLDR"),'Comp Hardware'!$M$7,IF(AND(N71&gt;=96,$A$4="BLDR"),'Comp Hardware'!$M$8,IF(AND(N71&lt;49,$A$4="WHOLE"),'Comp Hardware'!$N$6,IF(AND(N71&gt;48,N71&lt;96,$A$4="WHOLE"),'Comp Hardware'!$N$7,IF(AND(N71&gt;=96,$A$4="WHOLE"),'Comp Hardware'!$N$8,IF(AND(N71&lt;49,$A$4="LCR"),'Comp Hardware'!$N$6,IF(AND(N71&gt;48,N71&lt;96,$A$4="LCR"),'Comp Hardware'!$N$7,IF(AND(N71&gt;=96,$A$4="LCR"),'Comp Hardware'!$N$8,_xludf.na)))))))))))))*F71</f>
        <v>0</v>
      </c>
      <c r="AU71" s="181" cm="1">
        <f t="array" ref="AU71">IF(Q71="NO",0,IF(AND(N71&lt;49,$A$4="RETAIL"),'Comp Hardware'!$G$171,IF(AND(N71&gt;48,N71&lt;96,$A$4="RETAIL"),'Comp Hardware'!$G$171*1.5,IF(AND(N71&gt;=96,$A$4="RETAIL"),'Comp Hardware'!$G$171*2,IF(AND(N71&lt;49,$A$4="BLDR"),'Comp Hardware'!$H$171,IF(AND(N71&gt;48,N71&lt;96,$A$4="BLDR"),'Comp Hardware'!$H$171*1.5,IF(AND(N71&gt;=96,$A$4="BLDR"),'Comp Hardware'!$H$171*2,IF(AND(N71&lt;49,$A$4="WHOLE"),'Comp Hardware'!$I$171,IF(AND(N71&gt;48,N71&lt;96,$A$4="WHOLE"),'Comp Hardware'!$I$171*1.5,IF(AND(N71&gt;=96,$A$4="WHOLE"),'Comp Hardware'!$I$171*2,IF(AND(N71&lt;49,$A$4="LCR"),'Comp Hardware'!$I$171,IF(AND(N71&gt;48,N71&lt;96,$A$4="LCR"),'Comp Hardware'!$I$171*1.5,IF(AND(N71&gt;=96,$A$4="LCR"),'Comp Hardware'!$I$171*2,_xludf.na)))))))))))))*F71</f>
        <v>0</v>
      </c>
      <c r="AV71" s="104">
        <f t="shared" si="45"/>
        <v>0</v>
      </c>
      <c r="AW71" s="104">
        <f t="shared" si="46"/>
        <v>0</v>
      </c>
      <c r="AX71" s="104">
        <f t="shared" si="47"/>
        <v>0</v>
      </c>
      <c r="AY71" s="104">
        <f t="shared" si="48"/>
        <v>0</v>
      </c>
      <c r="AZ71" s="104">
        <f t="shared" si="49"/>
        <v>0</v>
      </c>
      <c r="BA71" s="104">
        <f t="shared" si="50"/>
        <v>0</v>
      </c>
    </row>
    <row r="72" spans="1:53">
      <c r="A72" s="2">
        <v>63</v>
      </c>
      <c r="B72" s="277">
        <f t="shared" si="24"/>
        <v>0</v>
      </c>
      <c r="C72" s="277">
        <f t="shared" si="25"/>
        <v>0</v>
      </c>
      <c r="D72" s="277">
        <f t="shared" si="26"/>
        <v>0</v>
      </c>
      <c r="E72" s="22">
        <f t="shared" si="27"/>
        <v>0</v>
      </c>
      <c r="F72" s="160"/>
      <c r="G72" s="160"/>
      <c r="H72" s="160"/>
      <c r="I72" s="160"/>
      <c r="J72" s="75" t="str">
        <f>IFERROR(VLOOKUP(I72,'PAINT LABOR COSTS'!$B$59:$C$61,2,FALSE),"Pick Color")</f>
        <v>Pick Color</v>
      </c>
      <c r="K72" s="160"/>
      <c r="L72" s="198">
        <v>0</v>
      </c>
      <c r="M72" s="199">
        <v>0</v>
      </c>
      <c r="N72" s="198">
        <v>0</v>
      </c>
      <c r="O72" s="199">
        <v>0</v>
      </c>
      <c r="P72" s="160" t="s">
        <v>419</v>
      </c>
      <c r="Q72" s="160" t="s">
        <v>419</v>
      </c>
      <c r="R72" s="160" t="s">
        <v>419</v>
      </c>
      <c r="S72" s="160" t="s">
        <v>419</v>
      </c>
      <c r="T72" s="160" t="s">
        <v>419</v>
      </c>
      <c r="U72" s="160" t="s">
        <v>419</v>
      </c>
      <c r="V72" s="160" t="s">
        <v>419</v>
      </c>
      <c r="W72" s="160">
        <v>0</v>
      </c>
      <c r="X72" s="160" t="s">
        <v>419</v>
      </c>
      <c r="Y72" s="160">
        <v>0</v>
      </c>
      <c r="Z72" s="160" t="s">
        <v>419</v>
      </c>
      <c r="AB72" s="2">
        <f t="shared" si="28"/>
        <v>0</v>
      </c>
      <c r="AC72" s="277">
        <f t="shared" si="29"/>
        <v>0</v>
      </c>
      <c r="AD72" s="277">
        <f t="shared" si="30"/>
        <v>0</v>
      </c>
      <c r="AE72" s="234">
        <f t="shared" si="31"/>
        <v>0</v>
      </c>
      <c r="AF72" s="104">
        <f t="shared" si="32"/>
        <v>0</v>
      </c>
      <c r="AG72" s="279">
        <f t="shared" si="33"/>
        <v>0</v>
      </c>
      <c r="AH72" s="279">
        <f t="shared" si="34"/>
        <v>0</v>
      </c>
      <c r="AI72" s="104">
        <f t="shared" si="35"/>
        <v>0</v>
      </c>
      <c r="AJ72" s="104">
        <f t="shared" si="36"/>
        <v>0</v>
      </c>
      <c r="AK72" s="104">
        <f t="shared" si="37"/>
        <v>0</v>
      </c>
      <c r="AL72" s="104">
        <f t="shared" si="38"/>
        <v>0</v>
      </c>
      <c r="AM72" s="104">
        <f t="shared" si="39"/>
        <v>0</v>
      </c>
      <c r="AN72" s="104">
        <f t="shared" si="40"/>
        <v>0</v>
      </c>
      <c r="AO72" s="104">
        <f t="shared" si="41"/>
        <v>0</v>
      </c>
      <c r="AP72" s="181">
        <f>IF(I72="BB-CFPNT",VLOOKUP(I72,'PAINT LABOR COSTS'!$B$59:$M$61,12,0)*(AB72/144),0)</f>
        <v>0</v>
      </c>
      <c r="AQ72" s="181">
        <f t="shared" si="42"/>
        <v>0</v>
      </c>
      <c r="AR72" s="104">
        <f t="shared" si="43"/>
        <v>0</v>
      </c>
      <c r="AS72" s="104">
        <f t="shared" si="44"/>
        <v>0</v>
      </c>
      <c r="AT72" s="181" cm="1">
        <f t="array" ref="AT72">IF(P72="NO",0,IF(AND(N72&lt;49,$A$4="RETAIL"),'Comp Hardware'!$L$6,IF(AND(N72&gt;48,N72&lt;96,$A$4="RETAIL"),'Comp Hardware'!$L$7,IF(AND(N72&gt;=96,$A$4="RETAIL"),'Comp Hardware'!$L$8,IF(AND(N72&lt;49,$A$4="BLDR"),'Comp Hardware'!$M$6,IF(AND(N72&gt;48,N72&lt;96,$A$4="BLDR"),'Comp Hardware'!$M$7,IF(AND(N72&gt;=96,$A$4="BLDR"),'Comp Hardware'!$M$8,IF(AND(N72&lt;49,$A$4="WHOLE"),'Comp Hardware'!$N$6,IF(AND(N72&gt;48,N72&lt;96,$A$4="WHOLE"),'Comp Hardware'!$N$7,IF(AND(N72&gt;=96,$A$4="WHOLE"),'Comp Hardware'!$N$8,IF(AND(N72&lt;49,$A$4="LCR"),'Comp Hardware'!$N$6,IF(AND(N72&gt;48,N72&lt;96,$A$4="LCR"),'Comp Hardware'!$N$7,IF(AND(N72&gt;=96,$A$4="LCR"),'Comp Hardware'!$N$8,_xludf.na)))))))))))))*F72</f>
        <v>0</v>
      </c>
      <c r="AU72" s="181" cm="1">
        <f t="array" ref="AU72">IF(Q72="NO",0,IF(AND(N72&lt;49,$A$4="RETAIL"),'Comp Hardware'!$G$171,IF(AND(N72&gt;48,N72&lt;96,$A$4="RETAIL"),'Comp Hardware'!$G$171*1.5,IF(AND(N72&gt;=96,$A$4="RETAIL"),'Comp Hardware'!$G$171*2,IF(AND(N72&lt;49,$A$4="BLDR"),'Comp Hardware'!$H$171,IF(AND(N72&gt;48,N72&lt;96,$A$4="BLDR"),'Comp Hardware'!$H$171*1.5,IF(AND(N72&gt;=96,$A$4="BLDR"),'Comp Hardware'!$H$171*2,IF(AND(N72&lt;49,$A$4="WHOLE"),'Comp Hardware'!$I$171,IF(AND(N72&gt;48,N72&lt;96,$A$4="WHOLE"),'Comp Hardware'!$I$171*1.5,IF(AND(N72&gt;=96,$A$4="WHOLE"),'Comp Hardware'!$I$171*2,IF(AND(N72&lt;49,$A$4="LCR"),'Comp Hardware'!$I$171,IF(AND(N72&gt;48,N72&lt;96,$A$4="LCR"),'Comp Hardware'!$I$171*1.5,IF(AND(N72&gt;=96,$A$4="LCR"),'Comp Hardware'!$I$171*2,_xludf.na)))))))))))))*F72</f>
        <v>0</v>
      </c>
      <c r="AV72" s="104">
        <f t="shared" si="45"/>
        <v>0</v>
      </c>
      <c r="AW72" s="104">
        <f t="shared" si="46"/>
        <v>0</v>
      </c>
      <c r="AX72" s="104">
        <f t="shared" si="47"/>
        <v>0</v>
      </c>
      <c r="AY72" s="104">
        <f t="shared" si="48"/>
        <v>0</v>
      </c>
      <c r="AZ72" s="104">
        <f t="shared" si="49"/>
        <v>0</v>
      </c>
      <c r="BA72" s="104">
        <f t="shared" si="50"/>
        <v>0</v>
      </c>
    </row>
    <row r="73" spans="1:53">
      <c r="A73" s="2">
        <v>64</v>
      </c>
      <c r="B73" s="277">
        <f t="shared" si="24"/>
        <v>0</v>
      </c>
      <c r="C73" s="277">
        <f t="shared" si="25"/>
        <v>0</v>
      </c>
      <c r="D73" s="277">
        <f t="shared" si="26"/>
        <v>0</v>
      </c>
      <c r="E73" s="22">
        <f t="shared" si="27"/>
        <v>0</v>
      </c>
      <c r="F73" s="160"/>
      <c r="G73" s="160"/>
      <c r="H73" s="160"/>
      <c r="I73" s="160"/>
      <c r="J73" s="75" t="str">
        <f>IFERROR(VLOOKUP(I73,'PAINT LABOR COSTS'!$B$59:$C$61,2,FALSE),"Pick Color")</f>
        <v>Pick Color</v>
      </c>
      <c r="K73" s="160"/>
      <c r="L73" s="198">
        <v>0</v>
      </c>
      <c r="M73" s="199">
        <v>0</v>
      </c>
      <c r="N73" s="198">
        <v>0</v>
      </c>
      <c r="O73" s="199">
        <v>0</v>
      </c>
      <c r="P73" s="160" t="s">
        <v>419</v>
      </c>
      <c r="Q73" s="160" t="s">
        <v>419</v>
      </c>
      <c r="R73" s="160" t="s">
        <v>419</v>
      </c>
      <c r="S73" s="160" t="s">
        <v>419</v>
      </c>
      <c r="T73" s="160" t="s">
        <v>419</v>
      </c>
      <c r="U73" s="160" t="s">
        <v>419</v>
      </c>
      <c r="V73" s="160" t="s">
        <v>419</v>
      </c>
      <c r="W73" s="160">
        <v>0</v>
      </c>
      <c r="X73" s="160" t="s">
        <v>419</v>
      </c>
      <c r="Y73" s="160">
        <v>0</v>
      </c>
      <c r="Z73" s="160" t="s">
        <v>419</v>
      </c>
      <c r="AB73" s="2">
        <f t="shared" si="28"/>
        <v>0</v>
      </c>
      <c r="AC73" s="277">
        <f t="shared" si="29"/>
        <v>0</v>
      </c>
      <c r="AD73" s="277">
        <f t="shared" si="30"/>
        <v>0</v>
      </c>
      <c r="AE73" s="234">
        <f t="shared" si="31"/>
        <v>0</v>
      </c>
      <c r="AF73" s="104">
        <f t="shared" si="32"/>
        <v>0</v>
      </c>
      <c r="AG73" s="279">
        <f t="shared" si="33"/>
        <v>0</v>
      </c>
      <c r="AH73" s="279">
        <f t="shared" si="34"/>
        <v>0</v>
      </c>
      <c r="AI73" s="104">
        <f t="shared" si="35"/>
        <v>0</v>
      </c>
      <c r="AJ73" s="104">
        <f t="shared" si="36"/>
        <v>0</v>
      </c>
      <c r="AK73" s="104">
        <f t="shared" si="37"/>
        <v>0</v>
      </c>
      <c r="AL73" s="104">
        <f t="shared" si="38"/>
        <v>0</v>
      </c>
      <c r="AM73" s="104">
        <f t="shared" si="39"/>
        <v>0</v>
      </c>
      <c r="AN73" s="104">
        <f t="shared" si="40"/>
        <v>0</v>
      </c>
      <c r="AO73" s="104">
        <f t="shared" si="41"/>
        <v>0</v>
      </c>
      <c r="AP73" s="181">
        <f>IF(I73="BB-CFPNT",VLOOKUP(I73,'PAINT LABOR COSTS'!$B$59:$M$61,12,0)*(AB73/144),0)</f>
        <v>0</v>
      </c>
      <c r="AQ73" s="181">
        <f t="shared" si="42"/>
        <v>0</v>
      </c>
      <c r="AR73" s="104">
        <f t="shared" si="43"/>
        <v>0</v>
      </c>
      <c r="AS73" s="104">
        <f t="shared" si="44"/>
        <v>0</v>
      </c>
      <c r="AT73" s="181" cm="1">
        <f t="array" ref="AT73">IF(P73="NO",0,IF(AND(N73&lt;49,$A$4="RETAIL"),'Comp Hardware'!$L$6,IF(AND(N73&gt;48,N73&lt;96,$A$4="RETAIL"),'Comp Hardware'!$L$7,IF(AND(N73&gt;=96,$A$4="RETAIL"),'Comp Hardware'!$L$8,IF(AND(N73&lt;49,$A$4="BLDR"),'Comp Hardware'!$M$6,IF(AND(N73&gt;48,N73&lt;96,$A$4="BLDR"),'Comp Hardware'!$M$7,IF(AND(N73&gt;=96,$A$4="BLDR"),'Comp Hardware'!$M$8,IF(AND(N73&lt;49,$A$4="WHOLE"),'Comp Hardware'!$N$6,IF(AND(N73&gt;48,N73&lt;96,$A$4="WHOLE"),'Comp Hardware'!$N$7,IF(AND(N73&gt;=96,$A$4="WHOLE"),'Comp Hardware'!$N$8,IF(AND(N73&lt;49,$A$4="LCR"),'Comp Hardware'!$N$6,IF(AND(N73&gt;48,N73&lt;96,$A$4="LCR"),'Comp Hardware'!$N$7,IF(AND(N73&gt;=96,$A$4="LCR"),'Comp Hardware'!$N$8,_xludf.na)))))))))))))*F73</f>
        <v>0</v>
      </c>
      <c r="AU73" s="181" cm="1">
        <f t="array" ref="AU73">IF(Q73="NO",0,IF(AND(N73&lt;49,$A$4="RETAIL"),'Comp Hardware'!$G$171,IF(AND(N73&gt;48,N73&lt;96,$A$4="RETAIL"),'Comp Hardware'!$G$171*1.5,IF(AND(N73&gt;=96,$A$4="RETAIL"),'Comp Hardware'!$G$171*2,IF(AND(N73&lt;49,$A$4="BLDR"),'Comp Hardware'!$H$171,IF(AND(N73&gt;48,N73&lt;96,$A$4="BLDR"),'Comp Hardware'!$H$171*1.5,IF(AND(N73&gt;=96,$A$4="BLDR"),'Comp Hardware'!$H$171*2,IF(AND(N73&lt;49,$A$4="WHOLE"),'Comp Hardware'!$I$171,IF(AND(N73&gt;48,N73&lt;96,$A$4="WHOLE"),'Comp Hardware'!$I$171*1.5,IF(AND(N73&gt;=96,$A$4="WHOLE"),'Comp Hardware'!$I$171*2,IF(AND(N73&lt;49,$A$4="LCR"),'Comp Hardware'!$I$171,IF(AND(N73&gt;48,N73&lt;96,$A$4="LCR"),'Comp Hardware'!$I$171*1.5,IF(AND(N73&gt;=96,$A$4="LCR"),'Comp Hardware'!$I$171*2,_xludf.na)))))))))))))*F73</f>
        <v>0</v>
      </c>
      <c r="AV73" s="104">
        <f t="shared" si="45"/>
        <v>0</v>
      </c>
      <c r="AW73" s="104">
        <f t="shared" si="46"/>
        <v>0</v>
      </c>
      <c r="AX73" s="104">
        <f t="shared" si="47"/>
        <v>0</v>
      </c>
      <c r="AY73" s="104">
        <f t="shared" si="48"/>
        <v>0</v>
      </c>
      <c r="AZ73" s="104">
        <f t="shared" si="49"/>
        <v>0</v>
      </c>
      <c r="BA73" s="104">
        <f t="shared" si="50"/>
        <v>0</v>
      </c>
    </row>
    <row r="74" spans="1:53">
      <c r="A74" s="2">
        <v>65</v>
      </c>
      <c r="B74" s="277">
        <f t="shared" si="24"/>
        <v>0</v>
      </c>
      <c r="C74" s="277">
        <f t="shared" si="25"/>
        <v>0</v>
      </c>
      <c r="D74" s="277">
        <f t="shared" si="26"/>
        <v>0</v>
      </c>
      <c r="E74" s="22">
        <f t="shared" si="27"/>
        <v>0</v>
      </c>
      <c r="F74" s="160"/>
      <c r="G74" s="160"/>
      <c r="H74" s="160"/>
      <c r="I74" s="160"/>
      <c r="J74" s="75" t="str">
        <f>IFERROR(VLOOKUP(I74,'PAINT LABOR COSTS'!$B$59:$C$61,2,FALSE),"Pick Color")</f>
        <v>Pick Color</v>
      </c>
      <c r="K74" s="160"/>
      <c r="L74" s="198">
        <v>0</v>
      </c>
      <c r="M74" s="199">
        <v>0</v>
      </c>
      <c r="N74" s="198">
        <v>0</v>
      </c>
      <c r="O74" s="199">
        <v>0</v>
      </c>
      <c r="P74" s="160" t="s">
        <v>419</v>
      </c>
      <c r="Q74" s="160" t="s">
        <v>419</v>
      </c>
      <c r="R74" s="160" t="s">
        <v>419</v>
      </c>
      <c r="S74" s="160" t="s">
        <v>419</v>
      </c>
      <c r="T74" s="160" t="s">
        <v>419</v>
      </c>
      <c r="U74" s="160" t="s">
        <v>419</v>
      </c>
      <c r="V74" s="160" t="s">
        <v>419</v>
      </c>
      <c r="W74" s="160">
        <v>0</v>
      </c>
      <c r="X74" s="160" t="s">
        <v>419</v>
      </c>
      <c r="Y74" s="160">
        <v>0</v>
      </c>
      <c r="Z74" s="160" t="s">
        <v>419</v>
      </c>
      <c r="AB74" s="2">
        <f t="shared" ref="AB74:AB109" si="51">IF(G74="S",(L74+M74)*(N74+O74)*F74,IF(G74="PR",(L74+M74)*(N74+O74)*2*F74,0))</f>
        <v>0</v>
      </c>
      <c r="AC74" s="277">
        <f t="shared" ref="AC74:AC105" si="52">IF(H74="BB",0.1333*AB74*$AF$163*2,IF(H74="LOU",0,IF(H74="RP",0,0)))</f>
        <v>0</v>
      </c>
      <c r="AD74" s="277">
        <f t="shared" ref="AD74:AD105" si="53">IF(H74="BB",0,IF(H74="LOU",(((AE74/$AE$8)*0.86)/2)*$AD$8,IF(H74="RP",(((AE74/$AE$8)*0.86)/2)*$AD$8,0)))</f>
        <v>0</v>
      </c>
      <c r="AE74" s="234">
        <f t="shared" ref="AE74:AE109" si="54">IF(AND(L74&lt;&gt;"",N74&lt;&gt;""),F74*$AE$8*$AE$9,0)</f>
        <v>0</v>
      </c>
      <c r="AF74" s="104">
        <f t="shared" ref="AF74:AF105" si="55">IF(H74="",0,SUM(AC74:AE74))</f>
        <v>0</v>
      </c>
      <c r="AG74" s="279">
        <f t="shared" ref="AG74:AG109" si="56">IF(H74="BB",(AB74/$AG$163*$AG$161),IF(H74="LOU",(AB74*$AG$167),IF(H74="RP",(AB74*$AG$167),0)))</f>
        <v>0</v>
      </c>
      <c r="AH74" s="279">
        <f t="shared" ref="AH74:AH109" si="57">IF(H74="BB",(AB74*$AH$167*$AH$161),IF(H74="RP",(AB74*$AH$167*$AH$161),IF(H74="LOU",(AB74*$AH$167*$AH$161),0)))</f>
        <v>0</v>
      </c>
      <c r="AI74" s="104">
        <f t="shared" ref="AI74:AI109" si="58">IF(H74="BB",(AB74*$AI$162*$AI$7/60),IF(H74="RP",(AB74*$AI$164*$AI$7/60),IF(H74="LOU",(AB74*$AI$166*$AI$7/60),0)))</f>
        <v>0</v>
      </c>
      <c r="AJ74" s="104">
        <f t="shared" ref="AJ74:AJ109" si="59">IF(H74="BB",AB74*$AJ$162,IF(H74="RP",AB74*$AJ$164,IF(H74="LOU",AB74*$AJ$166,0)))</f>
        <v>0</v>
      </c>
      <c r="AK74" s="104">
        <f t="shared" ref="AK74:AK109" si="60">IF(H74="BB",AB74*$AK$162,IF(H74="RP",AB74*$AK$164,IF(H74="LOU",AB74*$AK$166,0)))</f>
        <v>0</v>
      </c>
      <c r="AL74" s="104">
        <f t="shared" ref="AL74:AL109" si="61">IF(OR(I74="NoPriPnt"),0,IF(H74="BB",AB74*$AL$162,IF(H74="RP",AB74*$AL$164,IF(H74="LOU",AB74*$AL$166,0))))</f>
        <v>0</v>
      </c>
      <c r="AM74" s="104">
        <f t="shared" ref="AM74:AM109" si="62">IF(OR(I74="NoPriPnt"),0,IF(H74="BB",AB74*$AM$162,IF(H74="RP",AB74*$AM$164,IF(H74="LOU",AB74*$AM$166,0))))</f>
        <v>0</v>
      </c>
      <c r="AN74" s="104">
        <f t="shared" ref="AN74:AN109" si="63">IF(OR(I74="NoPriPnt"),0,IF(H74="BB",AB74*$AN$162,IF(H74="RP",AB74*$AN$164,IF(H74="LOU",AB74*$AN$166,0))))</f>
        <v>0</v>
      </c>
      <c r="AO74" s="104">
        <f t="shared" ref="AO74:AO109" si="64">IF(OR(I74="NoPriPnt"),0,IF(H74="BB",AB74*$AO$162,IF(H74="RP",AB74*$AO$164,IF(H74="LOU",AB74*$AO$166,0))))</f>
        <v>0</v>
      </c>
      <c r="AP74" s="181">
        <f>IF(I74="BB-CFPNT",VLOOKUP(I74,'PAINT LABOR COSTS'!$B$59:$M$61,12,0)*(AB74/144),0)</f>
        <v>0</v>
      </c>
      <c r="AQ74" s="181">
        <f t="shared" ref="AQ74:AQ109" si="65">IF(I74="BB-112-3265",0,IF(I74="NoPriPnt",0,IF(H74="BB",AB74*$AN$162,IF(H74="RP",AB74*$AN$164,IF(H74="LOU",AB74*$AN$166,0)))))</f>
        <v>0</v>
      </c>
      <c r="AR74" s="104">
        <f t="shared" ref="AR74:AR109" si="66">IF(K74="DELIVERY",$AR$167*F74,IF(K74="PICKUP",$AR$163*F74,IF(K74="SHIP/CR",$AR$165*F74,IF(K74="LCR",$AR$171*F74,IF(K74="INSTALL",$AR$169*F74,0)))))</f>
        <v>0</v>
      </c>
      <c r="AS74" s="104">
        <f t="shared" ref="AS74:AS109" si="67">IF(AND(L74&gt;30,L74&lt;97),$AS$8,0)*F74</f>
        <v>0</v>
      </c>
      <c r="AT74" s="181" cm="1">
        <f t="array" ref="AT74">IF(P74="NO",0,IF(AND(N74&lt;49,$A$4="RETAIL"),'Comp Hardware'!$L$6,IF(AND(N74&gt;48,N74&lt;96,$A$4="RETAIL"),'Comp Hardware'!$L$7,IF(AND(N74&gt;=96,$A$4="RETAIL"),'Comp Hardware'!$L$8,IF(AND(N74&lt;49,$A$4="BLDR"),'Comp Hardware'!$M$6,IF(AND(N74&gt;48,N74&lt;96,$A$4="BLDR"),'Comp Hardware'!$M$7,IF(AND(N74&gt;=96,$A$4="BLDR"),'Comp Hardware'!$M$8,IF(AND(N74&lt;49,$A$4="WHOLE"),'Comp Hardware'!$N$6,IF(AND(N74&gt;48,N74&lt;96,$A$4="WHOLE"),'Comp Hardware'!$N$7,IF(AND(N74&gt;=96,$A$4="WHOLE"),'Comp Hardware'!$N$8,IF(AND(N74&lt;49,$A$4="LCR"),'Comp Hardware'!$N$6,IF(AND(N74&gt;48,N74&lt;96,$A$4="LCR"),'Comp Hardware'!$N$7,IF(AND(N74&gt;=96,$A$4="LCR"),'Comp Hardware'!$N$8,_xludf.na)))))))))))))*F74</f>
        <v>0</v>
      </c>
      <c r="AU74" s="181" cm="1">
        <f t="array" ref="AU74">IF(Q74="NO",0,IF(AND(N74&lt;49,$A$4="RETAIL"),'Comp Hardware'!$G$171,IF(AND(N74&gt;48,N74&lt;96,$A$4="RETAIL"),'Comp Hardware'!$G$171*1.5,IF(AND(N74&gt;=96,$A$4="RETAIL"),'Comp Hardware'!$G$171*2,IF(AND(N74&lt;49,$A$4="BLDR"),'Comp Hardware'!$H$171,IF(AND(N74&gt;48,N74&lt;96,$A$4="BLDR"),'Comp Hardware'!$H$171*1.5,IF(AND(N74&gt;=96,$A$4="BLDR"),'Comp Hardware'!$H$171*2,IF(AND(N74&lt;49,$A$4="WHOLE"),'Comp Hardware'!$I$171,IF(AND(N74&gt;48,N74&lt;96,$A$4="WHOLE"),'Comp Hardware'!$I$171*1.5,IF(AND(N74&gt;=96,$A$4="WHOLE"),'Comp Hardware'!$I$171*2,IF(AND(N74&lt;49,$A$4="LCR"),'Comp Hardware'!$I$171,IF(AND(N74&gt;48,N74&lt;96,$A$4="LCR"),'Comp Hardware'!$I$171*1.5,IF(AND(N74&gt;=96,$A$4="LCR"),'Comp Hardware'!$I$171*2,_xludf.na)))))))))))))*F74</f>
        <v>0</v>
      </c>
      <c r="AV74" s="104">
        <f t="shared" ref="AV74:AV109" si="68">IF(R74="NO",0,IF(AND(G74="S",R74="YES"),$AV$8/2,IF(AND(G74="PR",R74="YES"),$AV$8,0)))*F74</f>
        <v>0</v>
      </c>
      <c r="AW74" s="104">
        <f t="shared" ref="AW74:AW109" si="69">IF(S74="NO",0,IF(AND(G74="S",S74="YES"),$AW$8/2*F74,$AW$8*F74))</f>
        <v>0</v>
      </c>
      <c r="AX74" s="104">
        <f t="shared" ref="AX74:AX109" si="70">IF(W74="+1",$AX$8, IF(W74="+2",$AX$8*2,IF(W74="+3",$AX$8*3,0)))*F74</f>
        <v>0</v>
      </c>
      <c r="AY74" s="104">
        <f t="shared" ref="AY74:AY109" si="71">IF(X74="NO",0,IF(AND(X74="YES",G74="PR"),$AY$8, IF(AND(X74="YES",G74="S"),$AY$8/2,0)))*F74</f>
        <v>0</v>
      </c>
      <c r="AZ74" s="104">
        <f t="shared" ref="AZ74:AZ109" si="72">IF(Y74="+1",$AZ$8, IF(Y74="+2",$AZ$8*2,IF(Y74="+3",$AZ$8*3,0)))*F74</f>
        <v>0</v>
      </c>
      <c r="BA74" s="104">
        <f t="shared" ref="BA74:BA109" si="73">IF(Z74="NO",0,IF(AND(G74="S",Z74="YES"),$AV$8/2,IF(AND(G74="PR",Z74="YES"),$AV$8,0)))*F74</f>
        <v>0</v>
      </c>
    </row>
    <row r="75" spans="1:53">
      <c r="A75" s="2">
        <v>66</v>
      </c>
      <c r="B75" s="277">
        <f t="shared" ref="B75:B109" si="74">E75*$B$6</f>
        <v>0</v>
      </c>
      <c r="C75" s="277">
        <f t="shared" ref="C75:C109" si="75">E75*$C$6</f>
        <v>0</v>
      </c>
      <c r="D75" s="277">
        <f t="shared" ref="D75:D109" si="76">E75*$D$6</f>
        <v>0</v>
      </c>
      <c r="E75" s="22">
        <f t="shared" ref="E75:E109" si="77">IF(V75="NO",SUM(AF75:BB75),SUM(AF75:BB75)*2)</f>
        <v>0</v>
      </c>
      <c r="F75" s="160"/>
      <c r="G75" s="160"/>
      <c r="H75" s="160"/>
      <c r="I75" s="160"/>
      <c r="J75" s="75" t="str">
        <f>IFERROR(VLOOKUP(I75,'PAINT LABOR COSTS'!$B$59:$C$61,2,FALSE),"Pick Color")</f>
        <v>Pick Color</v>
      </c>
      <c r="K75" s="160"/>
      <c r="L75" s="198">
        <v>0</v>
      </c>
      <c r="M75" s="199">
        <v>0</v>
      </c>
      <c r="N75" s="198">
        <v>0</v>
      </c>
      <c r="O75" s="199">
        <v>0</v>
      </c>
      <c r="P75" s="160" t="s">
        <v>419</v>
      </c>
      <c r="Q75" s="160" t="s">
        <v>419</v>
      </c>
      <c r="R75" s="160" t="s">
        <v>419</v>
      </c>
      <c r="S75" s="160" t="s">
        <v>419</v>
      </c>
      <c r="T75" s="160" t="s">
        <v>419</v>
      </c>
      <c r="U75" s="160" t="s">
        <v>419</v>
      </c>
      <c r="V75" s="160" t="s">
        <v>419</v>
      </c>
      <c r="W75" s="160">
        <v>0</v>
      </c>
      <c r="X75" s="160" t="s">
        <v>419</v>
      </c>
      <c r="Y75" s="160">
        <v>0</v>
      </c>
      <c r="Z75" s="160" t="s">
        <v>419</v>
      </c>
      <c r="AB75" s="2">
        <f t="shared" si="51"/>
        <v>0</v>
      </c>
      <c r="AC75" s="277">
        <f t="shared" si="52"/>
        <v>0</v>
      </c>
      <c r="AD75" s="277">
        <f t="shared" si="53"/>
        <v>0</v>
      </c>
      <c r="AE75" s="234">
        <f t="shared" si="54"/>
        <v>0</v>
      </c>
      <c r="AF75" s="104">
        <f t="shared" si="55"/>
        <v>0</v>
      </c>
      <c r="AG75" s="279">
        <f t="shared" si="56"/>
        <v>0</v>
      </c>
      <c r="AH75" s="279">
        <f t="shared" si="57"/>
        <v>0</v>
      </c>
      <c r="AI75" s="104">
        <f t="shared" si="58"/>
        <v>0</v>
      </c>
      <c r="AJ75" s="104">
        <f t="shared" si="59"/>
        <v>0</v>
      </c>
      <c r="AK75" s="104">
        <f t="shared" si="60"/>
        <v>0</v>
      </c>
      <c r="AL75" s="104">
        <f t="shared" si="61"/>
        <v>0</v>
      </c>
      <c r="AM75" s="104">
        <f t="shared" si="62"/>
        <v>0</v>
      </c>
      <c r="AN75" s="104">
        <f t="shared" si="63"/>
        <v>0</v>
      </c>
      <c r="AO75" s="104">
        <f t="shared" si="64"/>
        <v>0</v>
      </c>
      <c r="AP75" s="181">
        <f>IF(I75="BB-CFPNT",VLOOKUP(I75,'PAINT LABOR COSTS'!$B$59:$M$61,12,0)*(AB75/144),0)</f>
        <v>0</v>
      </c>
      <c r="AQ75" s="181">
        <f t="shared" si="65"/>
        <v>0</v>
      </c>
      <c r="AR75" s="104">
        <f t="shared" si="66"/>
        <v>0</v>
      </c>
      <c r="AS75" s="104">
        <f t="shared" si="67"/>
        <v>0</v>
      </c>
      <c r="AT75" s="181" cm="1">
        <f t="array" ref="AT75">IF(P75="NO",0,IF(AND(N75&lt;49,$A$4="RETAIL"),'Comp Hardware'!$L$6,IF(AND(N75&gt;48,N75&lt;96,$A$4="RETAIL"),'Comp Hardware'!$L$7,IF(AND(N75&gt;=96,$A$4="RETAIL"),'Comp Hardware'!$L$8,IF(AND(N75&lt;49,$A$4="BLDR"),'Comp Hardware'!$M$6,IF(AND(N75&gt;48,N75&lt;96,$A$4="BLDR"),'Comp Hardware'!$M$7,IF(AND(N75&gt;=96,$A$4="BLDR"),'Comp Hardware'!$M$8,IF(AND(N75&lt;49,$A$4="WHOLE"),'Comp Hardware'!$N$6,IF(AND(N75&gt;48,N75&lt;96,$A$4="WHOLE"),'Comp Hardware'!$N$7,IF(AND(N75&gt;=96,$A$4="WHOLE"),'Comp Hardware'!$N$8,IF(AND(N75&lt;49,$A$4="LCR"),'Comp Hardware'!$N$6,IF(AND(N75&gt;48,N75&lt;96,$A$4="LCR"),'Comp Hardware'!$N$7,IF(AND(N75&gt;=96,$A$4="LCR"),'Comp Hardware'!$N$8,_xludf.na)))))))))))))*F75</f>
        <v>0</v>
      </c>
      <c r="AU75" s="181" cm="1">
        <f t="array" ref="AU75">IF(Q75="NO",0,IF(AND(N75&lt;49,$A$4="RETAIL"),'Comp Hardware'!$G$171,IF(AND(N75&gt;48,N75&lt;96,$A$4="RETAIL"),'Comp Hardware'!$G$171*1.5,IF(AND(N75&gt;=96,$A$4="RETAIL"),'Comp Hardware'!$G$171*2,IF(AND(N75&lt;49,$A$4="BLDR"),'Comp Hardware'!$H$171,IF(AND(N75&gt;48,N75&lt;96,$A$4="BLDR"),'Comp Hardware'!$H$171*1.5,IF(AND(N75&gt;=96,$A$4="BLDR"),'Comp Hardware'!$H$171*2,IF(AND(N75&lt;49,$A$4="WHOLE"),'Comp Hardware'!$I$171,IF(AND(N75&gt;48,N75&lt;96,$A$4="WHOLE"),'Comp Hardware'!$I$171*1.5,IF(AND(N75&gt;=96,$A$4="WHOLE"),'Comp Hardware'!$I$171*2,IF(AND(N75&lt;49,$A$4="LCR"),'Comp Hardware'!$I$171,IF(AND(N75&gt;48,N75&lt;96,$A$4="LCR"),'Comp Hardware'!$I$171*1.5,IF(AND(N75&gt;=96,$A$4="LCR"),'Comp Hardware'!$I$171*2,_xludf.na)))))))))))))*F75</f>
        <v>0</v>
      </c>
      <c r="AV75" s="104">
        <f t="shared" si="68"/>
        <v>0</v>
      </c>
      <c r="AW75" s="104">
        <f t="shared" si="69"/>
        <v>0</v>
      </c>
      <c r="AX75" s="104">
        <f t="shared" si="70"/>
        <v>0</v>
      </c>
      <c r="AY75" s="104">
        <f t="shared" si="71"/>
        <v>0</v>
      </c>
      <c r="AZ75" s="104">
        <f t="shared" si="72"/>
        <v>0</v>
      </c>
      <c r="BA75" s="104">
        <f t="shared" si="73"/>
        <v>0</v>
      </c>
    </row>
    <row r="76" spans="1:53">
      <c r="A76" s="2">
        <v>67</v>
      </c>
      <c r="B76" s="277">
        <f t="shared" si="74"/>
        <v>0</v>
      </c>
      <c r="C76" s="277">
        <f t="shared" si="75"/>
        <v>0</v>
      </c>
      <c r="D76" s="277">
        <f t="shared" si="76"/>
        <v>0</v>
      </c>
      <c r="E76" s="22">
        <f t="shared" si="77"/>
        <v>0</v>
      </c>
      <c r="F76" s="160"/>
      <c r="G76" s="160"/>
      <c r="H76" s="160"/>
      <c r="I76" s="160"/>
      <c r="J76" s="75" t="str">
        <f>IFERROR(VLOOKUP(I76,'PAINT LABOR COSTS'!$B$59:$C$61,2,FALSE),"Pick Color")</f>
        <v>Pick Color</v>
      </c>
      <c r="K76" s="160"/>
      <c r="L76" s="198">
        <v>0</v>
      </c>
      <c r="M76" s="199">
        <v>0</v>
      </c>
      <c r="N76" s="198">
        <v>0</v>
      </c>
      <c r="O76" s="199">
        <v>0</v>
      </c>
      <c r="P76" s="160" t="s">
        <v>419</v>
      </c>
      <c r="Q76" s="160" t="s">
        <v>419</v>
      </c>
      <c r="R76" s="160" t="s">
        <v>419</v>
      </c>
      <c r="S76" s="160" t="s">
        <v>419</v>
      </c>
      <c r="T76" s="160" t="s">
        <v>419</v>
      </c>
      <c r="U76" s="160" t="s">
        <v>419</v>
      </c>
      <c r="V76" s="160" t="s">
        <v>419</v>
      </c>
      <c r="W76" s="160">
        <v>0</v>
      </c>
      <c r="X76" s="160" t="s">
        <v>419</v>
      </c>
      <c r="Y76" s="160">
        <v>0</v>
      </c>
      <c r="Z76" s="160" t="s">
        <v>419</v>
      </c>
      <c r="AB76" s="2">
        <f t="shared" si="51"/>
        <v>0</v>
      </c>
      <c r="AC76" s="277">
        <f t="shared" si="52"/>
        <v>0</v>
      </c>
      <c r="AD76" s="277">
        <f t="shared" si="53"/>
        <v>0</v>
      </c>
      <c r="AE76" s="234">
        <f t="shared" si="54"/>
        <v>0</v>
      </c>
      <c r="AF76" s="104">
        <f t="shared" si="55"/>
        <v>0</v>
      </c>
      <c r="AG76" s="279">
        <f t="shared" si="56"/>
        <v>0</v>
      </c>
      <c r="AH76" s="279">
        <f t="shared" si="57"/>
        <v>0</v>
      </c>
      <c r="AI76" s="104">
        <f t="shared" si="58"/>
        <v>0</v>
      </c>
      <c r="AJ76" s="104">
        <f t="shared" si="59"/>
        <v>0</v>
      </c>
      <c r="AK76" s="104">
        <f t="shared" si="60"/>
        <v>0</v>
      </c>
      <c r="AL76" s="104">
        <f t="shared" si="61"/>
        <v>0</v>
      </c>
      <c r="AM76" s="104">
        <f t="shared" si="62"/>
        <v>0</v>
      </c>
      <c r="AN76" s="104">
        <f t="shared" si="63"/>
        <v>0</v>
      </c>
      <c r="AO76" s="104">
        <f t="shared" si="64"/>
        <v>0</v>
      </c>
      <c r="AP76" s="181">
        <f>IF(I76="BB-CFPNT",VLOOKUP(I76,'PAINT LABOR COSTS'!$B$59:$M$61,12,0)*(AB76/144),0)</f>
        <v>0</v>
      </c>
      <c r="AQ76" s="181">
        <f t="shared" si="65"/>
        <v>0</v>
      </c>
      <c r="AR76" s="104">
        <f t="shared" si="66"/>
        <v>0</v>
      </c>
      <c r="AS76" s="104">
        <f t="shared" si="67"/>
        <v>0</v>
      </c>
      <c r="AT76" s="181" cm="1">
        <f t="array" ref="AT76">IF(P76="NO",0,IF(AND(N76&lt;49,$A$4="RETAIL"),'Comp Hardware'!$L$6,IF(AND(N76&gt;48,N76&lt;96,$A$4="RETAIL"),'Comp Hardware'!$L$7,IF(AND(N76&gt;=96,$A$4="RETAIL"),'Comp Hardware'!$L$8,IF(AND(N76&lt;49,$A$4="BLDR"),'Comp Hardware'!$M$6,IF(AND(N76&gt;48,N76&lt;96,$A$4="BLDR"),'Comp Hardware'!$M$7,IF(AND(N76&gt;=96,$A$4="BLDR"),'Comp Hardware'!$M$8,IF(AND(N76&lt;49,$A$4="WHOLE"),'Comp Hardware'!$N$6,IF(AND(N76&gt;48,N76&lt;96,$A$4="WHOLE"),'Comp Hardware'!$N$7,IF(AND(N76&gt;=96,$A$4="WHOLE"),'Comp Hardware'!$N$8,IF(AND(N76&lt;49,$A$4="LCR"),'Comp Hardware'!$N$6,IF(AND(N76&gt;48,N76&lt;96,$A$4="LCR"),'Comp Hardware'!$N$7,IF(AND(N76&gt;=96,$A$4="LCR"),'Comp Hardware'!$N$8,_xludf.na)))))))))))))*F76</f>
        <v>0</v>
      </c>
      <c r="AU76" s="181" cm="1">
        <f t="array" ref="AU76">IF(Q76="NO",0,IF(AND(N76&lt;49,$A$4="RETAIL"),'Comp Hardware'!$G$171,IF(AND(N76&gt;48,N76&lt;96,$A$4="RETAIL"),'Comp Hardware'!$G$171*1.5,IF(AND(N76&gt;=96,$A$4="RETAIL"),'Comp Hardware'!$G$171*2,IF(AND(N76&lt;49,$A$4="BLDR"),'Comp Hardware'!$H$171,IF(AND(N76&gt;48,N76&lt;96,$A$4="BLDR"),'Comp Hardware'!$H$171*1.5,IF(AND(N76&gt;=96,$A$4="BLDR"),'Comp Hardware'!$H$171*2,IF(AND(N76&lt;49,$A$4="WHOLE"),'Comp Hardware'!$I$171,IF(AND(N76&gt;48,N76&lt;96,$A$4="WHOLE"),'Comp Hardware'!$I$171*1.5,IF(AND(N76&gt;=96,$A$4="WHOLE"),'Comp Hardware'!$I$171*2,IF(AND(N76&lt;49,$A$4="LCR"),'Comp Hardware'!$I$171,IF(AND(N76&gt;48,N76&lt;96,$A$4="LCR"),'Comp Hardware'!$I$171*1.5,IF(AND(N76&gt;=96,$A$4="LCR"),'Comp Hardware'!$I$171*2,_xludf.na)))))))))))))*F76</f>
        <v>0</v>
      </c>
      <c r="AV76" s="104">
        <f t="shared" si="68"/>
        <v>0</v>
      </c>
      <c r="AW76" s="104">
        <f t="shared" si="69"/>
        <v>0</v>
      </c>
      <c r="AX76" s="104">
        <f t="shared" si="70"/>
        <v>0</v>
      </c>
      <c r="AY76" s="104">
        <f t="shared" si="71"/>
        <v>0</v>
      </c>
      <c r="AZ76" s="104">
        <f t="shared" si="72"/>
        <v>0</v>
      </c>
      <c r="BA76" s="104">
        <f t="shared" si="73"/>
        <v>0</v>
      </c>
    </row>
    <row r="77" spans="1:53">
      <c r="A77" s="2">
        <v>68</v>
      </c>
      <c r="B77" s="277">
        <f t="shared" si="74"/>
        <v>0</v>
      </c>
      <c r="C77" s="277">
        <f t="shared" si="75"/>
        <v>0</v>
      </c>
      <c r="D77" s="277">
        <f t="shared" si="76"/>
        <v>0</v>
      </c>
      <c r="E77" s="22">
        <f t="shared" si="77"/>
        <v>0</v>
      </c>
      <c r="F77" s="160"/>
      <c r="G77" s="160"/>
      <c r="H77" s="160"/>
      <c r="I77" s="160"/>
      <c r="J77" s="75" t="str">
        <f>IFERROR(VLOOKUP(I77,'PAINT LABOR COSTS'!$B$59:$C$61,2,FALSE),"Pick Color")</f>
        <v>Pick Color</v>
      </c>
      <c r="K77" s="160"/>
      <c r="L77" s="198">
        <v>0</v>
      </c>
      <c r="M77" s="199">
        <v>0</v>
      </c>
      <c r="N77" s="198">
        <v>0</v>
      </c>
      <c r="O77" s="199">
        <v>0</v>
      </c>
      <c r="P77" s="160" t="s">
        <v>419</v>
      </c>
      <c r="Q77" s="160" t="s">
        <v>419</v>
      </c>
      <c r="R77" s="160" t="s">
        <v>419</v>
      </c>
      <c r="S77" s="160" t="s">
        <v>419</v>
      </c>
      <c r="T77" s="160" t="s">
        <v>419</v>
      </c>
      <c r="U77" s="160" t="s">
        <v>419</v>
      </c>
      <c r="V77" s="160" t="s">
        <v>419</v>
      </c>
      <c r="W77" s="160">
        <v>0</v>
      </c>
      <c r="X77" s="160" t="s">
        <v>419</v>
      </c>
      <c r="Y77" s="160">
        <v>0</v>
      </c>
      <c r="Z77" s="160" t="s">
        <v>419</v>
      </c>
      <c r="AB77" s="2">
        <f t="shared" si="51"/>
        <v>0</v>
      </c>
      <c r="AC77" s="277">
        <f t="shared" si="52"/>
        <v>0</v>
      </c>
      <c r="AD77" s="277">
        <f t="shared" si="53"/>
        <v>0</v>
      </c>
      <c r="AE77" s="234">
        <f t="shared" si="54"/>
        <v>0</v>
      </c>
      <c r="AF77" s="104">
        <f t="shared" si="55"/>
        <v>0</v>
      </c>
      <c r="AG77" s="279">
        <f t="shared" si="56"/>
        <v>0</v>
      </c>
      <c r="AH77" s="279">
        <f t="shared" si="57"/>
        <v>0</v>
      </c>
      <c r="AI77" s="104">
        <f t="shared" si="58"/>
        <v>0</v>
      </c>
      <c r="AJ77" s="104">
        <f t="shared" si="59"/>
        <v>0</v>
      </c>
      <c r="AK77" s="104">
        <f t="shared" si="60"/>
        <v>0</v>
      </c>
      <c r="AL77" s="104">
        <f t="shared" si="61"/>
        <v>0</v>
      </c>
      <c r="AM77" s="104">
        <f t="shared" si="62"/>
        <v>0</v>
      </c>
      <c r="AN77" s="104">
        <f t="shared" si="63"/>
        <v>0</v>
      </c>
      <c r="AO77" s="104">
        <f t="shared" si="64"/>
        <v>0</v>
      </c>
      <c r="AP77" s="181">
        <f>IF(I77="BB-CFPNT",VLOOKUP(I77,'PAINT LABOR COSTS'!$B$59:$M$61,12,0)*(AB77/144),0)</f>
        <v>0</v>
      </c>
      <c r="AQ77" s="181">
        <f t="shared" si="65"/>
        <v>0</v>
      </c>
      <c r="AR77" s="104">
        <f t="shared" si="66"/>
        <v>0</v>
      </c>
      <c r="AS77" s="104">
        <f t="shared" si="67"/>
        <v>0</v>
      </c>
      <c r="AT77" s="181" cm="1">
        <f t="array" ref="AT77">IF(P77="NO",0,IF(AND(N77&lt;49,$A$4="RETAIL"),'Comp Hardware'!$L$6,IF(AND(N77&gt;48,N77&lt;96,$A$4="RETAIL"),'Comp Hardware'!$L$7,IF(AND(N77&gt;=96,$A$4="RETAIL"),'Comp Hardware'!$L$8,IF(AND(N77&lt;49,$A$4="BLDR"),'Comp Hardware'!$M$6,IF(AND(N77&gt;48,N77&lt;96,$A$4="BLDR"),'Comp Hardware'!$M$7,IF(AND(N77&gt;=96,$A$4="BLDR"),'Comp Hardware'!$M$8,IF(AND(N77&lt;49,$A$4="WHOLE"),'Comp Hardware'!$N$6,IF(AND(N77&gt;48,N77&lt;96,$A$4="WHOLE"),'Comp Hardware'!$N$7,IF(AND(N77&gt;=96,$A$4="WHOLE"),'Comp Hardware'!$N$8,IF(AND(N77&lt;49,$A$4="LCR"),'Comp Hardware'!$N$6,IF(AND(N77&gt;48,N77&lt;96,$A$4="LCR"),'Comp Hardware'!$N$7,IF(AND(N77&gt;=96,$A$4="LCR"),'Comp Hardware'!$N$8,_xludf.na)))))))))))))*F77</f>
        <v>0</v>
      </c>
      <c r="AU77" s="181" cm="1">
        <f t="array" ref="AU77">IF(Q77="NO",0,IF(AND(N77&lt;49,$A$4="RETAIL"),'Comp Hardware'!$G$171,IF(AND(N77&gt;48,N77&lt;96,$A$4="RETAIL"),'Comp Hardware'!$G$171*1.5,IF(AND(N77&gt;=96,$A$4="RETAIL"),'Comp Hardware'!$G$171*2,IF(AND(N77&lt;49,$A$4="BLDR"),'Comp Hardware'!$H$171,IF(AND(N77&gt;48,N77&lt;96,$A$4="BLDR"),'Comp Hardware'!$H$171*1.5,IF(AND(N77&gt;=96,$A$4="BLDR"),'Comp Hardware'!$H$171*2,IF(AND(N77&lt;49,$A$4="WHOLE"),'Comp Hardware'!$I$171,IF(AND(N77&gt;48,N77&lt;96,$A$4="WHOLE"),'Comp Hardware'!$I$171*1.5,IF(AND(N77&gt;=96,$A$4="WHOLE"),'Comp Hardware'!$I$171*2,IF(AND(N77&lt;49,$A$4="LCR"),'Comp Hardware'!$I$171,IF(AND(N77&gt;48,N77&lt;96,$A$4="LCR"),'Comp Hardware'!$I$171*1.5,IF(AND(N77&gt;=96,$A$4="LCR"),'Comp Hardware'!$I$171*2,_xludf.na)))))))))))))*F77</f>
        <v>0</v>
      </c>
      <c r="AV77" s="104">
        <f t="shared" si="68"/>
        <v>0</v>
      </c>
      <c r="AW77" s="104">
        <f t="shared" si="69"/>
        <v>0</v>
      </c>
      <c r="AX77" s="104">
        <f t="shared" si="70"/>
        <v>0</v>
      </c>
      <c r="AY77" s="104">
        <f t="shared" si="71"/>
        <v>0</v>
      </c>
      <c r="AZ77" s="104">
        <f t="shared" si="72"/>
        <v>0</v>
      </c>
      <c r="BA77" s="104">
        <f t="shared" si="73"/>
        <v>0</v>
      </c>
    </row>
    <row r="78" spans="1:53">
      <c r="A78" s="2">
        <v>69</v>
      </c>
      <c r="B78" s="277">
        <f t="shared" si="74"/>
        <v>0</v>
      </c>
      <c r="C78" s="277">
        <f t="shared" si="75"/>
        <v>0</v>
      </c>
      <c r="D78" s="277">
        <f t="shared" si="76"/>
        <v>0</v>
      </c>
      <c r="E78" s="22">
        <f t="shared" si="77"/>
        <v>0</v>
      </c>
      <c r="F78" s="160"/>
      <c r="G78" s="160"/>
      <c r="H78" s="160"/>
      <c r="I78" s="160"/>
      <c r="J78" s="75" t="str">
        <f>IFERROR(VLOOKUP(I78,'PAINT LABOR COSTS'!$B$59:$C$61,2,FALSE),"Pick Color")</f>
        <v>Pick Color</v>
      </c>
      <c r="K78" s="160"/>
      <c r="L78" s="198">
        <v>0</v>
      </c>
      <c r="M78" s="199">
        <v>0</v>
      </c>
      <c r="N78" s="198">
        <v>0</v>
      </c>
      <c r="O78" s="199">
        <v>0</v>
      </c>
      <c r="P78" s="160" t="s">
        <v>419</v>
      </c>
      <c r="Q78" s="160" t="s">
        <v>419</v>
      </c>
      <c r="R78" s="160" t="s">
        <v>419</v>
      </c>
      <c r="S78" s="160" t="s">
        <v>419</v>
      </c>
      <c r="T78" s="160" t="s">
        <v>419</v>
      </c>
      <c r="U78" s="160" t="s">
        <v>419</v>
      </c>
      <c r="V78" s="160" t="s">
        <v>419</v>
      </c>
      <c r="W78" s="160">
        <v>0</v>
      </c>
      <c r="X78" s="160" t="s">
        <v>419</v>
      </c>
      <c r="Y78" s="160">
        <v>0</v>
      </c>
      <c r="Z78" s="160" t="s">
        <v>419</v>
      </c>
      <c r="AB78" s="2">
        <f t="shared" si="51"/>
        <v>0</v>
      </c>
      <c r="AC78" s="277">
        <f t="shared" si="52"/>
        <v>0</v>
      </c>
      <c r="AD78" s="277">
        <f t="shared" si="53"/>
        <v>0</v>
      </c>
      <c r="AE78" s="234">
        <f t="shared" si="54"/>
        <v>0</v>
      </c>
      <c r="AF78" s="104">
        <f t="shared" si="55"/>
        <v>0</v>
      </c>
      <c r="AG78" s="279">
        <f t="shared" si="56"/>
        <v>0</v>
      </c>
      <c r="AH78" s="279">
        <f t="shared" si="57"/>
        <v>0</v>
      </c>
      <c r="AI78" s="104">
        <f t="shared" si="58"/>
        <v>0</v>
      </c>
      <c r="AJ78" s="104">
        <f t="shared" si="59"/>
        <v>0</v>
      </c>
      <c r="AK78" s="104">
        <f t="shared" si="60"/>
        <v>0</v>
      </c>
      <c r="AL78" s="104">
        <f t="shared" si="61"/>
        <v>0</v>
      </c>
      <c r="AM78" s="104">
        <f t="shared" si="62"/>
        <v>0</v>
      </c>
      <c r="AN78" s="104">
        <f t="shared" si="63"/>
        <v>0</v>
      </c>
      <c r="AO78" s="104">
        <f t="shared" si="64"/>
        <v>0</v>
      </c>
      <c r="AP78" s="181">
        <f>IF(I78="BB-CFPNT",VLOOKUP(I78,'PAINT LABOR COSTS'!$B$59:$M$61,12,0)*(AB78/144),0)</f>
        <v>0</v>
      </c>
      <c r="AQ78" s="181">
        <f t="shared" si="65"/>
        <v>0</v>
      </c>
      <c r="AR78" s="104">
        <f t="shared" si="66"/>
        <v>0</v>
      </c>
      <c r="AS78" s="104">
        <f t="shared" si="67"/>
        <v>0</v>
      </c>
      <c r="AT78" s="181" cm="1">
        <f t="array" ref="AT78">IF(P78="NO",0,IF(AND(N78&lt;49,$A$4="RETAIL"),'Comp Hardware'!$L$6,IF(AND(N78&gt;48,N78&lt;96,$A$4="RETAIL"),'Comp Hardware'!$L$7,IF(AND(N78&gt;=96,$A$4="RETAIL"),'Comp Hardware'!$L$8,IF(AND(N78&lt;49,$A$4="BLDR"),'Comp Hardware'!$M$6,IF(AND(N78&gt;48,N78&lt;96,$A$4="BLDR"),'Comp Hardware'!$M$7,IF(AND(N78&gt;=96,$A$4="BLDR"),'Comp Hardware'!$M$8,IF(AND(N78&lt;49,$A$4="WHOLE"),'Comp Hardware'!$N$6,IF(AND(N78&gt;48,N78&lt;96,$A$4="WHOLE"),'Comp Hardware'!$N$7,IF(AND(N78&gt;=96,$A$4="WHOLE"),'Comp Hardware'!$N$8,IF(AND(N78&lt;49,$A$4="LCR"),'Comp Hardware'!$N$6,IF(AND(N78&gt;48,N78&lt;96,$A$4="LCR"),'Comp Hardware'!$N$7,IF(AND(N78&gt;=96,$A$4="LCR"),'Comp Hardware'!$N$8,_xludf.na)))))))))))))*F78</f>
        <v>0</v>
      </c>
      <c r="AU78" s="181" cm="1">
        <f t="array" ref="AU78">IF(Q78="NO",0,IF(AND(N78&lt;49,$A$4="RETAIL"),'Comp Hardware'!$G$171,IF(AND(N78&gt;48,N78&lt;96,$A$4="RETAIL"),'Comp Hardware'!$G$171*1.5,IF(AND(N78&gt;=96,$A$4="RETAIL"),'Comp Hardware'!$G$171*2,IF(AND(N78&lt;49,$A$4="BLDR"),'Comp Hardware'!$H$171,IF(AND(N78&gt;48,N78&lt;96,$A$4="BLDR"),'Comp Hardware'!$H$171*1.5,IF(AND(N78&gt;=96,$A$4="BLDR"),'Comp Hardware'!$H$171*2,IF(AND(N78&lt;49,$A$4="WHOLE"),'Comp Hardware'!$I$171,IF(AND(N78&gt;48,N78&lt;96,$A$4="WHOLE"),'Comp Hardware'!$I$171*1.5,IF(AND(N78&gt;=96,$A$4="WHOLE"),'Comp Hardware'!$I$171*2,IF(AND(N78&lt;49,$A$4="LCR"),'Comp Hardware'!$I$171,IF(AND(N78&gt;48,N78&lt;96,$A$4="LCR"),'Comp Hardware'!$I$171*1.5,IF(AND(N78&gt;=96,$A$4="LCR"),'Comp Hardware'!$I$171*2,_xludf.na)))))))))))))*F78</f>
        <v>0</v>
      </c>
      <c r="AV78" s="104">
        <f t="shared" si="68"/>
        <v>0</v>
      </c>
      <c r="AW78" s="104">
        <f t="shared" si="69"/>
        <v>0</v>
      </c>
      <c r="AX78" s="104">
        <f t="shared" si="70"/>
        <v>0</v>
      </c>
      <c r="AY78" s="104">
        <f t="shared" si="71"/>
        <v>0</v>
      </c>
      <c r="AZ78" s="104">
        <f t="shared" si="72"/>
        <v>0</v>
      </c>
      <c r="BA78" s="104">
        <f t="shared" si="73"/>
        <v>0</v>
      </c>
    </row>
    <row r="79" spans="1:53">
      <c r="A79" s="2">
        <v>70</v>
      </c>
      <c r="B79" s="277">
        <f t="shared" si="74"/>
        <v>0</v>
      </c>
      <c r="C79" s="277">
        <f t="shared" si="75"/>
        <v>0</v>
      </c>
      <c r="D79" s="277">
        <f t="shared" si="76"/>
        <v>0</v>
      </c>
      <c r="E79" s="22">
        <f t="shared" si="77"/>
        <v>0</v>
      </c>
      <c r="F79" s="160"/>
      <c r="G79" s="160"/>
      <c r="H79" s="160"/>
      <c r="I79" s="160"/>
      <c r="J79" s="75" t="str">
        <f>IFERROR(VLOOKUP(I79,'PAINT LABOR COSTS'!$B$59:$C$61,2,FALSE),"Pick Color")</f>
        <v>Pick Color</v>
      </c>
      <c r="K79" s="160"/>
      <c r="L79" s="198">
        <v>0</v>
      </c>
      <c r="M79" s="199">
        <v>0</v>
      </c>
      <c r="N79" s="198">
        <v>0</v>
      </c>
      <c r="O79" s="199">
        <v>0</v>
      </c>
      <c r="P79" s="160" t="s">
        <v>419</v>
      </c>
      <c r="Q79" s="160" t="s">
        <v>419</v>
      </c>
      <c r="R79" s="160" t="s">
        <v>419</v>
      </c>
      <c r="S79" s="160" t="s">
        <v>419</v>
      </c>
      <c r="T79" s="160" t="s">
        <v>419</v>
      </c>
      <c r="U79" s="160" t="s">
        <v>419</v>
      </c>
      <c r="V79" s="160" t="s">
        <v>419</v>
      </c>
      <c r="W79" s="160">
        <v>0</v>
      </c>
      <c r="X79" s="160" t="s">
        <v>419</v>
      </c>
      <c r="Y79" s="160">
        <v>0</v>
      </c>
      <c r="Z79" s="160" t="s">
        <v>419</v>
      </c>
      <c r="AB79" s="2">
        <f t="shared" si="51"/>
        <v>0</v>
      </c>
      <c r="AC79" s="277">
        <f t="shared" si="52"/>
        <v>0</v>
      </c>
      <c r="AD79" s="277">
        <f t="shared" si="53"/>
        <v>0</v>
      </c>
      <c r="AE79" s="234">
        <f t="shared" si="54"/>
        <v>0</v>
      </c>
      <c r="AF79" s="104">
        <f t="shared" si="55"/>
        <v>0</v>
      </c>
      <c r="AG79" s="279">
        <f t="shared" si="56"/>
        <v>0</v>
      </c>
      <c r="AH79" s="279">
        <f t="shared" si="57"/>
        <v>0</v>
      </c>
      <c r="AI79" s="104">
        <f t="shared" si="58"/>
        <v>0</v>
      </c>
      <c r="AJ79" s="104">
        <f t="shared" si="59"/>
        <v>0</v>
      </c>
      <c r="AK79" s="104">
        <f t="shared" si="60"/>
        <v>0</v>
      </c>
      <c r="AL79" s="104">
        <f t="shared" si="61"/>
        <v>0</v>
      </c>
      <c r="AM79" s="104">
        <f t="shared" si="62"/>
        <v>0</v>
      </c>
      <c r="AN79" s="104">
        <f t="shared" si="63"/>
        <v>0</v>
      </c>
      <c r="AO79" s="104">
        <f t="shared" si="64"/>
        <v>0</v>
      </c>
      <c r="AP79" s="181">
        <f>IF(I79="BB-CFPNT",VLOOKUP(I79,'PAINT LABOR COSTS'!$B$59:$M$61,12,0)*(AB79/144),0)</f>
        <v>0</v>
      </c>
      <c r="AQ79" s="181">
        <f t="shared" si="65"/>
        <v>0</v>
      </c>
      <c r="AR79" s="104">
        <f t="shared" si="66"/>
        <v>0</v>
      </c>
      <c r="AS79" s="104">
        <f t="shared" si="67"/>
        <v>0</v>
      </c>
      <c r="AT79" s="181" cm="1">
        <f t="array" ref="AT79">IF(P79="NO",0,IF(AND(N79&lt;49,$A$4="RETAIL"),'Comp Hardware'!$L$6,IF(AND(N79&gt;48,N79&lt;96,$A$4="RETAIL"),'Comp Hardware'!$L$7,IF(AND(N79&gt;=96,$A$4="RETAIL"),'Comp Hardware'!$L$8,IF(AND(N79&lt;49,$A$4="BLDR"),'Comp Hardware'!$M$6,IF(AND(N79&gt;48,N79&lt;96,$A$4="BLDR"),'Comp Hardware'!$M$7,IF(AND(N79&gt;=96,$A$4="BLDR"),'Comp Hardware'!$M$8,IF(AND(N79&lt;49,$A$4="WHOLE"),'Comp Hardware'!$N$6,IF(AND(N79&gt;48,N79&lt;96,$A$4="WHOLE"),'Comp Hardware'!$N$7,IF(AND(N79&gt;=96,$A$4="WHOLE"),'Comp Hardware'!$N$8,IF(AND(N79&lt;49,$A$4="LCR"),'Comp Hardware'!$N$6,IF(AND(N79&gt;48,N79&lt;96,$A$4="LCR"),'Comp Hardware'!$N$7,IF(AND(N79&gt;=96,$A$4="LCR"),'Comp Hardware'!$N$8,_xludf.na)))))))))))))*F79</f>
        <v>0</v>
      </c>
      <c r="AU79" s="181" cm="1">
        <f t="array" ref="AU79">IF(Q79="NO",0,IF(AND(N79&lt;49,$A$4="RETAIL"),'Comp Hardware'!$G$171,IF(AND(N79&gt;48,N79&lt;96,$A$4="RETAIL"),'Comp Hardware'!$G$171*1.5,IF(AND(N79&gt;=96,$A$4="RETAIL"),'Comp Hardware'!$G$171*2,IF(AND(N79&lt;49,$A$4="BLDR"),'Comp Hardware'!$H$171,IF(AND(N79&gt;48,N79&lt;96,$A$4="BLDR"),'Comp Hardware'!$H$171*1.5,IF(AND(N79&gt;=96,$A$4="BLDR"),'Comp Hardware'!$H$171*2,IF(AND(N79&lt;49,$A$4="WHOLE"),'Comp Hardware'!$I$171,IF(AND(N79&gt;48,N79&lt;96,$A$4="WHOLE"),'Comp Hardware'!$I$171*1.5,IF(AND(N79&gt;=96,$A$4="WHOLE"),'Comp Hardware'!$I$171*2,IF(AND(N79&lt;49,$A$4="LCR"),'Comp Hardware'!$I$171,IF(AND(N79&gt;48,N79&lt;96,$A$4="LCR"),'Comp Hardware'!$I$171*1.5,IF(AND(N79&gt;=96,$A$4="LCR"),'Comp Hardware'!$I$171*2,_xludf.na)))))))))))))*F79</f>
        <v>0</v>
      </c>
      <c r="AV79" s="104">
        <f t="shared" si="68"/>
        <v>0</v>
      </c>
      <c r="AW79" s="104">
        <f t="shared" si="69"/>
        <v>0</v>
      </c>
      <c r="AX79" s="104">
        <f t="shared" si="70"/>
        <v>0</v>
      </c>
      <c r="AY79" s="104">
        <f t="shared" si="71"/>
        <v>0</v>
      </c>
      <c r="AZ79" s="104">
        <f t="shared" si="72"/>
        <v>0</v>
      </c>
      <c r="BA79" s="104">
        <f t="shared" si="73"/>
        <v>0</v>
      </c>
    </row>
    <row r="80" spans="1:53">
      <c r="A80" s="2">
        <v>71</v>
      </c>
      <c r="B80" s="277">
        <f t="shared" si="74"/>
        <v>0</v>
      </c>
      <c r="C80" s="277">
        <f t="shared" si="75"/>
        <v>0</v>
      </c>
      <c r="D80" s="277">
        <f t="shared" si="76"/>
        <v>0</v>
      </c>
      <c r="E80" s="22">
        <f t="shared" si="77"/>
        <v>0</v>
      </c>
      <c r="F80" s="160"/>
      <c r="G80" s="160"/>
      <c r="H80" s="160"/>
      <c r="I80" s="160"/>
      <c r="J80" s="75" t="str">
        <f>IFERROR(VLOOKUP(I80,'PAINT LABOR COSTS'!$B$59:$C$61,2,FALSE),"Pick Color")</f>
        <v>Pick Color</v>
      </c>
      <c r="K80" s="160"/>
      <c r="L80" s="198">
        <v>0</v>
      </c>
      <c r="M80" s="199">
        <v>0</v>
      </c>
      <c r="N80" s="198">
        <v>0</v>
      </c>
      <c r="O80" s="199">
        <v>0</v>
      </c>
      <c r="P80" s="160" t="s">
        <v>419</v>
      </c>
      <c r="Q80" s="160" t="s">
        <v>419</v>
      </c>
      <c r="R80" s="160" t="s">
        <v>419</v>
      </c>
      <c r="S80" s="160" t="s">
        <v>419</v>
      </c>
      <c r="T80" s="160" t="s">
        <v>419</v>
      </c>
      <c r="U80" s="160" t="s">
        <v>419</v>
      </c>
      <c r="V80" s="160" t="s">
        <v>419</v>
      </c>
      <c r="W80" s="160">
        <v>0</v>
      </c>
      <c r="X80" s="160" t="s">
        <v>419</v>
      </c>
      <c r="Y80" s="160">
        <v>0</v>
      </c>
      <c r="Z80" s="160" t="s">
        <v>419</v>
      </c>
      <c r="AB80" s="2">
        <f t="shared" si="51"/>
        <v>0</v>
      </c>
      <c r="AC80" s="277">
        <f t="shared" si="52"/>
        <v>0</v>
      </c>
      <c r="AD80" s="277">
        <f t="shared" si="53"/>
        <v>0</v>
      </c>
      <c r="AE80" s="234">
        <f t="shared" si="54"/>
        <v>0</v>
      </c>
      <c r="AF80" s="104">
        <f t="shared" si="55"/>
        <v>0</v>
      </c>
      <c r="AG80" s="279">
        <f t="shared" si="56"/>
        <v>0</v>
      </c>
      <c r="AH80" s="279">
        <f t="shared" si="57"/>
        <v>0</v>
      </c>
      <c r="AI80" s="104">
        <f t="shared" si="58"/>
        <v>0</v>
      </c>
      <c r="AJ80" s="104">
        <f t="shared" si="59"/>
        <v>0</v>
      </c>
      <c r="AK80" s="104">
        <f t="shared" si="60"/>
        <v>0</v>
      </c>
      <c r="AL80" s="104">
        <f t="shared" si="61"/>
        <v>0</v>
      </c>
      <c r="AM80" s="104">
        <f t="shared" si="62"/>
        <v>0</v>
      </c>
      <c r="AN80" s="104">
        <f t="shared" si="63"/>
        <v>0</v>
      </c>
      <c r="AO80" s="104">
        <f t="shared" si="64"/>
        <v>0</v>
      </c>
      <c r="AP80" s="181">
        <f>IF(I80="BB-CFPNT",VLOOKUP(I80,'PAINT LABOR COSTS'!$B$59:$M$61,12,0)*(AB80/144),0)</f>
        <v>0</v>
      </c>
      <c r="AQ80" s="181">
        <f t="shared" si="65"/>
        <v>0</v>
      </c>
      <c r="AR80" s="104">
        <f t="shared" si="66"/>
        <v>0</v>
      </c>
      <c r="AS80" s="104">
        <f t="shared" si="67"/>
        <v>0</v>
      </c>
      <c r="AT80" s="181" cm="1">
        <f t="array" ref="AT80">IF(P80="NO",0,IF(AND(N80&lt;49,$A$4="RETAIL"),'Comp Hardware'!$L$6,IF(AND(N80&gt;48,N80&lt;96,$A$4="RETAIL"),'Comp Hardware'!$L$7,IF(AND(N80&gt;=96,$A$4="RETAIL"),'Comp Hardware'!$L$8,IF(AND(N80&lt;49,$A$4="BLDR"),'Comp Hardware'!$M$6,IF(AND(N80&gt;48,N80&lt;96,$A$4="BLDR"),'Comp Hardware'!$M$7,IF(AND(N80&gt;=96,$A$4="BLDR"),'Comp Hardware'!$M$8,IF(AND(N80&lt;49,$A$4="WHOLE"),'Comp Hardware'!$N$6,IF(AND(N80&gt;48,N80&lt;96,$A$4="WHOLE"),'Comp Hardware'!$N$7,IF(AND(N80&gt;=96,$A$4="WHOLE"),'Comp Hardware'!$N$8,IF(AND(N80&lt;49,$A$4="LCR"),'Comp Hardware'!$N$6,IF(AND(N80&gt;48,N80&lt;96,$A$4="LCR"),'Comp Hardware'!$N$7,IF(AND(N80&gt;=96,$A$4="LCR"),'Comp Hardware'!$N$8,_xludf.na)))))))))))))*F80</f>
        <v>0</v>
      </c>
      <c r="AU80" s="181" cm="1">
        <f t="array" ref="AU80">IF(Q80="NO",0,IF(AND(N80&lt;49,$A$4="RETAIL"),'Comp Hardware'!$G$171,IF(AND(N80&gt;48,N80&lt;96,$A$4="RETAIL"),'Comp Hardware'!$G$171*1.5,IF(AND(N80&gt;=96,$A$4="RETAIL"),'Comp Hardware'!$G$171*2,IF(AND(N80&lt;49,$A$4="BLDR"),'Comp Hardware'!$H$171,IF(AND(N80&gt;48,N80&lt;96,$A$4="BLDR"),'Comp Hardware'!$H$171*1.5,IF(AND(N80&gt;=96,$A$4="BLDR"),'Comp Hardware'!$H$171*2,IF(AND(N80&lt;49,$A$4="WHOLE"),'Comp Hardware'!$I$171,IF(AND(N80&gt;48,N80&lt;96,$A$4="WHOLE"),'Comp Hardware'!$I$171*1.5,IF(AND(N80&gt;=96,$A$4="WHOLE"),'Comp Hardware'!$I$171*2,IF(AND(N80&lt;49,$A$4="LCR"),'Comp Hardware'!$I$171,IF(AND(N80&gt;48,N80&lt;96,$A$4="LCR"),'Comp Hardware'!$I$171*1.5,IF(AND(N80&gt;=96,$A$4="LCR"),'Comp Hardware'!$I$171*2,_xludf.na)))))))))))))*F80</f>
        <v>0</v>
      </c>
      <c r="AV80" s="104">
        <f t="shared" si="68"/>
        <v>0</v>
      </c>
      <c r="AW80" s="104">
        <f t="shared" si="69"/>
        <v>0</v>
      </c>
      <c r="AX80" s="104">
        <f t="shared" si="70"/>
        <v>0</v>
      </c>
      <c r="AY80" s="104">
        <f t="shared" si="71"/>
        <v>0</v>
      </c>
      <c r="AZ80" s="104">
        <f t="shared" si="72"/>
        <v>0</v>
      </c>
      <c r="BA80" s="104">
        <f t="shared" si="73"/>
        <v>0</v>
      </c>
    </row>
    <row r="81" spans="1:53">
      <c r="A81" s="2">
        <v>72</v>
      </c>
      <c r="B81" s="277">
        <f t="shared" si="74"/>
        <v>0</v>
      </c>
      <c r="C81" s="277">
        <f t="shared" si="75"/>
        <v>0</v>
      </c>
      <c r="D81" s="277">
        <f t="shared" si="76"/>
        <v>0</v>
      </c>
      <c r="E81" s="22">
        <f t="shared" si="77"/>
        <v>0</v>
      </c>
      <c r="F81" s="160"/>
      <c r="G81" s="160"/>
      <c r="H81" s="160"/>
      <c r="I81" s="160"/>
      <c r="J81" s="75" t="str">
        <f>IFERROR(VLOOKUP(I81,'PAINT LABOR COSTS'!$B$59:$C$61,2,FALSE),"Pick Color")</f>
        <v>Pick Color</v>
      </c>
      <c r="K81" s="160"/>
      <c r="L81" s="198">
        <v>0</v>
      </c>
      <c r="M81" s="199">
        <v>0</v>
      </c>
      <c r="N81" s="198">
        <v>0</v>
      </c>
      <c r="O81" s="199">
        <v>0</v>
      </c>
      <c r="P81" s="160" t="s">
        <v>419</v>
      </c>
      <c r="Q81" s="160" t="s">
        <v>419</v>
      </c>
      <c r="R81" s="160" t="s">
        <v>419</v>
      </c>
      <c r="S81" s="160" t="s">
        <v>419</v>
      </c>
      <c r="T81" s="160" t="s">
        <v>419</v>
      </c>
      <c r="U81" s="160" t="s">
        <v>419</v>
      </c>
      <c r="V81" s="160" t="s">
        <v>419</v>
      </c>
      <c r="W81" s="160">
        <v>0</v>
      </c>
      <c r="X81" s="160" t="s">
        <v>419</v>
      </c>
      <c r="Y81" s="160">
        <v>0</v>
      </c>
      <c r="Z81" s="160" t="s">
        <v>419</v>
      </c>
      <c r="AB81" s="2">
        <f t="shared" si="51"/>
        <v>0</v>
      </c>
      <c r="AC81" s="277">
        <f t="shared" si="52"/>
        <v>0</v>
      </c>
      <c r="AD81" s="277">
        <f t="shared" si="53"/>
        <v>0</v>
      </c>
      <c r="AE81" s="234">
        <f t="shared" si="54"/>
        <v>0</v>
      </c>
      <c r="AF81" s="104">
        <f t="shared" si="55"/>
        <v>0</v>
      </c>
      <c r="AG81" s="279">
        <f t="shared" si="56"/>
        <v>0</v>
      </c>
      <c r="AH81" s="279">
        <f t="shared" si="57"/>
        <v>0</v>
      </c>
      <c r="AI81" s="104">
        <f t="shared" si="58"/>
        <v>0</v>
      </c>
      <c r="AJ81" s="104">
        <f t="shared" si="59"/>
        <v>0</v>
      </c>
      <c r="AK81" s="104">
        <f t="shared" si="60"/>
        <v>0</v>
      </c>
      <c r="AL81" s="104">
        <f t="shared" si="61"/>
        <v>0</v>
      </c>
      <c r="AM81" s="104">
        <f t="shared" si="62"/>
        <v>0</v>
      </c>
      <c r="AN81" s="104">
        <f t="shared" si="63"/>
        <v>0</v>
      </c>
      <c r="AO81" s="104">
        <f t="shared" si="64"/>
        <v>0</v>
      </c>
      <c r="AP81" s="181">
        <f>IF(I81="BB-CFPNT",VLOOKUP(I81,'PAINT LABOR COSTS'!$B$59:$M$61,12,0)*(AB81/144),0)</f>
        <v>0</v>
      </c>
      <c r="AQ81" s="181">
        <f t="shared" si="65"/>
        <v>0</v>
      </c>
      <c r="AR81" s="104">
        <f t="shared" si="66"/>
        <v>0</v>
      </c>
      <c r="AS81" s="104">
        <f t="shared" si="67"/>
        <v>0</v>
      </c>
      <c r="AT81" s="181" cm="1">
        <f t="array" ref="AT81">IF(P81="NO",0,IF(AND(N81&lt;49,$A$4="RETAIL"),'Comp Hardware'!$L$6,IF(AND(N81&gt;48,N81&lt;96,$A$4="RETAIL"),'Comp Hardware'!$L$7,IF(AND(N81&gt;=96,$A$4="RETAIL"),'Comp Hardware'!$L$8,IF(AND(N81&lt;49,$A$4="BLDR"),'Comp Hardware'!$M$6,IF(AND(N81&gt;48,N81&lt;96,$A$4="BLDR"),'Comp Hardware'!$M$7,IF(AND(N81&gt;=96,$A$4="BLDR"),'Comp Hardware'!$M$8,IF(AND(N81&lt;49,$A$4="WHOLE"),'Comp Hardware'!$N$6,IF(AND(N81&gt;48,N81&lt;96,$A$4="WHOLE"),'Comp Hardware'!$N$7,IF(AND(N81&gt;=96,$A$4="WHOLE"),'Comp Hardware'!$N$8,IF(AND(N81&lt;49,$A$4="LCR"),'Comp Hardware'!$N$6,IF(AND(N81&gt;48,N81&lt;96,$A$4="LCR"),'Comp Hardware'!$N$7,IF(AND(N81&gt;=96,$A$4="LCR"),'Comp Hardware'!$N$8,_xludf.na)))))))))))))*F81</f>
        <v>0</v>
      </c>
      <c r="AU81" s="181" cm="1">
        <f t="array" ref="AU81">IF(Q81="NO",0,IF(AND(N81&lt;49,$A$4="RETAIL"),'Comp Hardware'!$G$171,IF(AND(N81&gt;48,N81&lt;96,$A$4="RETAIL"),'Comp Hardware'!$G$171*1.5,IF(AND(N81&gt;=96,$A$4="RETAIL"),'Comp Hardware'!$G$171*2,IF(AND(N81&lt;49,$A$4="BLDR"),'Comp Hardware'!$H$171,IF(AND(N81&gt;48,N81&lt;96,$A$4="BLDR"),'Comp Hardware'!$H$171*1.5,IF(AND(N81&gt;=96,$A$4="BLDR"),'Comp Hardware'!$H$171*2,IF(AND(N81&lt;49,$A$4="WHOLE"),'Comp Hardware'!$I$171,IF(AND(N81&gt;48,N81&lt;96,$A$4="WHOLE"),'Comp Hardware'!$I$171*1.5,IF(AND(N81&gt;=96,$A$4="WHOLE"),'Comp Hardware'!$I$171*2,IF(AND(N81&lt;49,$A$4="LCR"),'Comp Hardware'!$I$171,IF(AND(N81&gt;48,N81&lt;96,$A$4="LCR"),'Comp Hardware'!$I$171*1.5,IF(AND(N81&gt;=96,$A$4="LCR"),'Comp Hardware'!$I$171*2,_xludf.na)))))))))))))*F81</f>
        <v>0</v>
      </c>
      <c r="AV81" s="104">
        <f t="shared" si="68"/>
        <v>0</v>
      </c>
      <c r="AW81" s="104">
        <f t="shared" si="69"/>
        <v>0</v>
      </c>
      <c r="AX81" s="104">
        <f t="shared" si="70"/>
        <v>0</v>
      </c>
      <c r="AY81" s="104">
        <f t="shared" si="71"/>
        <v>0</v>
      </c>
      <c r="AZ81" s="104">
        <f t="shared" si="72"/>
        <v>0</v>
      </c>
      <c r="BA81" s="104">
        <f t="shared" si="73"/>
        <v>0</v>
      </c>
    </row>
    <row r="82" spans="1:53">
      <c r="A82" s="2">
        <v>73</v>
      </c>
      <c r="B82" s="277">
        <f t="shared" si="74"/>
        <v>0</v>
      </c>
      <c r="C82" s="277">
        <f t="shared" si="75"/>
        <v>0</v>
      </c>
      <c r="D82" s="277">
        <f t="shared" si="76"/>
        <v>0</v>
      </c>
      <c r="E82" s="22">
        <f t="shared" si="77"/>
        <v>0</v>
      </c>
      <c r="F82" s="160"/>
      <c r="G82" s="160"/>
      <c r="H82" s="160"/>
      <c r="I82" s="160"/>
      <c r="J82" s="75" t="str">
        <f>IFERROR(VLOOKUP(I82,'PAINT LABOR COSTS'!$B$59:$C$61,2,FALSE),"Pick Color")</f>
        <v>Pick Color</v>
      </c>
      <c r="K82" s="160"/>
      <c r="L82" s="198">
        <v>0</v>
      </c>
      <c r="M82" s="199">
        <v>0</v>
      </c>
      <c r="N82" s="198">
        <v>0</v>
      </c>
      <c r="O82" s="199">
        <v>0</v>
      </c>
      <c r="P82" s="160" t="s">
        <v>419</v>
      </c>
      <c r="Q82" s="160" t="s">
        <v>419</v>
      </c>
      <c r="R82" s="160" t="s">
        <v>419</v>
      </c>
      <c r="S82" s="160" t="s">
        <v>419</v>
      </c>
      <c r="T82" s="160" t="s">
        <v>419</v>
      </c>
      <c r="U82" s="160" t="s">
        <v>419</v>
      </c>
      <c r="V82" s="160" t="s">
        <v>419</v>
      </c>
      <c r="W82" s="160">
        <v>0</v>
      </c>
      <c r="X82" s="160" t="s">
        <v>419</v>
      </c>
      <c r="Y82" s="160">
        <v>0</v>
      </c>
      <c r="Z82" s="160" t="s">
        <v>419</v>
      </c>
      <c r="AB82" s="2">
        <f t="shared" si="51"/>
        <v>0</v>
      </c>
      <c r="AC82" s="277">
        <f t="shared" si="52"/>
        <v>0</v>
      </c>
      <c r="AD82" s="277">
        <f t="shared" si="53"/>
        <v>0</v>
      </c>
      <c r="AE82" s="234">
        <f t="shared" si="54"/>
        <v>0</v>
      </c>
      <c r="AF82" s="104">
        <f t="shared" si="55"/>
        <v>0</v>
      </c>
      <c r="AG82" s="279">
        <f t="shared" si="56"/>
        <v>0</v>
      </c>
      <c r="AH82" s="279">
        <f t="shared" si="57"/>
        <v>0</v>
      </c>
      <c r="AI82" s="104">
        <f t="shared" si="58"/>
        <v>0</v>
      </c>
      <c r="AJ82" s="104">
        <f t="shared" si="59"/>
        <v>0</v>
      </c>
      <c r="AK82" s="104">
        <f t="shared" si="60"/>
        <v>0</v>
      </c>
      <c r="AL82" s="104">
        <f t="shared" si="61"/>
        <v>0</v>
      </c>
      <c r="AM82" s="104">
        <f t="shared" si="62"/>
        <v>0</v>
      </c>
      <c r="AN82" s="104">
        <f t="shared" si="63"/>
        <v>0</v>
      </c>
      <c r="AO82" s="104">
        <f t="shared" si="64"/>
        <v>0</v>
      </c>
      <c r="AP82" s="181">
        <f>IF(I82="BB-CFPNT",VLOOKUP(I82,'PAINT LABOR COSTS'!$B$59:$M$61,12,0)*(AB82/144),0)</f>
        <v>0</v>
      </c>
      <c r="AQ82" s="181">
        <f t="shared" si="65"/>
        <v>0</v>
      </c>
      <c r="AR82" s="104">
        <f t="shared" si="66"/>
        <v>0</v>
      </c>
      <c r="AS82" s="104">
        <f t="shared" si="67"/>
        <v>0</v>
      </c>
      <c r="AT82" s="181" cm="1">
        <f t="array" ref="AT82">IF(P82="NO",0,IF(AND(N82&lt;49,$A$4="RETAIL"),'Comp Hardware'!$L$6,IF(AND(N82&gt;48,N82&lt;96,$A$4="RETAIL"),'Comp Hardware'!$L$7,IF(AND(N82&gt;=96,$A$4="RETAIL"),'Comp Hardware'!$L$8,IF(AND(N82&lt;49,$A$4="BLDR"),'Comp Hardware'!$M$6,IF(AND(N82&gt;48,N82&lt;96,$A$4="BLDR"),'Comp Hardware'!$M$7,IF(AND(N82&gt;=96,$A$4="BLDR"),'Comp Hardware'!$M$8,IF(AND(N82&lt;49,$A$4="WHOLE"),'Comp Hardware'!$N$6,IF(AND(N82&gt;48,N82&lt;96,$A$4="WHOLE"),'Comp Hardware'!$N$7,IF(AND(N82&gt;=96,$A$4="WHOLE"),'Comp Hardware'!$N$8,IF(AND(N82&lt;49,$A$4="LCR"),'Comp Hardware'!$N$6,IF(AND(N82&gt;48,N82&lt;96,$A$4="LCR"),'Comp Hardware'!$N$7,IF(AND(N82&gt;=96,$A$4="LCR"),'Comp Hardware'!$N$8,_xludf.na)))))))))))))*F82</f>
        <v>0</v>
      </c>
      <c r="AU82" s="181" cm="1">
        <f t="array" ref="AU82">IF(Q82="NO",0,IF(AND(N82&lt;49,$A$4="RETAIL"),'Comp Hardware'!$G$171,IF(AND(N82&gt;48,N82&lt;96,$A$4="RETAIL"),'Comp Hardware'!$G$171*1.5,IF(AND(N82&gt;=96,$A$4="RETAIL"),'Comp Hardware'!$G$171*2,IF(AND(N82&lt;49,$A$4="BLDR"),'Comp Hardware'!$H$171,IF(AND(N82&gt;48,N82&lt;96,$A$4="BLDR"),'Comp Hardware'!$H$171*1.5,IF(AND(N82&gt;=96,$A$4="BLDR"),'Comp Hardware'!$H$171*2,IF(AND(N82&lt;49,$A$4="WHOLE"),'Comp Hardware'!$I$171,IF(AND(N82&gt;48,N82&lt;96,$A$4="WHOLE"),'Comp Hardware'!$I$171*1.5,IF(AND(N82&gt;=96,$A$4="WHOLE"),'Comp Hardware'!$I$171*2,IF(AND(N82&lt;49,$A$4="LCR"),'Comp Hardware'!$I$171,IF(AND(N82&gt;48,N82&lt;96,$A$4="LCR"),'Comp Hardware'!$I$171*1.5,IF(AND(N82&gt;=96,$A$4="LCR"),'Comp Hardware'!$I$171*2,_xludf.na)))))))))))))*F82</f>
        <v>0</v>
      </c>
      <c r="AV82" s="104">
        <f t="shared" si="68"/>
        <v>0</v>
      </c>
      <c r="AW82" s="104">
        <f t="shared" si="69"/>
        <v>0</v>
      </c>
      <c r="AX82" s="104">
        <f t="shared" si="70"/>
        <v>0</v>
      </c>
      <c r="AY82" s="104">
        <f t="shared" si="71"/>
        <v>0</v>
      </c>
      <c r="AZ82" s="104">
        <f t="shared" si="72"/>
        <v>0</v>
      </c>
      <c r="BA82" s="104">
        <f t="shared" si="73"/>
        <v>0</v>
      </c>
    </row>
    <row r="83" spans="1:53">
      <c r="A83" s="2">
        <v>74</v>
      </c>
      <c r="B83" s="277">
        <f t="shared" si="74"/>
        <v>0</v>
      </c>
      <c r="C83" s="277">
        <f t="shared" si="75"/>
        <v>0</v>
      </c>
      <c r="D83" s="277">
        <f t="shared" si="76"/>
        <v>0</v>
      </c>
      <c r="E83" s="22">
        <f t="shared" si="77"/>
        <v>0</v>
      </c>
      <c r="F83" s="160"/>
      <c r="G83" s="160"/>
      <c r="H83" s="160"/>
      <c r="I83" s="160"/>
      <c r="J83" s="75" t="str">
        <f>IFERROR(VLOOKUP(I83,'PAINT LABOR COSTS'!$B$59:$C$61,2,FALSE),"Pick Color")</f>
        <v>Pick Color</v>
      </c>
      <c r="K83" s="160"/>
      <c r="L83" s="198">
        <v>0</v>
      </c>
      <c r="M83" s="199">
        <v>0</v>
      </c>
      <c r="N83" s="198">
        <v>0</v>
      </c>
      <c r="O83" s="199">
        <v>0</v>
      </c>
      <c r="P83" s="160" t="s">
        <v>419</v>
      </c>
      <c r="Q83" s="160" t="s">
        <v>419</v>
      </c>
      <c r="R83" s="160" t="s">
        <v>419</v>
      </c>
      <c r="S83" s="160" t="s">
        <v>419</v>
      </c>
      <c r="T83" s="160" t="s">
        <v>419</v>
      </c>
      <c r="U83" s="160" t="s">
        <v>419</v>
      </c>
      <c r="V83" s="160" t="s">
        <v>419</v>
      </c>
      <c r="W83" s="160">
        <v>0</v>
      </c>
      <c r="X83" s="160" t="s">
        <v>419</v>
      </c>
      <c r="Y83" s="160">
        <v>0</v>
      </c>
      <c r="Z83" s="160" t="s">
        <v>419</v>
      </c>
      <c r="AB83" s="2">
        <f t="shared" si="51"/>
        <v>0</v>
      </c>
      <c r="AC83" s="277">
        <f t="shared" si="52"/>
        <v>0</v>
      </c>
      <c r="AD83" s="277">
        <f t="shared" si="53"/>
        <v>0</v>
      </c>
      <c r="AE83" s="234">
        <f t="shared" si="54"/>
        <v>0</v>
      </c>
      <c r="AF83" s="104">
        <f t="shared" si="55"/>
        <v>0</v>
      </c>
      <c r="AG83" s="279">
        <f t="shared" si="56"/>
        <v>0</v>
      </c>
      <c r="AH83" s="279">
        <f t="shared" si="57"/>
        <v>0</v>
      </c>
      <c r="AI83" s="104">
        <f t="shared" si="58"/>
        <v>0</v>
      </c>
      <c r="AJ83" s="104">
        <f t="shared" si="59"/>
        <v>0</v>
      </c>
      <c r="AK83" s="104">
        <f t="shared" si="60"/>
        <v>0</v>
      </c>
      <c r="AL83" s="104">
        <f t="shared" si="61"/>
        <v>0</v>
      </c>
      <c r="AM83" s="104">
        <f t="shared" si="62"/>
        <v>0</v>
      </c>
      <c r="AN83" s="104">
        <f t="shared" si="63"/>
        <v>0</v>
      </c>
      <c r="AO83" s="104">
        <f t="shared" si="64"/>
        <v>0</v>
      </c>
      <c r="AP83" s="181">
        <f>IF(I83="BB-CFPNT",VLOOKUP(I83,'PAINT LABOR COSTS'!$B$59:$M$61,12,0)*(AB83/144),0)</f>
        <v>0</v>
      </c>
      <c r="AQ83" s="181">
        <f t="shared" si="65"/>
        <v>0</v>
      </c>
      <c r="AR83" s="104">
        <f t="shared" si="66"/>
        <v>0</v>
      </c>
      <c r="AS83" s="104">
        <f t="shared" si="67"/>
        <v>0</v>
      </c>
      <c r="AT83" s="181" cm="1">
        <f t="array" ref="AT83">IF(P83="NO",0,IF(AND(N83&lt;49,$A$4="RETAIL"),'Comp Hardware'!$L$6,IF(AND(N83&gt;48,N83&lt;96,$A$4="RETAIL"),'Comp Hardware'!$L$7,IF(AND(N83&gt;=96,$A$4="RETAIL"),'Comp Hardware'!$L$8,IF(AND(N83&lt;49,$A$4="BLDR"),'Comp Hardware'!$M$6,IF(AND(N83&gt;48,N83&lt;96,$A$4="BLDR"),'Comp Hardware'!$M$7,IF(AND(N83&gt;=96,$A$4="BLDR"),'Comp Hardware'!$M$8,IF(AND(N83&lt;49,$A$4="WHOLE"),'Comp Hardware'!$N$6,IF(AND(N83&gt;48,N83&lt;96,$A$4="WHOLE"),'Comp Hardware'!$N$7,IF(AND(N83&gt;=96,$A$4="WHOLE"),'Comp Hardware'!$N$8,IF(AND(N83&lt;49,$A$4="LCR"),'Comp Hardware'!$N$6,IF(AND(N83&gt;48,N83&lt;96,$A$4="LCR"),'Comp Hardware'!$N$7,IF(AND(N83&gt;=96,$A$4="LCR"),'Comp Hardware'!$N$8,_xludf.na)))))))))))))*F83</f>
        <v>0</v>
      </c>
      <c r="AU83" s="181" cm="1">
        <f t="array" ref="AU83">IF(Q83="NO",0,IF(AND(N83&lt;49,$A$4="RETAIL"),'Comp Hardware'!$G$171,IF(AND(N83&gt;48,N83&lt;96,$A$4="RETAIL"),'Comp Hardware'!$G$171*1.5,IF(AND(N83&gt;=96,$A$4="RETAIL"),'Comp Hardware'!$G$171*2,IF(AND(N83&lt;49,$A$4="BLDR"),'Comp Hardware'!$H$171,IF(AND(N83&gt;48,N83&lt;96,$A$4="BLDR"),'Comp Hardware'!$H$171*1.5,IF(AND(N83&gt;=96,$A$4="BLDR"),'Comp Hardware'!$H$171*2,IF(AND(N83&lt;49,$A$4="WHOLE"),'Comp Hardware'!$I$171,IF(AND(N83&gt;48,N83&lt;96,$A$4="WHOLE"),'Comp Hardware'!$I$171*1.5,IF(AND(N83&gt;=96,$A$4="WHOLE"),'Comp Hardware'!$I$171*2,IF(AND(N83&lt;49,$A$4="LCR"),'Comp Hardware'!$I$171,IF(AND(N83&gt;48,N83&lt;96,$A$4="LCR"),'Comp Hardware'!$I$171*1.5,IF(AND(N83&gt;=96,$A$4="LCR"),'Comp Hardware'!$I$171*2,_xludf.na)))))))))))))*F83</f>
        <v>0</v>
      </c>
      <c r="AV83" s="104">
        <f t="shared" si="68"/>
        <v>0</v>
      </c>
      <c r="AW83" s="104">
        <f t="shared" si="69"/>
        <v>0</v>
      </c>
      <c r="AX83" s="104">
        <f t="shared" si="70"/>
        <v>0</v>
      </c>
      <c r="AY83" s="104">
        <f t="shared" si="71"/>
        <v>0</v>
      </c>
      <c r="AZ83" s="104">
        <f t="shared" si="72"/>
        <v>0</v>
      </c>
      <c r="BA83" s="104">
        <f t="shared" si="73"/>
        <v>0</v>
      </c>
    </row>
    <row r="84" spans="1:53">
      <c r="A84" s="2">
        <v>75</v>
      </c>
      <c r="B84" s="277">
        <f t="shared" si="74"/>
        <v>0</v>
      </c>
      <c r="C84" s="277">
        <f t="shared" si="75"/>
        <v>0</v>
      </c>
      <c r="D84" s="277">
        <f t="shared" si="76"/>
        <v>0</v>
      </c>
      <c r="E84" s="22">
        <f t="shared" si="77"/>
        <v>0</v>
      </c>
      <c r="F84" s="160"/>
      <c r="G84" s="160"/>
      <c r="H84" s="160"/>
      <c r="I84" s="160"/>
      <c r="J84" s="75" t="str">
        <f>IFERROR(VLOOKUP(I84,'PAINT LABOR COSTS'!$B$59:$C$61,2,FALSE),"Pick Color")</f>
        <v>Pick Color</v>
      </c>
      <c r="K84" s="160"/>
      <c r="L84" s="198">
        <v>0</v>
      </c>
      <c r="M84" s="199">
        <v>0</v>
      </c>
      <c r="N84" s="198">
        <v>0</v>
      </c>
      <c r="O84" s="199">
        <v>0</v>
      </c>
      <c r="P84" s="160" t="s">
        <v>419</v>
      </c>
      <c r="Q84" s="160" t="s">
        <v>419</v>
      </c>
      <c r="R84" s="160" t="s">
        <v>419</v>
      </c>
      <c r="S84" s="160" t="s">
        <v>419</v>
      </c>
      <c r="T84" s="160" t="s">
        <v>419</v>
      </c>
      <c r="U84" s="160" t="s">
        <v>419</v>
      </c>
      <c r="V84" s="160" t="s">
        <v>419</v>
      </c>
      <c r="W84" s="160">
        <v>0</v>
      </c>
      <c r="X84" s="160" t="s">
        <v>419</v>
      </c>
      <c r="Y84" s="160">
        <v>0</v>
      </c>
      <c r="Z84" s="160" t="s">
        <v>419</v>
      </c>
      <c r="AB84" s="2">
        <f t="shared" si="51"/>
        <v>0</v>
      </c>
      <c r="AC84" s="277">
        <f t="shared" si="52"/>
        <v>0</v>
      </c>
      <c r="AD84" s="277">
        <f t="shared" si="53"/>
        <v>0</v>
      </c>
      <c r="AE84" s="234">
        <f t="shared" si="54"/>
        <v>0</v>
      </c>
      <c r="AF84" s="104">
        <f t="shared" si="55"/>
        <v>0</v>
      </c>
      <c r="AG84" s="279">
        <f t="shared" si="56"/>
        <v>0</v>
      </c>
      <c r="AH84" s="279">
        <f t="shared" si="57"/>
        <v>0</v>
      </c>
      <c r="AI84" s="104">
        <f t="shared" si="58"/>
        <v>0</v>
      </c>
      <c r="AJ84" s="104">
        <f t="shared" si="59"/>
        <v>0</v>
      </c>
      <c r="AK84" s="104">
        <f t="shared" si="60"/>
        <v>0</v>
      </c>
      <c r="AL84" s="104">
        <f t="shared" si="61"/>
        <v>0</v>
      </c>
      <c r="AM84" s="104">
        <f t="shared" si="62"/>
        <v>0</v>
      </c>
      <c r="AN84" s="104">
        <f t="shared" si="63"/>
        <v>0</v>
      </c>
      <c r="AO84" s="104">
        <f t="shared" si="64"/>
        <v>0</v>
      </c>
      <c r="AP84" s="181">
        <f>IF(I84="BB-CFPNT",VLOOKUP(I84,'PAINT LABOR COSTS'!$B$59:$M$61,12,0)*(AB84/144),0)</f>
        <v>0</v>
      </c>
      <c r="AQ84" s="181">
        <f t="shared" si="65"/>
        <v>0</v>
      </c>
      <c r="AR84" s="104">
        <f t="shared" si="66"/>
        <v>0</v>
      </c>
      <c r="AS84" s="104">
        <f t="shared" si="67"/>
        <v>0</v>
      </c>
      <c r="AT84" s="181" cm="1">
        <f t="array" ref="AT84">IF(P84="NO",0,IF(AND(N84&lt;49,$A$4="RETAIL"),'Comp Hardware'!$L$6,IF(AND(N84&gt;48,N84&lt;96,$A$4="RETAIL"),'Comp Hardware'!$L$7,IF(AND(N84&gt;=96,$A$4="RETAIL"),'Comp Hardware'!$L$8,IF(AND(N84&lt;49,$A$4="BLDR"),'Comp Hardware'!$M$6,IF(AND(N84&gt;48,N84&lt;96,$A$4="BLDR"),'Comp Hardware'!$M$7,IF(AND(N84&gt;=96,$A$4="BLDR"),'Comp Hardware'!$M$8,IF(AND(N84&lt;49,$A$4="WHOLE"),'Comp Hardware'!$N$6,IF(AND(N84&gt;48,N84&lt;96,$A$4="WHOLE"),'Comp Hardware'!$N$7,IF(AND(N84&gt;=96,$A$4="WHOLE"),'Comp Hardware'!$N$8,IF(AND(N84&lt;49,$A$4="LCR"),'Comp Hardware'!$N$6,IF(AND(N84&gt;48,N84&lt;96,$A$4="LCR"),'Comp Hardware'!$N$7,IF(AND(N84&gt;=96,$A$4="LCR"),'Comp Hardware'!$N$8,_xludf.na)))))))))))))*F84</f>
        <v>0</v>
      </c>
      <c r="AU84" s="181" cm="1">
        <f t="array" ref="AU84">IF(Q84="NO",0,IF(AND(N84&lt;49,$A$4="RETAIL"),'Comp Hardware'!$G$171,IF(AND(N84&gt;48,N84&lt;96,$A$4="RETAIL"),'Comp Hardware'!$G$171*1.5,IF(AND(N84&gt;=96,$A$4="RETAIL"),'Comp Hardware'!$G$171*2,IF(AND(N84&lt;49,$A$4="BLDR"),'Comp Hardware'!$H$171,IF(AND(N84&gt;48,N84&lt;96,$A$4="BLDR"),'Comp Hardware'!$H$171*1.5,IF(AND(N84&gt;=96,$A$4="BLDR"),'Comp Hardware'!$H$171*2,IF(AND(N84&lt;49,$A$4="WHOLE"),'Comp Hardware'!$I$171,IF(AND(N84&gt;48,N84&lt;96,$A$4="WHOLE"),'Comp Hardware'!$I$171*1.5,IF(AND(N84&gt;=96,$A$4="WHOLE"),'Comp Hardware'!$I$171*2,IF(AND(N84&lt;49,$A$4="LCR"),'Comp Hardware'!$I$171,IF(AND(N84&gt;48,N84&lt;96,$A$4="LCR"),'Comp Hardware'!$I$171*1.5,IF(AND(N84&gt;=96,$A$4="LCR"),'Comp Hardware'!$I$171*2,_xludf.na)))))))))))))*F84</f>
        <v>0</v>
      </c>
      <c r="AV84" s="104">
        <f t="shared" si="68"/>
        <v>0</v>
      </c>
      <c r="AW84" s="104">
        <f t="shared" si="69"/>
        <v>0</v>
      </c>
      <c r="AX84" s="104">
        <f t="shared" si="70"/>
        <v>0</v>
      </c>
      <c r="AY84" s="104">
        <f t="shared" si="71"/>
        <v>0</v>
      </c>
      <c r="AZ84" s="104">
        <f t="shared" si="72"/>
        <v>0</v>
      </c>
      <c r="BA84" s="104">
        <f t="shared" si="73"/>
        <v>0</v>
      </c>
    </row>
    <row r="85" spans="1:53">
      <c r="A85" s="2">
        <v>76</v>
      </c>
      <c r="B85" s="277">
        <f t="shared" si="74"/>
        <v>0</v>
      </c>
      <c r="C85" s="277">
        <f t="shared" si="75"/>
        <v>0</v>
      </c>
      <c r="D85" s="277">
        <f t="shared" si="76"/>
        <v>0</v>
      </c>
      <c r="E85" s="22">
        <f t="shared" si="77"/>
        <v>0</v>
      </c>
      <c r="F85" s="160"/>
      <c r="G85" s="160"/>
      <c r="H85" s="160"/>
      <c r="I85" s="160"/>
      <c r="J85" s="75" t="str">
        <f>IFERROR(VLOOKUP(I85,'PAINT LABOR COSTS'!$B$59:$C$61,2,FALSE),"Pick Color")</f>
        <v>Pick Color</v>
      </c>
      <c r="K85" s="160"/>
      <c r="L85" s="198">
        <v>0</v>
      </c>
      <c r="M85" s="199">
        <v>0</v>
      </c>
      <c r="N85" s="198">
        <v>0</v>
      </c>
      <c r="O85" s="199">
        <v>0</v>
      </c>
      <c r="P85" s="160" t="s">
        <v>419</v>
      </c>
      <c r="Q85" s="160" t="s">
        <v>419</v>
      </c>
      <c r="R85" s="160" t="s">
        <v>419</v>
      </c>
      <c r="S85" s="160" t="s">
        <v>419</v>
      </c>
      <c r="T85" s="160" t="s">
        <v>419</v>
      </c>
      <c r="U85" s="160" t="s">
        <v>419</v>
      </c>
      <c r="V85" s="160" t="s">
        <v>419</v>
      </c>
      <c r="W85" s="160">
        <v>0</v>
      </c>
      <c r="X85" s="160" t="s">
        <v>419</v>
      </c>
      <c r="Y85" s="160">
        <v>0</v>
      </c>
      <c r="Z85" s="160" t="s">
        <v>419</v>
      </c>
      <c r="AB85" s="2">
        <f t="shared" si="51"/>
        <v>0</v>
      </c>
      <c r="AC85" s="277">
        <f t="shared" si="52"/>
        <v>0</v>
      </c>
      <c r="AD85" s="277">
        <f t="shared" si="53"/>
        <v>0</v>
      </c>
      <c r="AE85" s="234">
        <f t="shared" si="54"/>
        <v>0</v>
      </c>
      <c r="AF85" s="104">
        <f t="shared" si="55"/>
        <v>0</v>
      </c>
      <c r="AG85" s="279">
        <f t="shared" si="56"/>
        <v>0</v>
      </c>
      <c r="AH85" s="279">
        <f t="shared" si="57"/>
        <v>0</v>
      </c>
      <c r="AI85" s="104">
        <f t="shared" si="58"/>
        <v>0</v>
      </c>
      <c r="AJ85" s="104">
        <f t="shared" si="59"/>
        <v>0</v>
      </c>
      <c r="AK85" s="104">
        <f t="shared" si="60"/>
        <v>0</v>
      </c>
      <c r="AL85" s="104">
        <f t="shared" si="61"/>
        <v>0</v>
      </c>
      <c r="AM85" s="104">
        <f t="shared" si="62"/>
        <v>0</v>
      </c>
      <c r="AN85" s="104">
        <f t="shared" si="63"/>
        <v>0</v>
      </c>
      <c r="AO85" s="104">
        <f t="shared" si="64"/>
        <v>0</v>
      </c>
      <c r="AP85" s="181">
        <f>IF(I85="BB-CFPNT",VLOOKUP(I85,'PAINT LABOR COSTS'!$B$59:$M$61,12,0)*(AB85/144),0)</f>
        <v>0</v>
      </c>
      <c r="AQ85" s="181">
        <f t="shared" si="65"/>
        <v>0</v>
      </c>
      <c r="AR85" s="104">
        <f t="shared" si="66"/>
        <v>0</v>
      </c>
      <c r="AS85" s="104">
        <f t="shared" si="67"/>
        <v>0</v>
      </c>
      <c r="AT85" s="181" cm="1">
        <f t="array" ref="AT85">IF(P85="NO",0,IF(AND(N85&lt;49,$A$4="RETAIL"),'Comp Hardware'!$L$6,IF(AND(N85&gt;48,N85&lt;96,$A$4="RETAIL"),'Comp Hardware'!$L$7,IF(AND(N85&gt;=96,$A$4="RETAIL"),'Comp Hardware'!$L$8,IF(AND(N85&lt;49,$A$4="BLDR"),'Comp Hardware'!$M$6,IF(AND(N85&gt;48,N85&lt;96,$A$4="BLDR"),'Comp Hardware'!$M$7,IF(AND(N85&gt;=96,$A$4="BLDR"),'Comp Hardware'!$M$8,IF(AND(N85&lt;49,$A$4="WHOLE"),'Comp Hardware'!$N$6,IF(AND(N85&gt;48,N85&lt;96,$A$4="WHOLE"),'Comp Hardware'!$N$7,IF(AND(N85&gt;=96,$A$4="WHOLE"),'Comp Hardware'!$N$8,IF(AND(N85&lt;49,$A$4="LCR"),'Comp Hardware'!$N$6,IF(AND(N85&gt;48,N85&lt;96,$A$4="LCR"),'Comp Hardware'!$N$7,IF(AND(N85&gt;=96,$A$4="LCR"),'Comp Hardware'!$N$8,_xludf.na)))))))))))))*F85</f>
        <v>0</v>
      </c>
      <c r="AU85" s="181" cm="1">
        <f t="array" ref="AU85">IF(Q85="NO",0,IF(AND(N85&lt;49,$A$4="RETAIL"),'Comp Hardware'!$G$171,IF(AND(N85&gt;48,N85&lt;96,$A$4="RETAIL"),'Comp Hardware'!$G$171*1.5,IF(AND(N85&gt;=96,$A$4="RETAIL"),'Comp Hardware'!$G$171*2,IF(AND(N85&lt;49,$A$4="BLDR"),'Comp Hardware'!$H$171,IF(AND(N85&gt;48,N85&lt;96,$A$4="BLDR"),'Comp Hardware'!$H$171*1.5,IF(AND(N85&gt;=96,$A$4="BLDR"),'Comp Hardware'!$H$171*2,IF(AND(N85&lt;49,$A$4="WHOLE"),'Comp Hardware'!$I$171,IF(AND(N85&gt;48,N85&lt;96,$A$4="WHOLE"),'Comp Hardware'!$I$171*1.5,IF(AND(N85&gt;=96,$A$4="WHOLE"),'Comp Hardware'!$I$171*2,IF(AND(N85&lt;49,$A$4="LCR"),'Comp Hardware'!$I$171,IF(AND(N85&gt;48,N85&lt;96,$A$4="LCR"),'Comp Hardware'!$I$171*1.5,IF(AND(N85&gt;=96,$A$4="LCR"),'Comp Hardware'!$I$171*2,_xludf.na)))))))))))))*F85</f>
        <v>0</v>
      </c>
      <c r="AV85" s="104">
        <f t="shared" si="68"/>
        <v>0</v>
      </c>
      <c r="AW85" s="104">
        <f t="shared" si="69"/>
        <v>0</v>
      </c>
      <c r="AX85" s="104">
        <f t="shared" si="70"/>
        <v>0</v>
      </c>
      <c r="AY85" s="104">
        <f t="shared" si="71"/>
        <v>0</v>
      </c>
      <c r="AZ85" s="104">
        <f t="shared" si="72"/>
        <v>0</v>
      </c>
      <c r="BA85" s="104">
        <f t="shared" si="73"/>
        <v>0</v>
      </c>
    </row>
    <row r="86" spans="1:53">
      <c r="A86" s="2">
        <v>77</v>
      </c>
      <c r="B86" s="277">
        <f t="shared" si="74"/>
        <v>0</v>
      </c>
      <c r="C86" s="277">
        <f t="shared" si="75"/>
        <v>0</v>
      </c>
      <c r="D86" s="277">
        <f t="shared" si="76"/>
        <v>0</v>
      </c>
      <c r="E86" s="22">
        <f t="shared" si="77"/>
        <v>0</v>
      </c>
      <c r="F86" s="160"/>
      <c r="G86" s="160"/>
      <c r="H86" s="160"/>
      <c r="I86" s="160"/>
      <c r="J86" s="75" t="str">
        <f>IFERROR(VLOOKUP(I86,'PAINT LABOR COSTS'!$B$59:$C$61,2,FALSE),"Pick Color")</f>
        <v>Pick Color</v>
      </c>
      <c r="K86" s="160"/>
      <c r="L86" s="198">
        <v>0</v>
      </c>
      <c r="M86" s="199">
        <v>0</v>
      </c>
      <c r="N86" s="198">
        <v>0</v>
      </c>
      <c r="O86" s="199">
        <v>0</v>
      </c>
      <c r="P86" s="160" t="s">
        <v>419</v>
      </c>
      <c r="Q86" s="160" t="s">
        <v>419</v>
      </c>
      <c r="R86" s="160" t="s">
        <v>419</v>
      </c>
      <c r="S86" s="160" t="s">
        <v>419</v>
      </c>
      <c r="T86" s="160" t="s">
        <v>419</v>
      </c>
      <c r="U86" s="160" t="s">
        <v>419</v>
      </c>
      <c r="V86" s="160" t="s">
        <v>419</v>
      </c>
      <c r="W86" s="160">
        <v>0</v>
      </c>
      <c r="X86" s="160" t="s">
        <v>419</v>
      </c>
      <c r="Y86" s="160">
        <v>0</v>
      </c>
      <c r="Z86" s="160" t="s">
        <v>419</v>
      </c>
      <c r="AB86" s="2">
        <f t="shared" si="51"/>
        <v>0</v>
      </c>
      <c r="AC86" s="277">
        <f t="shared" si="52"/>
        <v>0</v>
      </c>
      <c r="AD86" s="277">
        <f t="shared" si="53"/>
        <v>0</v>
      </c>
      <c r="AE86" s="234">
        <f t="shared" si="54"/>
        <v>0</v>
      </c>
      <c r="AF86" s="104">
        <f t="shared" si="55"/>
        <v>0</v>
      </c>
      <c r="AG86" s="279">
        <f t="shared" si="56"/>
        <v>0</v>
      </c>
      <c r="AH86" s="279">
        <f t="shared" si="57"/>
        <v>0</v>
      </c>
      <c r="AI86" s="104">
        <f t="shared" si="58"/>
        <v>0</v>
      </c>
      <c r="AJ86" s="104">
        <f t="shared" si="59"/>
        <v>0</v>
      </c>
      <c r="AK86" s="104">
        <f t="shared" si="60"/>
        <v>0</v>
      </c>
      <c r="AL86" s="104">
        <f t="shared" si="61"/>
        <v>0</v>
      </c>
      <c r="AM86" s="104">
        <f t="shared" si="62"/>
        <v>0</v>
      </c>
      <c r="AN86" s="104">
        <f t="shared" si="63"/>
        <v>0</v>
      </c>
      <c r="AO86" s="104">
        <f t="shared" si="64"/>
        <v>0</v>
      </c>
      <c r="AP86" s="181">
        <f>IF(I86="BB-CFPNT",VLOOKUP(I86,'PAINT LABOR COSTS'!$B$59:$M$61,12,0)*(AB86/144),0)</f>
        <v>0</v>
      </c>
      <c r="AQ86" s="181">
        <f t="shared" si="65"/>
        <v>0</v>
      </c>
      <c r="AR86" s="104">
        <f t="shared" si="66"/>
        <v>0</v>
      </c>
      <c r="AS86" s="104">
        <f t="shared" si="67"/>
        <v>0</v>
      </c>
      <c r="AT86" s="181" cm="1">
        <f t="array" ref="AT86">IF(P86="NO",0,IF(AND(N86&lt;49,$A$4="RETAIL"),'Comp Hardware'!$L$6,IF(AND(N86&gt;48,N86&lt;96,$A$4="RETAIL"),'Comp Hardware'!$L$7,IF(AND(N86&gt;=96,$A$4="RETAIL"),'Comp Hardware'!$L$8,IF(AND(N86&lt;49,$A$4="BLDR"),'Comp Hardware'!$M$6,IF(AND(N86&gt;48,N86&lt;96,$A$4="BLDR"),'Comp Hardware'!$M$7,IF(AND(N86&gt;=96,$A$4="BLDR"),'Comp Hardware'!$M$8,IF(AND(N86&lt;49,$A$4="WHOLE"),'Comp Hardware'!$N$6,IF(AND(N86&gt;48,N86&lt;96,$A$4="WHOLE"),'Comp Hardware'!$N$7,IF(AND(N86&gt;=96,$A$4="WHOLE"),'Comp Hardware'!$N$8,IF(AND(N86&lt;49,$A$4="LCR"),'Comp Hardware'!$N$6,IF(AND(N86&gt;48,N86&lt;96,$A$4="LCR"),'Comp Hardware'!$N$7,IF(AND(N86&gt;=96,$A$4="LCR"),'Comp Hardware'!$N$8,_xludf.na)))))))))))))*F86</f>
        <v>0</v>
      </c>
      <c r="AU86" s="181" cm="1">
        <f t="array" ref="AU86">IF(Q86="NO",0,IF(AND(N86&lt;49,$A$4="RETAIL"),'Comp Hardware'!$G$171,IF(AND(N86&gt;48,N86&lt;96,$A$4="RETAIL"),'Comp Hardware'!$G$171*1.5,IF(AND(N86&gt;=96,$A$4="RETAIL"),'Comp Hardware'!$G$171*2,IF(AND(N86&lt;49,$A$4="BLDR"),'Comp Hardware'!$H$171,IF(AND(N86&gt;48,N86&lt;96,$A$4="BLDR"),'Comp Hardware'!$H$171*1.5,IF(AND(N86&gt;=96,$A$4="BLDR"),'Comp Hardware'!$H$171*2,IF(AND(N86&lt;49,$A$4="WHOLE"),'Comp Hardware'!$I$171,IF(AND(N86&gt;48,N86&lt;96,$A$4="WHOLE"),'Comp Hardware'!$I$171*1.5,IF(AND(N86&gt;=96,$A$4="WHOLE"),'Comp Hardware'!$I$171*2,IF(AND(N86&lt;49,$A$4="LCR"),'Comp Hardware'!$I$171,IF(AND(N86&gt;48,N86&lt;96,$A$4="LCR"),'Comp Hardware'!$I$171*1.5,IF(AND(N86&gt;=96,$A$4="LCR"),'Comp Hardware'!$I$171*2,_xludf.na)))))))))))))*F86</f>
        <v>0</v>
      </c>
      <c r="AV86" s="104">
        <f t="shared" si="68"/>
        <v>0</v>
      </c>
      <c r="AW86" s="104">
        <f t="shared" si="69"/>
        <v>0</v>
      </c>
      <c r="AX86" s="104">
        <f t="shared" si="70"/>
        <v>0</v>
      </c>
      <c r="AY86" s="104">
        <f t="shared" si="71"/>
        <v>0</v>
      </c>
      <c r="AZ86" s="104">
        <f t="shared" si="72"/>
        <v>0</v>
      </c>
      <c r="BA86" s="104">
        <f t="shared" si="73"/>
        <v>0</v>
      </c>
    </row>
    <row r="87" spans="1:53">
      <c r="A87" s="2">
        <v>78</v>
      </c>
      <c r="B87" s="277">
        <f t="shared" si="74"/>
        <v>0</v>
      </c>
      <c r="C87" s="277">
        <f t="shared" si="75"/>
        <v>0</v>
      </c>
      <c r="D87" s="277">
        <f t="shared" si="76"/>
        <v>0</v>
      </c>
      <c r="E87" s="22">
        <f t="shared" si="77"/>
        <v>0</v>
      </c>
      <c r="F87" s="160"/>
      <c r="G87" s="160"/>
      <c r="H87" s="160"/>
      <c r="I87" s="160"/>
      <c r="J87" s="75" t="str">
        <f>IFERROR(VLOOKUP(I87,'PAINT LABOR COSTS'!$B$59:$C$61,2,FALSE),"Pick Color")</f>
        <v>Pick Color</v>
      </c>
      <c r="K87" s="160"/>
      <c r="L87" s="198">
        <v>0</v>
      </c>
      <c r="M87" s="199">
        <v>0</v>
      </c>
      <c r="N87" s="198">
        <v>0</v>
      </c>
      <c r="O87" s="199">
        <v>0</v>
      </c>
      <c r="P87" s="160" t="s">
        <v>419</v>
      </c>
      <c r="Q87" s="160" t="s">
        <v>419</v>
      </c>
      <c r="R87" s="160" t="s">
        <v>419</v>
      </c>
      <c r="S87" s="160" t="s">
        <v>419</v>
      </c>
      <c r="T87" s="160" t="s">
        <v>419</v>
      </c>
      <c r="U87" s="160" t="s">
        <v>419</v>
      </c>
      <c r="V87" s="160" t="s">
        <v>419</v>
      </c>
      <c r="W87" s="160">
        <v>0</v>
      </c>
      <c r="X87" s="160" t="s">
        <v>419</v>
      </c>
      <c r="Y87" s="160">
        <v>0</v>
      </c>
      <c r="Z87" s="160" t="s">
        <v>419</v>
      </c>
      <c r="AB87" s="2">
        <f t="shared" si="51"/>
        <v>0</v>
      </c>
      <c r="AC87" s="277">
        <f t="shared" si="52"/>
        <v>0</v>
      </c>
      <c r="AD87" s="277">
        <f t="shared" si="53"/>
        <v>0</v>
      </c>
      <c r="AE87" s="234">
        <f t="shared" si="54"/>
        <v>0</v>
      </c>
      <c r="AF87" s="104">
        <f t="shared" si="55"/>
        <v>0</v>
      </c>
      <c r="AG87" s="279">
        <f t="shared" si="56"/>
        <v>0</v>
      </c>
      <c r="AH87" s="279">
        <f t="shared" si="57"/>
        <v>0</v>
      </c>
      <c r="AI87" s="104">
        <f t="shared" si="58"/>
        <v>0</v>
      </c>
      <c r="AJ87" s="104">
        <f t="shared" si="59"/>
        <v>0</v>
      </c>
      <c r="AK87" s="104">
        <f t="shared" si="60"/>
        <v>0</v>
      </c>
      <c r="AL87" s="104">
        <f t="shared" si="61"/>
        <v>0</v>
      </c>
      <c r="AM87" s="104">
        <f t="shared" si="62"/>
        <v>0</v>
      </c>
      <c r="AN87" s="104">
        <f t="shared" si="63"/>
        <v>0</v>
      </c>
      <c r="AO87" s="104">
        <f t="shared" si="64"/>
        <v>0</v>
      </c>
      <c r="AP87" s="181">
        <f>IF(I87="BB-CFPNT",VLOOKUP(I87,'PAINT LABOR COSTS'!$B$59:$M$61,12,0)*(AB87/144),0)</f>
        <v>0</v>
      </c>
      <c r="AQ87" s="181">
        <f t="shared" si="65"/>
        <v>0</v>
      </c>
      <c r="AR87" s="104">
        <f t="shared" si="66"/>
        <v>0</v>
      </c>
      <c r="AS87" s="104">
        <f t="shared" si="67"/>
        <v>0</v>
      </c>
      <c r="AT87" s="181" cm="1">
        <f t="array" ref="AT87">IF(P87="NO",0,IF(AND(N87&lt;49,$A$4="RETAIL"),'Comp Hardware'!$L$6,IF(AND(N87&gt;48,N87&lt;96,$A$4="RETAIL"),'Comp Hardware'!$L$7,IF(AND(N87&gt;=96,$A$4="RETAIL"),'Comp Hardware'!$L$8,IF(AND(N87&lt;49,$A$4="BLDR"),'Comp Hardware'!$M$6,IF(AND(N87&gt;48,N87&lt;96,$A$4="BLDR"),'Comp Hardware'!$M$7,IF(AND(N87&gt;=96,$A$4="BLDR"),'Comp Hardware'!$M$8,IF(AND(N87&lt;49,$A$4="WHOLE"),'Comp Hardware'!$N$6,IF(AND(N87&gt;48,N87&lt;96,$A$4="WHOLE"),'Comp Hardware'!$N$7,IF(AND(N87&gt;=96,$A$4="WHOLE"),'Comp Hardware'!$N$8,IF(AND(N87&lt;49,$A$4="LCR"),'Comp Hardware'!$N$6,IF(AND(N87&gt;48,N87&lt;96,$A$4="LCR"),'Comp Hardware'!$N$7,IF(AND(N87&gt;=96,$A$4="LCR"),'Comp Hardware'!$N$8,_xludf.na)))))))))))))*F87</f>
        <v>0</v>
      </c>
      <c r="AU87" s="181" cm="1">
        <f t="array" ref="AU87">IF(Q87="NO",0,IF(AND(N87&lt;49,$A$4="RETAIL"),'Comp Hardware'!$G$171,IF(AND(N87&gt;48,N87&lt;96,$A$4="RETAIL"),'Comp Hardware'!$G$171*1.5,IF(AND(N87&gt;=96,$A$4="RETAIL"),'Comp Hardware'!$G$171*2,IF(AND(N87&lt;49,$A$4="BLDR"),'Comp Hardware'!$H$171,IF(AND(N87&gt;48,N87&lt;96,$A$4="BLDR"),'Comp Hardware'!$H$171*1.5,IF(AND(N87&gt;=96,$A$4="BLDR"),'Comp Hardware'!$H$171*2,IF(AND(N87&lt;49,$A$4="WHOLE"),'Comp Hardware'!$I$171,IF(AND(N87&gt;48,N87&lt;96,$A$4="WHOLE"),'Comp Hardware'!$I$171*1.5,IF(AND(N87&gt;=96,$A$4="WHOLE"),'Comp Hardware'!$I$171*2,IF(AND(N87&lt;49,$A$4="LCR"),'Comp Hardware'!$I$171,IF(AND(N87&gt;48,N87&lt;96,$A$4="LCR"),'Comp Hardware'!$I$171*1.5,IF(AND(N87&gt;=96,$A$4="LCR"),'Comp Hardware'!$I$171*2,_xludf.na)))))))))))))*F87</f>
        <v>0</v>
      </c>
      <c r="AV87" s="104">
        <f t="shared" si="68"/>
        <v>0</v>
      </c>
      <c r="AW87" s="104">
        <f t="shared" si="69"/>
        <v>0</v>
      </c>
      <c r="AX87" s="104">
        <f t="shared" si="70"/>
        <v>0</v>
      </c>
      <c r="AY87" s="104">
        <f t="shared" si="71"/>
        <v>0</v>
      </c>
      <c r="AZ87" s="104">
        <f t="shared" si="72"/>
        <v>0</v>
      </c>
      <c r="BA87" s="104">
        <f t="shared" si="73"/>
        <v>0</v>
      </c>
    </row>
    <row r="88" spans="1:53">
      <c r="A88" s="2">
        <v>79</v>
      </c>
      <c r="B88" s="277">
        <f t="shared" si="74"/>
        <v>0</v>
      </c>
      <c r="C88" s="277">
        <f t="shared" si="75"/>
        <v>0</v>
      </c>
      <c r="D88" s="277">
        <f t="shared" si="76"/>
        <v>0</v>
      </c>
      <c r="E88" s="22">
        <f t="shared" si="77"/>
        <v>0</v>
      </c>
      <c r="F88" s="160"/>
      <c r="G88" s="160"/>
      <c r="H88" s="160"/>
      <c r="I88" s="160"/>
      <c r="J88" s="75" t="str">
        <f>IFERROR(VLOOKUP(I88,'PAINT LABOR COSTS'!$B$59:$C$61,2,FALSE),"Pick Color")</f>
        <v>Pick Color</v>
      </c>
      <c r="K88" s="160"/>
      <c r="L88" s="198">
        <v>0</v>
      </c>
      <c r="M88" s="199">
        <v>0</v>
      </c>
      <c r="N88" s="198">
        <v>0</v>
      </c>
      <c r="O88" s="199">
        <v>0</v>
      </c>
      <c r="P88" s="160" t="s">
        <v>419</v>
      </c>
      <c r="Q88" s="160" t="s">
        <v>419</v>
      </c>
      <c r="R88" s="160" t="s">
        <v>419</v>
      </c>
      <c r="S88" s="160" t="s">
        <v>419</v>
      </c>
      <c r="T88" s="160" t="s">
        <v>419</v>
      </c>
      <c r="U88" s="160" t="s">
        <v>419</v>
      </c>
      <c r="V88" s="160" t="s">
        <v>419</v>
      </c>
      <c r="W88" s="160">
        <v>0</v>
      </c>
      <c r="X88" s="160" t="s">
        <v>419</v>
      </c>
      <c r="Y88" s="160">
        <v>0</v>
      </c>
      <c r="Z88" s="160" t="s">
        <v>419</v>
      </c>
      <c r="AB88" s="2">
        <f t="shared" si="51"/>
        <v>0</v>
      </c>
      <c r="AC88" s="277">
        <f t="shared" si="52"/>
        <v>0</v>
      </c>
      <c r="AD88" s="277">
        <f t="shared" si="53"/>
        <v>0</v>
      </c>
      <c r="AE88" s="234">
        <f t="shared" si="54"/>
        <v>0</v>
      </c>
      <c r="AF88" s="104">
        <f t="shared" si="55"/>
        <v>0</v>
      </c>
      <c r="AG88" s="279">
        <f t="shared" si="56"/>
        <v>0</v>
      </c>
      <c r="AH88" s="279">
        <f t="shared" si="57"/>
        <v>0</v>
      </c>
      <c r="AI88" s="104">
        <f t="shared" si="58"/>
        <v>0</v>
      </c>
      <c r="AJ88" s="104">
        <f t="shared" si="59"/>
        <v>0</v>
      </c>
      <c r="AK88" s="104">
        <f t="shared" si="60"/>
        <v>0</v>
      </c>
      <c r="AL88" s="104">
        <f t="shared" si="61"/>
        <v>0</v>
      </c>
      <c r="AM88" s="104">
        <f t="shared" si="62"/>
        <v>0</v>
      </c>
      <c r="AN88" s="104">
        <f t="shared" si="63"/>
        <v>0</v>
      </c>
      <c r="AO88" s="104">
        <f t="shared" si="64"/>
        <v>0</v>
      </c>
      <c r="AP88" s="181">
        <f>IF(I88="BB-CFPNT",VLOOKUP(I88,'PAINT LABOR COSTS'!$B$59:$M$61,12,0)*(AB88/144),0)</f>
        <v>0</v>
      </c>
      <c r="AQ88" s="181">
        <f t="shared" si="65"/>
        <v>0</v>
      </c>
      <c r="AR88" s="104">
        <f t="shared" si="66"/>
        <v>0</v>
      </c>
      <c r="AS88" s="104">
        <f t="shared" si="67"/>
        <v>0</v>
      </c>
      <c r="AT88" s="181" cm="1">
        <f t="array" ref="AT88">IF(P88="NO",0,IF(AND(N88&lt;49,$A$4="RETAIL"),'Comp Hardware'!$L$6,IF(AND(N88&gt;48,N88&lt;96,$A$4="RETAIL"),'Comp Hardware'!$L$7,IF(AND(N88&gt;=96,$A$4="RETAIL"),'Comp Hardware'!$L$8,IF(AND(N88&lt;49,$A$4="BLDR"),'Comp Hardware'!$M$6,IF(AND(N88&gt;48,N88&lt;96,$A$4="BLDR"),'Comp Hardware'!$M$7,IF(AND(N88&gt;=96,$A$4="BLDR"),'Comp Hardware'!$M$8,IF(AND(N88&lt;49,$A$4="WHOLE"),'Comp Hardware'!$N$6,IF(AND(N88&gt;48,N88&lt;96,$A$4="WHOLE"),'Comp Hardware'!$N$7,IF(AND(N88&gt;=96,$A$4="WHOLE"),'Comp Hardware'!$N$8,IF(AND(N88&lt;49,$A$4="LCR"),'Comp Hardware'!$N$6,IF(AND(N88&gt;48,N88&lt;96,$A$4="LCR"),'Comp Hardware'!$N$7,IF(AND(N88&gt;=96,$A$4="LCR"),'Comp Hardware'!$N$8,_xludf.na)))))))))))))*F88</f>
        <v>0</v>
      </c>
      <c r="AU88" s="181" cm="1">
        <f t="array" ref="AU88">IF(Q88="NO",0,IF(AND(N88&lt;49,$A$4="RETAIL"),'Comp Hardware'!$G$171,IF(AND(N88&gt;48,N88&lt;96,$A$4="RETAIL"),'Comp Hardware'!$G$171*1.5,IF(AND(N88&gt;=96,$A$4="RETAIL"),'Comp Hardware'!$G$171*2,IF(AND(N88&lt;49,$A$4="BLDR"),'Comp Hardware'!$H$171,IF(AND(N88&gt;48,N88&lt;96,$A$4="BLDR"),'Comp Hardware'!$H$171*1.5,IF(AND(N88&gt;=96,$A$4="BLDR"),'Comp Hardware'!$H$171*2,IF(AND(N88&lt;49,$A$4="WHOLE"),'Comp Hardware'!$I$171,IF(AND(N88&gt;48,N88&lt;96,$A$4="WHOLE"),'Comp Hardware'!$I$171*1.5,IF(AND(N88&gt;=96,$A$4="WHOLE"),'Comp Hardware'!$I$171*2,IF(AND(N88&lt;49,$A$4="LCR"),'Comp Hardware'!$I$171,IF(AND(N88&gt;48,N88&lt;96,$A$4="LCR"),'Comp Hardware'!$I$171*1.5,IF(AND(N88&gt;=96,$A$4="LCR"),'Comp Hardware'!$I$171*2,_xludf.na)))))))))))))*F88</f>
        <v>0</v>
      </c>
      <c r="AV88" s="104">
        <f t="shared" si="68"/>
        <v>0</v>
      </c>
      <c r="AW88" s="104">
        <f t="shared" si="69"/>
        <v>0</v>
      </c>
      <c r="AX88" s="104">
        <f t="shared" si="70"/>
        <v>0</v>
      </c>
      <c r="AY88" s="104">
        <f t="shared" si="71"/>
        <v>0</v>
      </c>
      <c r="AZ88" s="104">
        <f t="shared" si="72"/>
        <v>0</v>
      </c>
      <c r="BA88" s="104">
        <f t="shared" si="73"/>
        <v>0</v>
      </c>
    </row>
    <row r="89" spans="1:53">
      <c r="A89" s="2">
        <v>80</v>
      </c>
      <c r="B89" s="277">
        <f t="shared" si="74"/>
        <v>0</v>
      </c>
      <c r="C89" s="277">
        <f t="shared" si="75"/>
        <v>0</v>
      </c>
      <c r="D89" s="277">
        <f t="shared" si="76"/>
        <v>0</v>
      </c>
      <c r="E89" s="22">
        <f t="shared" si="77"/>
        <v>0</v>
      </c>
      <c r="F89" s="160"/>
      <c r="G89" s="160"/>
      <c r="H89" s="160"/>
      <c r="I89" s="160"/>
      <c r="J89" s="75" t="str">
        <f>IFERROR(VLOOKUP(I89,'PAINT LABOR COSTS'!$B$59:$C$61,2,FALSE),"Pick Color")</f>
        <v>Pick Color</v>
      </c>
      <c r="K89" s="160"/>
      <c r="L89" s="198">
        <v>0</v>
      </c>
      <c r="M89" s="199">
        <v>0</v>
      </c>
      <c r="N89" s="198">
        <v>0</v>
      </c>
      <c r="O89" s="199">
        <v>0</v>
      </c>
      <c r="P89" s="160" t="s">
        <v>419</v>
      </c>
      <c r="Q89" s="160" t="s">
        <v>419</v>
      </c>
      <c r="R89" s="160" t="s">
        <v>419</v>
      </c>
      <c r="S89" s="160" t="s">
        <v>419</v>
      </c>
      <c r="T89" s="160" t="s">
        <v>419</v>
      </c>
      <c r="U89" s="160" t="s">
        <v>419</v>
      </c>
      <c r="V89" s="160" t="s">
        <v>419</v>
      </c>
      <c r="W89" s="160">
        <v>0</v>
      </c>
      <c r="X89" s="160" t="s">
        <v>419</v>
      </c>
      <c r="Y89" s="160">
        <v>0</v>
      </c>
      <c r="Z89" s="160" t="s">
        <v>419</v>
      </c>
      <c r="AB89" s="2">
        <f t="shared" si="51"/>
        <v>0</v>
      </c>
      <c r="AC89" s="277">
        <f t="shared" si="52"/>
        <v>0</v>
      </c>
      <c r="AD89" s="277">
        <f t="shared" si="53"/>
        <v>0</v>
      </c>
      <c r="AE89" s="234">
        <f t="shared" si="54"/>
        <v>0</v>
      </c>
      <c r="AF89" s="104">
        <f t="shared" si="55"/>
        <v>0</v>
      </c>
      <c r="AG89" s="279">
        <f t="shared" si="56"/>
        <v>0</v>
      </c>
      <c r="AH89" s="279">
        <f t="shared" si="57"/>
        <v>0</v>
      </c>
      <c r="AI89" s="104">
        <f t="shared" si="58"/>
        <v>0</v>
      </c>
      <c r="AJ89" s="104">
        <f t="shared" si="59"/>
        <v>0</v>
      </c>
      <c r="AK89" s="104">
        <f t="shared" si="60"/>
        <v>0</v>
      </c>
      <c r="AL89" s="104">
        <f t="shared" si="61"/>
        <v>0</v>
      </c>
      <c r="AM89" s="104">
        <f t="shared" si="62"/>
        <v>0</v>
      </c>
      <c r="AN89" s="104">
        <f t="shared" si="63"/>
        <v>0</v>
      </c>
      <c r="AO89" s="104">
        <f t="shared" si="64"/>
        <v>0</v>
      </c>
      <c r="AP89" s="181">
        <f>IF(I89="BB-CFPNT",VLOOKUP(I89,'PAINT LABOR COSTS'!$B$59:$M$61,12,0)*(AB89/144),0)</f>
        <v>0</v>
      </c>
      <c r="AQ89" s="181">
        <f t="shared" si="65"/>
        <v>0</v>
      </c>
      <c r="AR89" s="104">
        <f t="shared" si="66"/>
        <v>0</v>
      </c>
      <c r="AS89" s="104">
        <f t="shared" si="67"/>
        <v>0</v>
      </c>
      <c r="AT89" s="181" cm="1">
        <f t="array" ref="AT89">IF(P89="NO",0,IF(AND(N89&lt;49,$A$4="RETAIL"),'Comp Hardware'!$L$6,IF(AND(N89&gt;48,N89&lt;96,$A$4="RETAIL"),'Comp Hardware'!$L$7,IF(AND(N89&gt;=96,$A$4="RETAIL"),'Comp Hardware'!$L$8,IF(AND(N89&lt;49,$A$4="BLDR"),'Comp Hardware'!$M$6,IF(AND(N89&gt;48,N89&lt;96,$A$4="BLDR"),'Comp Hardware'!$M$7,IF(AND(N89&gt;=96,$A$4="BLDR"),'Comp Hardware'!$M$8,IF(AND(N89&lt;49,$A$4="WHOLE"),'Comp Hardware'!$N$6,IF(AND(N89&gt;48,N89&lt;96,$A$4="WHOLE"),'Comp Hardware'!$N$7,IF(AND(N89&gt;=96,$A$4="WHOLE"),'Comp Hardware'!$N$8,IF(AND(N89&lt;49,$A$4="LCR"),'Comp Hardware'!$N$6,IF(AND(N89&gt;48,N89&lt;96,$A$4="LCR"),'Comp Hardware'!$N$7,IF(AND(N89&gt;=96,$A$4="LCR"),'Comp Hardware'!$N$8,_xludf.na)))))))))))))*F89</f>
        <v>0</v>
      </c>
      <c r="AU89" s="181" cm="1">
        <f t="array" ref="AU89">IF(Q89="NO",0,IF(AND(N89&lt;49,$A$4="RETAIL"),'Comp Hardware'!$G$171,IF(AND(N89&gt;48,N89&lt;96,$A$4="RETAIL"),'Comp Hardware'!$G$171*1.5,IF(AND(N89&gt;=96,$A$4="RETAIL"),'Comp Hardware'!$G$171*2,IF(AND(N89&lt;49,$A$4="BLDR"),'Comp Hardware'!$H$171,IF(AND(N89&gt;48,N89&lt;96,$A$4="BLDR"),'Comp Hardware'!$H$171*1.5,IF(AND(N89&gt;=96,$A$4="BLDR"),'Comp Hardware'!$H$171*2,IF(AND(N89&lt;49,$A$4="WHOLE"),'Comp Hardware'!$I$171,IF(AND(N89&gt;48,N89&lt;96,$A$4="WHOLE"),'Comp Hardware'!$I$171*1.5,IF(AND(N89&gt;=96,$A$4="WHOLE"),'Comp Hardware'!$I$171*2,IF(AND(N89&lt;49,$A$4="LCR"),'Comp Hardware'!$I$171,IF(AND(N89&gt;48,N89&lt;96,$A$4="LCR"),'Comp Hardware'!$I$171*1.5,IF(AND(N89&gt;=96,$A$4="LCR"),'Comp Hardware'!$I$171*2,_xludf.na)))))))))))))*F89</f>
        <v>0</v>
      </c>
      <c r="AV89" s="104">
        <f t="shared" si="68"/>
        <v>0</v>
      </c>
      <c r="AW89" s="104">
        <f t="shared" si="69"/>
        <v>0</v>
      </c>
      <c r="AX89" s="104">
        <f t="shared" si="70"/>
        <v>0</v>
      </c>
      <c r="AY89" s="104">
        <f t="shared" si="71"/>
        <v>0</v>
      </c>
      <c r="AZ89" s="104">
        <f t="shared" si="72"/>
        <v>0</v>
      </c>
      <c r="BA89" s="104">
        <f t="shared" si="73"/>
        <v>0</v>
      </c>
    </row>
    <row r="90" spans="1:53">
      <c r="A90" s="2">
        <v>81</v>
      </c>
      <c r="B90" s="277">
        <f t="shared" si="74"/>
        <v>0</v>
      </c>
      <c r="C90" s="277">
        <f t="shared" si="75"/>
        <v>0</v>
      </c>
      <c r="D90" s="277">
        <f t="shared" si="76"/>
        <v>0</v>
      </c>
      <c r="E90" s="22">
        <f t="shared" si="77"/>
        <v>0</v>
      </c>
      <c r="F90" s="160"/>
      <c r="G90" s="160"/>
      <c r="H90" s="160"/>
      <c r="I90" s="160"/>
      <c r="J90" s="75" t="str">
        <f>IFERROR(VLOOKUP(I90,'PAINT LABOR COSTS'!$B$59:$C$61,2,FALSE),"Pick Color")</f>
        <v>Pick Color</v>
      </c>
      <c r="K90" s="160"/>
      <c r="L90" s="198">
        <v>0</v>
      </c>
      <c r="M90" s="199">
        <v>0</v>
      </c>
      <c r="N90" s="198">
        <v>0</v>
      </c>
      <c r="O90" s="199">
        <v>0</v>
      </c>
      <c r="P90" s="160" t="s">
        <v>419</v>
      </c>
      <c r="Q90" s="160" t="s">
        <v>419</v>
      </c>
      <c r="R90" s="160" t="s">
        <v>419</v>
      </c>
      <c r="S90" s="160" t="s">
        <v>419</v>
      </c>
      <c r="T90" s="160" t="s">
        <v>419</v>
      </c>
      <c r="U90" s="160" t="s">
        <v>419</v>
      </c>
      <c r="V90" s="160" t="s">
        <v>419</v>
      </c>
      <c r="W90" s="160">
        <v>0</v>
      </c>
      <c r="X90" s="160" t="s">
        <v>419</v>
      </c>
      <c r="Y90" s="160">
        <v>0</v>
      </c>
      <c r="Z90" s="160" t="s">
        <v>419</v>
      </c>
      <c r="AB90" s="2">
        <f t="shared" si="51"/>
        <v>0</v>
      </c>
      <c r="AC90" s="277">
        <f t="shared" si="52"/>
        <v>0</v>
      </c>
      <c r="AD90" s="277">
        <f t="shared" si="53"/>
        <v>0</v>
      </c>
      <c r="AE90" s="234">
        <f t="shared" si="54"/>
        <v>0</v>
      </c>
      <c r="AF90" s="104">
        <f t="shared" si="55"/>
        <v>0</v>
      </c>
      <c r="AG90" s="279">
        <f t="shared" si="56"/>
        <v>0</v>
      </c>
      <c r="AH90" s="279">
        <f t="shared" si="57"/>
        <v>0</v>
      </c>
      <c r="AI90" s="104">
        <f t="shared" si="58"/>
        <v>0</v>
      </c>
      <c r="AJ90" s="104">
        <f t="shared" si="59"/>
        <v>0</v>
      </c>
      <c r="AK90" s="104">
        <f t="shared" si="60"/>
        <v>0</v>
      </c>
      <c r="AL90" s="104">
        <f t="shared" si="61"/>
        <v>0</v>
      </c>
      <c r="AM90" s="104">
        <f t="shared" si="62"/>
        <v>0</v>
      </c>
      <c r="AN90" s="104">
        <f t="shared" si="63"/>
        <v>0</v>
      </c>
      <c r="AO90" s="104">
        <f t="shared" si="64"/>
        <v>0</v>
      </c>
      <c r="AP90" s="181">
        <f>IF(I90="BB-CFPNT",VLOOKUP(I90,'PAINT LABOR COSTS'!$B$59:$M$61,12,0)*(AB90/144),0)</f>
        <v>0</v>
      </c>
      <c r="AQ90" s="181">
        <f t="shared" si="65"/>
        <v>0</v>
      </c>
      <c r="AR90" s="104">
        <f t="shared" si="66"/>
        <v>0</v>
      </c>
      <c r="AS90" s="104">
        <f t="shared" si="67"/>
        <v>0</v>
      </c>
      <c r="AT90" s="181" cm="1">
        <f t="array" ref="AT90">IF(P90="NO",0,IF(AND(N90&lt;49,$A$4="RETAIL"),'Comp Hardware'!$L$6,IF(AND(N90&gt;48,N90&lt;96,$A$4="RETAIL"),'Comp Hardware'!$L$7,IF(AND(N90&gt;=96,$A$4="RETAIL"),'Comp Hardware'!$L$8,IF(AND(N90&lt;49,$A$4="BLDR"),'Comp Hardware'!$M$6,IF(AND(N90&gt;48,N90&lt;96,$A$4="BLDR"),'Comp Hardware'!$M$7,IF(AND(N90&gt;=96,$A$4="BLDR"),'Comp Hardware'!$M$8,IF(AND(N90&lt;49,$A$4="WHOLE"),'Comp Hardware'!$N$6,IF(AND(N90&gt;48,N90&lt;96,$A$4="WHOLE"),'Comp Hardware'!$N$7,IF(AND(N90&gt;=96,$A$4="WHOLE"),'Comp Hardware'!$N$8,IF(AND(N90&lt;49,$A$4="LCR"),'Comp Hardware'!$N$6,IF(AND(N90&gt;48,N90&lt;96,$A$4="LCR"),'Comp Hardware'!$N$7,IF(AND(N90&gt;=96,$A$4="LCR"),'Comp Hardware'!$N$8,_xludf.na)))))))))))))*F90</f>
        <v>0</v>
      </c>
      <c r="AU90" s="181" cm="1">
        <f t="array" ref="AU90">IF(Q90="NO",0,IF(AND(N90&lt;49,$A$4="RETAIL"),'Comp Hardware'!$G$171,IF(AND(N90&gt;48,N90&lt;96,$A$4="RETAIL"),'Comp Hardware'!$G$171*1.5,IF(AND(N90&gt;=96,$A$4="RETAIL"),'Comp Hardware'!$G$171*2,IF(AND(N90&lt;49,$A$4="BLDR"),'Comp Hardware'!$H$171,IF(AND(N90&gt;48,N90&lt;96,$A$4="BLDR"),'Comp Hardware'!$H$171*1.5,IF(AND(N90&gt;=96,$A$4="BLDR"),'Comp Hardware'!$H$171*2,IF(AND(N90&lt;49,$A$4="WHOLE"),'Comp Hardware'!$I$171,IF(AND(N90&gt;48,N90&lt;96,$A$4="WHOLE"),'Comp Hardware'!$I$171*1.5,IF(AND(N90&gt;=96,$A$4="WHOLE"),'Comp Hardware'!$I$171*2,IF(AND(N90&lt;49,$A$4="LCR"),'Comp Hardware'!$I$171,IF(AND(N90&gt;48,N90&lt;96,$A$4="LCR"),'Comp Hardware'!$I$171*1.5,IF(AND(N90&gt;=96,$A$4="LCR"),'Comp Hardware'!$I$171*2,_xludf.na)))))))))))))*F90</f>
        <v>0</v>
      </c>
      <c r="AV90" s="104">
        <f t="shared" si="68"/>
        <v>0</v>
      </c>
      <c r="AW90" s="104">
        <f t="shared" si="69"/>
        <v>0</v>
      </c>
      <c r="AX90" s="104">
        <f t="shared" si="70"/>
        <v>0</v>
      </c>
      <c r="AY90" s="104">
        <f t="shared" si="71"/>
        <v>0</v>
      </c>
      <c r="AZ90" s="104">
        <f t="shared" si="72"/>
        <v>0</v>
      </c>
      <c r="BA90" s="104">
        <f t="shared" si="73"/>
        <v>0</v>
      </c>
    </row>
    <row r="91" spans="1:53">
      <c r="A91" s="2">
        <v>82</v>
      </c>
      <c r="B91" s="277">
        <f t="shared" si="74"/>
        <v>0</v>
      </c>
      <c r="C91" s="277">
        <f t="shared" si="75"/>
        <v>0</v>
      </c>
      <c r="D91" s="277">
        <f t="shared" si="76"/>
        <v>0</v>
      </c>
      <c r="E91" s="22">
        <f t="shared" si="77"/>
        <v>0</v>
      </c>
      <c r="F91" s="160"/>
      <c r="G91" s="160"/>
      <c r="H91" s="160"/>
      <c r="I91" s="160"/>
      <c r="J91" s="75" t="str">
        <f>IFERROR(VLOOKUP(I91,'PAINT LABOR COSTS'!$B$59:$C$61,2,FALSE),"Pick Color")</f>
        <v>Pick Color</v>
      </c>
      <c r="K91" s="160"/>
      <c r="L91" s="198">
        <v>0</v>
      </c>
      <c r="M91" s="199">
        <v>0</v>
      </c>
      <c r="N91" s="198">
        <v>0</v>
      </c>
      <c r="O91" s="199">
        <v>0</v>
      </c>
      <c r="P91" s="160" t="s">
        <v>419</v>
      </c>
      <c r="Q91" s="160" t="s">
        <v>419</v>
      </c>
      <c r="R91" s="160" t="s">
        <v>419</v>
      </c>
      <c r="S91" s="160" t="s">
        <v>419</v>
      </c>
      <c r="T91" s="160" t="s">
        <v>419</v>
      </c>
      <c r="U91" s="160" t="s">
        <v>419</v>
      </c>
      <c r="V91" s="160" t="s">
        <v>419</v>
      </c>
      <c r="W91" s="160">
        <v>0</v>
      </c>
      <c r="X91" s="160" t="s">
        <v>419</v>
      </c>
      <c r="Y91" s="160">
        <v>0</v>
      </c>
      <c r="Z91" s="160" t="s">
        <v>419</v>
      </c>
      <c r="AB91" s="2">
        <f t="shared" si="51"/>
        <v>0</v>
      </c>
      <c r="AC91" s="277">
        <f t="shared" si="52"/>
        <v>0</v>
      </c>
      <c r="AD91" s="277">
        <f t="shared" si="53"/>
        <v>0</v>
      </c>
      <c r="AE91" s="234">
        <f t="shared" si="54"/>
        <v>0</v>
      </c>
      <c r="AF91" s="104">
        <f t="shared" si="55"/>
        <v>0</v>
      </c>
      <c r="AG91" s="279">
        <f t="shared" si="56"/>
        <v>0</v>
      </c>
      <c r="AH91" s="279">
        <f t="shared" si="57"/>
        <v>0</v>
      </c>
      <c r="AI91" s="104">
        <f t="shared" si="58"/>
        <v>0</v>
      </c>
      <c r="AJ91" s="104">
        <f t="shared" si="59"/>
        <v>0</v>
      </c>
      <c r="AK91" s="104">
        <f t="shared" si="60"/>
        <v>0</v>
      </c>
      <c r="AL91" s="104">
        <f t="shared" si="61"/>
        <v>0</v>
      </c>
      <c r="AM91" s="104">
        <f t="shared" si="62"/>
        <v>0</v>
      </c>
      <c r="AN91" s="104">
        <f t="shared" si="63"/>
        <v>0</v>
      </c>
      <c r="AO91" s="104">
        <f t="shared" si="64"/>
        <v>0</v>
      </c>
      <c r="AP91" s="181">
        <f>IF(I91="BB-CFPNT",VLOOKUP(I91,'PAINT LABOR COSTS'!$B$59:$M$61,12,0)*(AB91/144),0)</f>
        <v>0</v>
      </c>
      <c r="AQ91" s="181">
        <f t="shared" si="65"/>
        <v>0</v>
      </c>
      <c r="AR91" s="104">
        <f t="shared" si="66"/>
        <v>0</v>
      </c>
      <c r="AS91" s="104">
        <f t="shared" si="67"/>
        <v>0</v>
      </c>
      <c r="AT91" s="181" cm="1">
        <f t="array" ref="AT91">IF(P91="NO",0,IF(AND(N91&lt;49,$A$4="RETAIL"),'Comp Hardware'!$L$6,IF(AND(N91&gt;48,N91&lt;96,$A$4="RETAIL"),'Comp Hardware'!$L$7,IF(AND(N91&gt;=96,$A$4="RETAIL"),'Comp Hardware'!$L$8,IF(AND(N91&lt;49,$A$4="BLDR"),'Comp Hardware'!$M$6,IF(AND(N91&gt;48,N91&lt;96,$A$4="BLDR"),'Comp Hardware'!$M$7,IF(AND(N91&gt;=96,$A$4="BLDR"),'Comp Hardware'!$M$8,IF(AND(N91&lt;49,$A$4="WHOLE"),'Comp Hardware'!$N$6,IF(AND(N91&gt;48,N91&lt;96,$A$4="WHOLE"),'Comp Hardware'!$N$7,IF(AND(N91&gt;=96,$A$4="WHOLE"),'Comp Hardware'!$N$8,IF(AND(N91&lt;49,$A$4="LCR"),'Comp Hardware'!$N$6,IF(AND(N91&gt;48,N91&lt;96,$A$4="LCR"),'Comp Hardware'!$N$7,IF(AND(N91&gt;=96,$A$4="LCR"),'Comp Hardware'!$N$8,_xludf.na)))))))))))))*F91</f>
        <v>0</v>
      </c>
      <c r="AU91" s="181" cm="1">
        <f t="array" ref="AU91">IF(Q91="NO",0,IF(AND(N91&lt;49,$A$4="RETAIL"),'Comp Hardware'!$G$171,IF(AND(N91&gt;48,N91&lt;96,$A$4="RETAIL"),'Comp Hardware'!$G$171*1.5,IF(AND(N91&gt;=96,$A$4="RETAIL"),'Comp Hardware'!$G$171*2,IF(AND(N91&lt;49,$A$4="BLDR"),'Comp Hardware'!$H$171,IF(AND(N91&gt;48,N91&lt;96,$A$4="BLDR"),'Comp Hardware'!$H$171*1.5,IF(AND(N91&gt;=96,$A$4="BLDR"),'Comp Hardware'!$H$171*2,IF(AND(N91&lt;49,$A$4="WHOLE"),'Comp Hardware'!$I$171,IF(AND(N91&gt;48,N91&lt;96,$A$4="WHOLE"),'Comp Hardware'!$I$171*1.5,IF(AND(N91&gt;=96,$A$4="WHOLE"),'Comp Hardware'!$I$171*2,IF(AND(N91&lt;49,$A$4="LCR"),'Comp Hardware'!$I$171,IF(AND(N91&gt;48,N91&lt;96,$A$4="LCR"),'Comp Hardware'!$I$171*1.5,IF(AND(N91&gt;=96,$A$4="LCR"),'Comp Hardware'!$I$171*2,_xludf.na)))))))))))))*F91</f>
        <v>0</v>
      </c>
      <c r="AV91" s="104">
        <f t="shared" si="68"/>
        <v>0</v>
      </c>
      <c r="AW91" s="104">
        <f t="shared" si="69"/>
        <v>0</v>
      </c>
      <c r="AX91" s="104">
        <f t="shared" si="70"/>
        <v>0</v>
      </c>
      <c r="AY91" s="104">
        <f t="shared" si="71"/>
        <v>0</v>
      </c>
      <c r="AZ91" s="104">
        <f t="shared" si="72"/>
        <v>0</v>
      </c>
      <c r="BA91" s="104">
        <f t="shared" si="73"/>
        <v>0</v>
      </c>
    </row>
    <row r="92" spans="1:53">
      <c r="A92" s="2">
        <v>83</v>
      </c>
      <c r="B92" s="277">
        <f t="shared" si="74"/>
        <v>0</v>
      </c>
      <c r="C92" s="277">
        <f t="shared" si="75"/>
        <v>0</v>
      </c>
      <c r="D92" s="277">
        <f t="shared" si="76"/>
        <v>0</v>
      </c>
      <c r="E92" s="22">
        <f t="shared" si="77"/>
        <v>0</v>
      </c>
      <c r="F92" s="160"/>
      <c r="G92" s="160"/>
      <c r="H92" s="160"/>
      <c r="I92" s="160"/>
      <c r="J92" s="75" t="str">
        <f>IFERROR(VLOOKUP(I92,'PAINT LABOR COSTS'!$B$59:$C$61,2,FALSE),"Pick Color")</f>
        <v>Pick Color</v>
      </c>
      <c r="K92" s="160"/>
      <c r="L92" s="198">
        <v>0</v>
      </c>
      <c r="M92" s="199">
        <v>0</v>
      </c>
      <c r="N92" s="198">
        <v>0</v>
      </c>
      <c r="O92" s="199">
        <v>0</v>
      </c>
      <c r="P92" s="160" t="s">
        <v>419</v>
      </c>
      <c r="Q92" s="160" t="s">
        <v>419</v>
      </c>
      <c r="R92" s="160" t="s">
        <v>419</v>
      </c>
      <c r="S92" s="160" t="s">
        <v>419</v>
      </c>
      <c r="T92" s="160" t="s">
        <v>419</v>
      </c>
      <c r="U92" s="160" t="s">
        <v>419</v>
      </c>
      <c r="V92" s="160" t="s">
        <v>419</v>
      </c>
      <c r="W92" s="160">
        <v>0</v>
      </c>
      <c r="X92" s="160" t="s">
        <v>419</v>
      </c>
      <c r="Y92" s="160">
        <v>0</v>
      </c>
      <c r="Z92" s="160" t="s">
        <v>419</v>
      </c>
      <c r="AB92" s="2">
        <f t="shared" si="51"/>
        <v>0</v>
      </c>
      <c r="AC92" s="277">
        <f t="shared" si="52"/>
        <v>0</v>
      </c>
      <c r="AD92" s="277">
        <f t="shared" si="53"/>
        <v>0</v>
      </c>
      <c r="AE92" s="234">
        <f t="shared" si="54"/>
        <v>0</v>
      </c>
      <c r="AF92" s="104">
        <f t="shared" si="55"/>
        <v>0</v>
      </c>
      <c r="AG92" s="279">
        <f t="shared" si="56"/>
        <v>0</v>
      </c>
      <c r="AH92" s="279">
        <f t="shared" si="57"/>
        <v>0</v>
      </c>
      <c r="AI92" s="104">
        <f t="shared" si="58"/>
        <v>0</v>
      </c>
      <c r="AJ92" s="104">
        <f t="shared" si="59"/>
        <v>0</v>
      </c>
      <c r="AK92" s="104">
        <f t="shared" si="60"/>
        <v>0</v>
      </c>
      <c r="AL92" s="104">
        <f t="shared" si="61"/>
        <v>0</v>
      </c>
      <c r="AM92" s="104">
        <f t="shared" si="62"/>
        <v>0</v>
      </c>
      <c r="AN92" s="104">
        <f t="shared" si="63"/>
        <v>0</v>
      </c>
      <c r="AO92" s="104">
        <f t="shared" si="64"/>
        <v>0</v>
      </c>
      <c r="AP92" s="181">
        <f>IF(I92="BB-CFPNT",VLOOKUP(I92,'PAINT LABOR COSTS'!$B$59:$M$61,12,0)*(AB92/144),0)</f>
        <v>0</v>
      </c>
      <c r="AQ92" s="181">
        <f t="shared" si="65"/>
        <v>0</v>
      </c>
      <c r="AR92" s="104">
        <f t="shared" si="66"/>
        <v>0</v>
      </c>
      <c r="AS92" s="104">
        <f t="shared" si="67"/>
        <v>0</v>
      </c>
      <c r="AT92" s="181" cm="1">
        <f t="array" ref="AT92">IF(P92="NO",0,IF(AND(N92&lt;49,$A$4="RETAIL"),'Comp Hardware'!$L$6,IF(AND(N92&gt;48,N92&lt;96,$A$4="RETAIL"),'Comp Hardware'!$L$7,IF(AND(N92&gt;=96,$A$4="RETAIL"),'Comp Hardware'!$L$8,IF(AND(N92&lt;49,$A$4="BLDR"),'Comp Hardware'!$M$6,IF(AND(N92&gt;48,N92&lt;96,$A$4="BLDR"),'Comp Hardware'!$M$7,IF(AND(N92&gt;=96,$A$4="BLDR"),'Comp Hardware'!$M$8,IF(AND(N92&lt;49,$A$4="WHOLE"),'Comp Hardware'!$N$6,IF(AND(N92&gt;48,N92&lt;96,$A$4="WHOLE"),'Comp Hardware'!$N$7,IF(AND(N92&gt;=96,$A$4="WHOLE"),'Comp Hardware'!$N$8,IF(AND(N92&lt;49,$A$4="LCR"),'Comp Hardware'!$N$6,IF(AND(N92&gt;48,N92&lt;96,$A$4="LCR"),'Comp Hardware'!$N$7,IF(AND(N92&gt;=96,$A$4="LCR"),'Comp Hardware'!$N$8,_xludf.na)))))))))))))*F92</f>
        <v>0</v>
      </c>
      <c r="AU92" s="181" cm="1">
        <f t="array" ref="AU92">IF(Q92="NO",0,IF(AND(N92&lt;49,$A$4="RETAIL"),'Comp Hardware'!$G$171,IF(AND(N92&gt;48,N92&lt;96,$A$4="RETAIL"),'Comp Hardware'!$G$171*1.5,IF(AND(N92&gt;=96,$A$4="RETAIL"),'Comp Hardware'!$G$171*2,IF(AND(N92&lt;49,$A$4="BLDR"),'Comp Hardware'!$H$171,IF(AND(N92&gt;48,N92&lt;96,$A$4="BLDR"),'Comp Hardware'!$H$171*1.5,IF(AND(N92&gt;=96,$A$4="BLDR"),'Comp Hardware'!$H$171*2,IF(AND(N92&lt;49,$A$4="WHOLE"),'Comp Hardware'!$I$171,IF(AND(N92&gt;48,N92&lt;96,$A$4="WHOLE"),'Comp Hardware'!$I$171*1.5,IF(AND(N92&gt;=96,$A$4="WHOLE"),'Comp Hardware'!$I$171*2,IF(AND(N92&lt;49,$A$4="LCR"),'Comp Hardware'!$I$171,IF(AND(N92&gt;48,N92&lt;96,$A$4="LCR"),'Comp Hardware'!$I$171*1.5,IF(AND(N92&gt;=96,$A$4="LCR"),'Comp Hardware'!$I$171*2,_xludf.na)))))))))))))*F92</f>
        <v>0</v>
      </c>
      <c r="AV92" s="104">
        <f t="shared" si="68"/>
        <v>0</v>
      </c>
      <c r="AW92" s="104">
        <f t="shared" si="69"/>
        <v>0</v>
      </c>
      <c r="AX92" s="104">
        <f t="shared" si="70"/>
        <v>0</v>
      </c>
      <c r="AY92" s="104">
        <f t="shared" si="71"/>
        <v>0</v>
      </c>
      <c r="AZ92" s="104">
        <f t="shared" si="72"/>
        <v>0</v>
      </c>
      <c r="BA92" s="104">
        <f t="shared" si="73"/>
        <v>0</v>
      </c>
    </row>
    <row r="93" spans="1:53">
      <c r="A93" s="2">
        <v>84</v>
      </c>
      <c r="B93" s="277">
        <f t="shared" si="74"/>
        <v>0</v>
      </c>
      <c r="C93" s="277">
        <f t="shared" si="75"/>
        <v>0</v>
      </c>
      <c r="D93" s="277">
        <f t="shared" si="76"/>
        <v>0</v>
      </c>
      <c r="E93" s="22">
        <f t="shared" si="77"/>
        <v>0</v>
      </c>
      <c r="F93" s="160"/>
      <c r="G93" s="160"/>
      <c r="H93" s="160"/>
      <c r="I93" s="160"/>
      <c r="J93" s="75" t="str">
        <f>IFERROR(VLOOKUP(I93,'PAINT LABOR COSTS'!$B$59:$C$61,2,FALSE),"Pick Color")</f>
        <v>Pick Color</v>
      </c>
      <c r="K93" s="160"/>
      <c r="L93" s="198">
        <v>0</v>
      </c>
      <c r="M93" s="199">
        <v>0</v>
      </c>
      <c r="N93" s="198">
        <v>0</v>
      </c>
      <c r="O93" s="199">
        <v>0</v>
      </c>
      <c r="P93" s="160" t="s">
        <v>419</v>
      </c>
      <c r="Q93" s="160" t="s">
        <v>419</v>
      </c>
      <c r="R93" s="160" t="s">
        <v>419</v>
      </c>
      <c r="S93" s="160" t="s">
        <v>419</v>
      </c>
      <c r="T93" s="160" t="s">
        <v>419</v>
      </c>
      <c r="U93" s="160" t="s">
        <v>419</v>
      </c>
      <c r="V93" s="160" t="s">
        <v>419</v>
      </c>
      <c r="W93" s="160">
        <v>0</v>
      </c>
      <c r="X93" s="160" t="s">
        <v>419</v>
      </c>
      <c r="Y93" s="160">
        <v>0</v>
      </c>
      <c r="Z93" s="160" t="s">
        <v>419</v>
      </c>
      <c r="AB93" s="2">
        <f t="shared" si="51"/>
        <v>0</v>
      </c>
      <c r="AC93" s="277">
        <f t="shared" si="52"/>
        <v>0</v>
      </c>
      <c r="AD93" s="277">
        <f t="shared" si="53"/>
        <v>0</v>
      </c>
      <c r="AE93" s="234">
        <f t="shared" si="54"/>
        <v>0</v>
      </c>
      <c r="AF93" s="104">
        <f t="shared" si="55"/>
        <v>0</v>
      </c>
      <c r="AG93" s="279">
        <f t="shared" si="56"/>
        <v>0</v>
      </c>
      <c r="AH93" s="279">
        <f t="shared" si="57"/>
        <v>0</v>
      </c>
      <c r="AI93" s="104">
        <f t="shared" si="58"/>
        <v>0</v>
      </c>
      <c r="AJ93" s="104">
        <f t="shared" si="59"/>
        <v>0</v>
      </c>
      <c r="AK93" s="104">
        <f t="shared" si="60"/>
        <v>0</v>
      </c>
      <c r="AL93" s="104">
        <f t="shared" si="61"/>
        <v>0</v>
      </c>
      <c r="AM93" s="104">
        <f t="shared" si="62"/>
        <v>0</v>
      </c>
      <c r="AN93" s="104">
        <f t="shared" si="63"/>
        <v>0</v>
      </c>
      <c r="AO93" s="104">
        <f t="shared" si="64"/>
        <v>0</v>
      </c>
      <c r="AP93" s="181">
        <f>IF(I93="BB-CFPNT",VLOOKUP(I93,'PAINT LABOR COSTS'!$B$59:$M$61,12,0)*(AB93/144),0)</f>
        <v>0</v>
      </c>
      <c r="AQ93" s="181">
        <f t="shared" si="65"/>
        <v>0</v>
      </c>
      <c r="AR93" s="104">
        <f t="shared" si="66"/>
        <v>0</v>
      </c>
      <c r="AS93" s="104">
        <f t="shared" si="67"/>
        <v>0</v>
      </c>
      <c r="AT93" s="181" cm="1">
        <f t="array" ref="AT93">IF(P93="NO",0,IF(AND(N93&lt;49,$A$4="RETAIL"),'Comp Hardware'!$L$6,IF(AND(N93&gt;48,N93&lt;96,$A$4="RETAIL"),'Comp Hardware'!$L$7,IF(AND(N93&gt;=96,$A$4="RETAIL"),'Comp Hardware'!$L$8,IF(AND(N93&lt;49,$A$4="BLDR"),'Comp Hardware'!$M$6,IF(AND(N93&gt;48,N93&lt;96,$A$4="BLDR"),'Comp Hardware'!$M$7,IF(AND(N93&gt;=96,$A$4="BLDR"),'Comp Hardware'!$M$8,IF(AND(N93&lt;49,$A$4="WHOLE"),'Comp Hardware'!$N$6,IF(AND(N93&gt;48,N93&lt;96,$A$4="WHOLE"),'Comp Hardware'!$N$7,IF(AND(N93&gt;=96,$A$4="WHOLE"),'Comp Hardware'!$N$8,IF(AND(N93&lt;49,$A$4="LCR"),'Comp Hardware'!$N$6,IF(AND(N93&gt;48,N93&lt;96,$A$4="LCR"),'Comp Hardware'!$N$7,IF(AND(N93&gt;=96,$A$4="LCR"),'Comp Hardware'!$N$8,_xludf.na)))))))))))))*F93</f>
        <v>0</v>
      </c>
      <c r="AU93" s="181" cm="1">
        <f t="array" ref="AU93">IF(Q93="NO",0,IF(AND(N93&lt;49,$A$4="RETAIL"),'Comp Hardware'!$G$171,IF(AND(N93&gt;48,N93&lt;96,$A$4="RETAIL"),'Comp Hardware'!$G$171*1.5,IF(AND(N93&gt;=96,$A$4="RETAIL"),'Comp Hardware'!$G$171*2,IF(AND(N93&lt;49,$A$4="BLDR"),'Comp Hardware'!$H$171,IF(AND(N93&gt;48,N93&lt;96,$A$4="BLDR"),'Comp Hardware'!$H$171*1.5,IF(AND(N93&gt;=96,$A$4="BLDR"),'Comp Hardware'!$H$171*2,IF(AND(N93&lt;49,$A$4="WHOLE"),'Comp Hardware'!$I$171,IF(AND(N93&gt;48,N93&lt;96,$A$4="WHOLE"),'Comp Hardware'!$I$171*1.5,IF(AND(N93&gt;=96,$A$4="WHOLE"),'Comp Hardware'!$I$171*2,IF(AND(N93&lt;49,$A$4="LCR"),'Comp Hardware'!$I$171,IF(AND(N93&gt;48,N93&lt;96,$A$4="LCR"),'Comp Hardware'!$I$171*1.5,IF(AND(N93&gt;=96,$A$4="LCR"),'Comp Hardware'!$I$171*2,_xludf.na)))))))))))))*F93</f>
        <v>0</v>
      </c>
      <c r="AV93" s="104">
        <f t="shared" si="68"/>
        <v>0</v>
      </c>
      <c r="AW93" s="104">
        <f t="shared" si="69"/>
        <v>0</v>
      </c>
      <c r="AX93" s="104">
        <f t="shared" si="70"/>
        <v>0</v>
      </c>
      <c r="AY93" s="104">
        <f t="shared" si="71"/>
        <v>0</v>
      </c>
      <c r="AZ93" s="104">
        <f t="shared" si="72"/>
        <v>0</v>
      </c>
      <c r="BA93" s="104">
        <f t="shared" si="73"/>
        <v>0</v>
      </c>
    </row>
    <row r="94" spans="1:53">
      <c r="A94" s="2">
        <v>85</v>
      </c>
      <c r="B94" s="277">
        <f t="shared" si="74"/>
        <v>0</v>
      </c>
      <c r="C94" s="277">
        <f t="shared" si="75"/>
        <v>0</v>
      </c>
      <c r="D94" s="277">
        <f t="shared" si="76"/>
        <v>0</v>
      </c>
      <c r="E94" s="22">
        <f t="shared" si="77"/>
        <v>0</v>
      </c>
      <c r="F94" s="160"/>
      <c r="G94" s="160"/>
      <c r="H94" s="160"/>
      <c r="I94" s="160"/>
      <c r="J94" s="75" t="str">
        <f>IFERROR(VLOOKUP(I94,'PAINT LABOR COSTS'!$B$59:$C$61,2,FALSE),"Pick Color")</f>
        <v>Pick Color</v>
      </c>
      <c r="K94" s="160"/>
      <c r="L94" s="198">
        <v>0</v>
      </c>
      <c r="M94" s="199">
        <v>0</v>
      </c>
      <c r="N94" s="198">
        <v>0</v>
      </c>
      <c r="O94" s="199">
        <v>0</v>
      </c>
      <c r="P94" s="160" t="s">
        <v>419</v>
      </c>
      <c r="Q94" s="160" t="s">
        <v>419</v>
      </c>
      <c r="R94" s="160" t="s">
        <v>419</v>
      </c>
      <c r="S94" s="160" t="s">
        <v>419</v>
      </c>
      <c r="T94" s="160" t="s">
        <v>419</v>
      </c>
      <c r="U94" s="160" t="s">
        <v>419</v>
      </c>
      <c r="V94" s="160" t="s">
        <v>419</v>
      </c>
      <c r="W94" s="160">
        <v>0</v>
      </c>
      <c r="X94" s="160" t="s">
        <v>419</v>
      </c>
      <c r="Y94" s="160">
        <v>0</v>
      </c>
      <c r="Z94" s="160" t="s">
        <v>419</v>
      </c>
      <c r="AB94" s="2">
        <f t="shared" si="51"/>
        <v>0</v>
      </c>
      <c r="AC94" s="277">
        <f t="shared" si="52"/>
        <v>0</v>
      </c>
      <c r="AD94" s="277">
        <f t="shared" si="53"/>
        <v>0</v>
      </c>
      <c r="AE94" s="234">
        <f t="shared" si="54"/>
        <v>0</v>
      </c>
      <c r="AF94" s="104">
        <f t="shared" si="55"/>
        <v>0</v>
      </c>
      <c r="AG94" s="279">
        <f t="shared" si="56"/>
        <v>0</v>
      </c>
      <c r="AH94" s="279">
        <f t="shared" si="57"/>
        <v>0</v>
      </c>
      <c r="AI94" s="104">
        <f t="shared" si="58"/>
        <v>0</v>
      </c>
      <c r="AJ94" s="104">
        <f t="shared" si="59"/>
        <v>0</v>
      </c>
      <c r="AK94" s="104">
        <f t="shared" si="60"/>
        <v>0</v>
      </c>
      <c r="AL94" s="104">
        <f t="shared" si="61"/>
        <v>0</v>
      </c>
      <c r="AM94" s="104">
        <f t="shared" si="62"/>
        <v>0</v>
      </c>
      <c r="AN94" s="104">
        <f t="shared" si="63"/>
        <v>0</v>
      </c>
      <c r="AO94" s="104">
        <f t="shared" si="64"/>
        <v>0</v>
      </c>
      <c r="AP94" s="181">
        <f>IF(I94="BB-CFPNT",VLOOKUP(I94,'PAINT LABOR COSTS'!$B$59:$M$61,12,0)*(AB94/144),0)</f>
        <v>0</v>
      </c>
      <c r="AQ94" s="181">
        <f t="shared" si="65"/>
        <v>0</v>
      </c>
      <c r="AR94" s="104">
        <f t="shared" si="66"/>
        <v>0</v>
      </c>
      <c r="AS94" s="104">
        <f t="shared" si="67"/>
        <v>0</v>
      </c>
      <c r="AT94" s="181" cm="1">
        <f t="array" ref="AT94">IF(P94="NO",0,IF(AND(N94&lt;49,$A$4="RETAIL"),'Comp Hardware'!$L$6,IF(AND(N94&gt;48,N94&lt;96,$A$4="RETAIL"),'Comp Hardware'!$L$7,IF(AND(N94&gt;=96,$A$4="RETAIL"),'Comp Hardware'!$L$8,IF(AND(N94&lt;49,$A$4="BLDR"),'Comp Hardware'!$M$6,IF(AND(N94&gt;48,N94&lt;96,$A$4="BLDR"),'Comp Hardware'!$M$7,IF(AND(N94&gt;=96,$A$4="BLDR"),'Comp Hardware'!$M$8,IF(AND(N94&lt;49,$A$4="WHOLE"),'Comp Hardware'!$N$6,IF(AND(N94&gt;48,N94&lt;96,$A$4="WHOLE"),'Comp Hardware'!$N$7,IF(AND(N94&gt;=96,$A$4="WHOLE"),'Comp Hardware'!$N$8,IF(AND(N94&lt;49,$A$4="LCR"),'Comp Hardware'!$N$6,IF(AND(N94&gt;48,N94&lt;96,$A$4="LCR"),'Comp Hardware'!$N$7,IF(AND(N94&gt;=96,$A$4="LCR"),'Comp Hardware'!$N$8,_xludf.na)))))))))))))*F94</f>
        <v>0</v>
      </c>
      <c r="AU94" s="181" cm="1">
        <f t="array" ref="AU94">IF(Q94="NO",0,IF(AND(N94&lt;49,$A$4="RETAIL"),'Comp Hardware'!$G$171,IF(AND(N94&gt;48,N94&lt;96,$A$4="RETAIL"),'Comp Hardware'!$G$171*1.5,IF(AND(N94&gt;=96,$A$4="RETAIL"),'Comp Hardware'!$G$171*2,IF(AND(N94&lt;49,$A$4="BLDR"),'Comp Hardware'!$H$171,IF(AND(N94&gt;48,N94&lt;96,$A$4="BLDR"),'Comp Hardware'!$H$171*1.5,IF(AND(N94&gt;=96,$A$4="BLDR"),'Comp Hardware'!$H$171*2,IF(AND(N94&lt;49,$A$4="WHOLE"),'Comp Hardware'!$I$171,IF(AND(N94&gt;48,N94&lt;96,$A$4="WHOLE"),'Comp Hardware'!$I$171*1.5,IF(AND(N94&gt;=96,$A$4="WHOLE"),'Comp Hardware'!$I$171*2,IF(AND(N94&lt;49,$A$4="LCR"),'Comp Hardware'!$I$171,IF(AND(N94&gt;48,N94&lt;96,$A$4="LCR"),'Comp Hardware'!$I$171*1.5,IF(AND(N94&gt;=96,$A$4="LCR"),'Comp Hardware'!$I$171*2,_xludf.na)))))))))))))*F94</f>
        <v>0</v>
      </c>
      <c r="AV94" s="104">
        <f t="shared" si="68"/>
        <v>0</v>
      </c>
      <c r="AW94" s="104">
        <f t="shared" si="69"/>
        <v>0</v>
      </c>
      <c r="AX94" s="104">
        <f t="shared" si="70"/>
        <v>0</v>
      </c>
      <c r="AY94" s="104">
        <f t="shared" si="71"/>
        <v>0</v>
      </c>
      <c r="AZ94" s="104">
        <f t="shared" si="72"/>
        <v>0</v>
      </c>
      <c r="BA94" s="104">
        <f t="shared" si="73"/>
        <v>0</v>
      </c>
    </row>
    <row r="95" spans="1:53">
      <c r="A95" s="2">
        <v>86</v>
      </c>
      <c r="B95" s="277">
        <f t="shared" si="74"/>
        <v>0</v>
      </c>
      <c r="C95" s="277">
        <f t="shared" si="75"/>
        <v>0</v>
      </c>
      <c r="D95" s="277">
        <f t="shared" si="76"/>
        <v>0</v>
      </c>
      <c r="E95" s="22">
        <f t="shared" si="77"/>
        <v>0</v>
      </c>
      <c r="F95" s="160"/>
      <c r="G95" s="160"/>
      <c r="H95" s="160"/>
      <c r="I95" s="160"/>
      <c r="J95" s="75" t="str">
        <f>IFERROR(VLOOKUP(I95,'PAINT LABOR COSTS'!$B$59:$C$61,2,FALSE),"Pick Color")</f>
        <v>Pick Color</v>
      </c>
      <c r="K95" s="160"/>
      <c r="L95" s="198">
        <v>0</v>
      </c>
      <c r="M95" s="199">
        <v>0</v>
      </c>
      <c r="N95" s="198">
        <v>0</v>
      </c>
      <c r="O95" s="199">
        <v>0</v>
      </c>
      <c r="P95" s="160" t="s">
        <v>419</v>
      </c>
      <c r="Q95" s="160" t="s">
        <v>419</v>
      </c>
      <c r="R95" s="160" t="s">
        <v>419</v>
      </c>
      <c r="S95" s="160" t="s">
        <v>419</v>
      </c>
      <c r="T95" s="160" t="s">
        <v>419</v>
      </c>
      <c r="U95" s="160" t="s">
        <v>419</v>
      </c>
      <c r="V95" s="160" t="s">
        <v>419</v>
      </c>
      <c r="W95" s="160">
        <v>0</v>
      </c>
      <c r="X95" s="160" t="s">
        <v>419</v>
      </c>
      <c r="Y95" s="160">
        <v>0</v>
      </c>
      <c r="Z95" s="160" t="s">
        <v>419</v>
      </c>
      <c r="AB95" s="2">
        <f t="shared" si="51"/>
        <v>0</v>
      </c>
      <c r="AC95" s="277">
        <f t="shared" si="52"/>
        <v>0</v>
      </c>
      <c r="AD95" s="277">
        <f t="shared" si="53"/>
        <v>0</v>
      </c>
      <c r="AE95" s="234">
        <f t="shared" si="54"/>
        <v>0</v>
      </c>
      <c r="AF95" s="104">
        <f t="shared" si="55"/>
        <v>0</v>
      </c>
      <c r="AG95" s="279">
        <f t="shared" si="56"/>
        <v>0</v>
      </c>
      <c r="AH95" s="279">
        <f t="shared" si="57"/>
        <v>0</v>
      </c>
      <c r="AI95" s="104">
        <f t="shared" si="58"/>
        <v>0</v>
      </c>
      <c r="AJ95" s="104">
        <f t="shared" si="59"/>
        <v>0</v>
      </c>
      <c r="AK95" s="104">
        <f t="shared" si="60"/>
        <v>0</v>
      </c>
      <c r="AL95" s="104">
        <f t="shared" si="61"/>
        <v>0</v>
      </c>
      <c r="AM95" s="104">
        <f t="shared" si="62"/>
        <v>0</v>
      </c>
      <c r="AN95" s="104">
        <f t="shared" si="63"/>
        <v>0</v>
      </c>
      <c r="AO95" s="104">
        <f t="shared" si="64"/>
        <v>0</v>
      </c>
      <c r="AP95" s="181">
        <f>IF(I95="BB-CFPNT",VLOOKUP(I95,'PAINT LABOR COSTS'!$B$59:$M$61,12,0)*(AB95/144),0)</f>
        <v>0</v>
      </c>
      <c r="AQ95" s="181">
        <f t="shared" si="65"/>
        <v>0</v>
      </c>
      <c r="AR95" s="104">
        <f t="shared" si="66"/>
        <v>0</v>
      </c>
      <c r="AS95" s="104">
        <f t="shared" si="67"/>
        <v>0</v>
      </c>
      <c r="AT95" s="181" cm="1">
        <f t="array" ref="AT95">IF(P95="NO",0,IF(AND(N95&lt;49,$A$4="RETAIL"),'Comp Hardware'!$L$6,IF(AND(N95&gt;48,N95&lt;96,$A$4="RETAIL"),'Comp Hardware'!$L$7,IF(AND(N95&gt;=96,$A$4="RETAIL"),'Comp Hardware'!$L$8,IF(AND(N95&lt;49,$A$4="BLDR"),'Comp Hardware'!$M$6,IF(AND(N95&gt;48,N95&lt;96,$A$4="BLDR"),'Comp Hardware'!$M$7,IF(AND(N95&gt;=96,$A$4="BLDR"),'Comp Hardware'!$M$8,IF(AND(N95&lt;49,$A$4="WHOLE"),'Comp Hardware'!$N$6,IF(AND(N95&gt;48,N95&lt;96,$A$4="WHOLE"),'Comp Hardware'!$N$7,IF(AND(N95&gt;=96,$A$4="WHOLE"),'Comp Hardware'!$N$8,IF(AND(N95&lt;49,$A$4="LCR"),'Comp Hardware'!$N$6,IF(AND(N95&gt;48,N95&lt;96,$A$4="LCR"),'Comp Hardware'!$N$7,IF(AND(N95&gt;=96,$A$4="LCR"),'Comp Hardware'!$N$8,_xludf.na)))))))))))))*F95</f>
        <v>0</v>
      </c>
      <c r="AU95" s="181" cm="1">
        <f t="array" ref="AU95">IF(Q95="NO",0,IF(AND(N95&lt;49,$A$4="RETAIL"),'Comp Hardware'!$G$171,IF(AND(N95&gt;48,N95&lt;96,$A$4="RETAIL"),'Comp Hardware'!$G$171*1.5,IF(AND(N95&gt;=96,$A$4="RETAIL"),'Comp Hardware'!$G$171*2,IF(AND(N95&lt;49,$A$4="BLDR"),'Comp Hardware'!$H$171,IF(AND(N95&gt;48,N95&lt;96,$A$4="BLDR"),'Comp Hardware'!$H$171*1.5,IF(AND(N95&gt;=96,$A$4="BLDR"),'Comp Hardware'!$H$171*2,IF(AND(N95&lt;49,$A$4="WHOLE"),'Comp Hardware'!$I$171,IF(AND(N95&gt;48,N95&lt;96,$A$4="WHOLE"),'Comp Hardware'!$I$171*1.5,IF(AND(N95&gt;=96,$A$4="WHOLE"),'Comp Hardware'!$I$171*2,IF(AND(N95&lt;49,$A$4="LCR"),'Comp Hardware'!$I$171,IF(AND(N95&gt;48,N95&lt;96,$A$4="LCR"),'Comp Hardware'!$I$171*1.5,IF(AND(N95&gt;=96,$A$4="LCR"),'Comp Hardware'!$I$171*2,_xludf.na)))))))))))))*F95</f>
        <v>0</v>
      </c>
      <c r="AV95" s="104">
        <f t="shared" si="68"/>
        <v>0</v>
      </c>
      <c r="AW95" s="104">
        <f t="shared" si="69"/>
        <v>0</v>
      </c>
      <c r="AX95" s="104">
        <f t="shared" si="70"/>
        <v>0</v>
      </c>
      <c r="AY95" s="104">
        <f t="shared" si="71"/>
        <v>0</v>
      </c>
      <c r="AZ95" s="104">
        <f t="shared" si="72"/>
        <v>0</v>
      </c>
      <c r="BA95" s="104">
        <f t="shared" si="73"/>
        <v>0</v>
      </c>
    </row>
    <row r="96" spans="1:53">
      <c r="A96" s="2">
        <v>87</v>
      </c>
      <c r="B96" s="277">
        <f t="shared" si="74"/>
        <v>0</v>
      </c>
      <c r="C96" s="277">
        <f t="shared" si="75"/>
        <v>0</v>
      </c>
      <c r="D96" s="277">
        <f t="shared" si="76"/>
        <v>0</v>
      </c>
      <c r="E96" s="22">
        <f t="shared" si="77"/>
        <v>0</v>
      </c>
      <c r="F96" s="160"/>
      <c r="G96" s="160"/>
      <c r="H96" s="160"/>
      <c r="I96" s="160"/>
      <c r="J96" s="75" t="str">
        <f>IFERROR(VLOOKUP(I96,'PAINT LABOR COSTS'!$B$59:$C$61,2,FALSE),"Pick Color")</f>
        <v>Pick Color</v>
      </c>
      <c r="K96" s="160"/>
      <c r="L96" s="198">
        <v>0</v>
      </c>
      <c r="M96" s="199">
        <v>0</v>
      </c>
      <c r="N96" s="198">
        <v>0</v>
      </c>
      <c r="O96" s="199">
        <v>0</v>
      </c>
      <c r="P96" s="160" t="s">
        <v>419</v>
      </c>
      <c r="Q96" s="160" t="s">
        <v>419</v>
      </c>
      <c r="R96" s="160" t="s">
        <v>419</v>
      </c>
      <c r="S96" s="160" t="s">
        <v>419</v>
      </c>
      <c r="T96" s="160" t="s">
        <v>419</v>
      </c>
      <c r="U96" s="160" t="s">
        <v>419</v>
      </c>
      <c r="V96" s="160" t="s">
        <v>419</v>
      </c>
      <c r="W96" s="160">
        <v>0</v>
      </c>
      <c r="X96" s="160" t="s">
        <v>419</v>
      </c>
      <c r="Y96" s="160">
        <v>0</v>
      </c>
      <c r="Z96" s="160" t="s">
        <v>419</v>
      </c>
      <c r="AB96" s="2">
        <f t="shared" si="51"/>
        <v>0</v>
      </c>
      <c r="AC96" s="277">
        <f t="shared" si="52"/>
        <v>0</v>
      </c>
      <c r="AD96" s="277">
        <f t="shared" si="53"/>
        <v>0</v>
      </c>
      <c r="AE96" s="234">
        <f t="shared" si="54"/>
        <v>0</v>
      </c>
      <c r="AF96" s="104">
        <f t="shared" si="55"/>
        <v>0</v>
      </c>
      <c r="AG96" s="279">
        <f t="shared" si="56"/>
        <v>0</v>
      </c>
      <c r="AH96" s="279">
        <f t="shared" si="57"/>
        <v>0</v>
      </c>
      <c r="AI96" s="104">
        <f t="shared" si="58"/>
        <v>0</v>
      </c>
      <c r="AJ96" s="104">
        <f t="shared" si="59"/>
        <v>0</v>
      </c>
      <c r="AK96" s="104">
        <f t="shared" si="60"/>
        <v>0</v>
      </c>
      <c r="AL96" s="104">
        <f t="shared" si="61"/>
        <v>0</v>
      </c>
      <c r="AM96" s="104">
        <f t="shared" si="62"/>
        <v>0</v>
      </c>
      <c r="AN96" s="104">
        <f t="shared" si="63"/>
        <v>0</v>
      </c>
      <c r="AO96" s="104">
        <f t="shared" si="64"/>
        <v>0</v>
      </c>
      <c r="AP96" s="181">
        <f>IF(I96="BB-CFPNT",VLOOKUP(I96,'PAINT LABOR COSTS'!$B$59:$M$61,12,0)*(AB96/144),0)</f>
        <v>0</v>
      </c>
      <c r="AQ96" s="181">
        <f t="shared" si="65"/>
        <v>0</v>
      </c>
      <c r="AR96" s="104">
        <f t="shared" si="66"/>
        <v>0</v>
      </c>
      <c r="AS96" s="104">
        <f t="shared" si="67"/>
        <v>0</v>
      </c>
      <c r="AT96" s="181" cm="1">
        <f t="array" ref="AT96">IF(P96="NO",0,IF(AND(N96&lt;49,$A$4="RETAIL"),'Comp Hardware'!$L$6,IF(AND(N96&gt;48,N96&lt;96,$A$4="RETAIL"),'Comp Hardware'!$L$7,IF(AND(N96&gt;=96,$A$4="RETAIL"),'Comp Hardware'!$L$8,IF(AND(N96&lt;49,$A$4="BLDR"),'Comp Hardware'!$M$6,IF(AND(N96&gt;48,N96&lt;96,$A$4="BLDR"),'Comp Hardware'!$M$7,IF(AND(N96&gt;=96,$A$4="BLDR"),'Comp Hardware'!$M$8,IF(AND(N96&lt;49,$A$4="WHOLE"),'Comp Hardware'!$N$6,IF(AND(N96&gt;48,N96&lt;96,$A$4="WHOLE"),'Comp Hardware'!$N$7,IF(AND(N96&gt;=96,$A$4="WHOLE"),'Comp Hardware'!$N$8,IF(AND(N96&lt;49,$A$4="LCR"),'Comp Hardware'!$N$6,IF(AND(N96&gt;48,N96&lt;96,$A$4="LCR"),'Comp Hardware'!$N$7,IF(AND(N96&gt;=96,$A$4="LCR"),'Comp Hardware'!$N$8,_xludf.na)))))))))))))*F96</f>
        <v>0</v>
      </c>
      <c r="AU96" s="181" cm="1">
        <f t="array" ref="AU96">IF(Q96="NO",0,IF(AND(N96&lt;49,$A$4="RETAIL"),'Comp Hardware'!$G$171,IF(AND(N96&gt;48,N96&lt;96,$A$4="RETAIL"),'Comp Hardware'!$G$171*1.5,IF(AND(N96&gt;=96,$A$4="RETAIL"),'Comp Hardware'!$G$171*2,IF(AND(N96&lt;49,$A$4="BLDR"),'Comp Hardware'!$H$171,IF(AND(N96&gt;48,N96&lt;96,$A$4="BLDR"),'Comp Hardware'!$H$171*1.5,IF(AND(N96&gt;=96,$A$4="BLDR"),'Comp Hardware'!$H$171*2,IF(AND(N96&lt;49,$A$4="WHOLE"),'Comp Hardware'!$I$171,IF(AND(N96&gt;48,N96&lt;96,$A$4="WHOLE"),'Comp Hardware'!$I$171*1.5,IF(AND(N96&gt;=96,$A$4="WHOLE"),'Comp Hardware'!$I$171*2,IF(AND(N96&lt;49,$A$4="LCR"),'Comp Hardware'!$I$171,IF(AND(N96&gt;48,N96&lt;96,$A$4="LCR"),'Comp Hardware'!$I$171*1.5,IF(AND(N96&gt;=96,$A$4="LCR"),'Comp Hardware'!$I$171*2,_xludf.na)))))))))))))*F96</f>
        <v>0</v>
      </c>
      <c r="AV96" s="104">
        <f t="shared" si="68"/>
        <v>0</v>
      </c>
      <c r="AW96" s="104">
        <f t="shared" si="69"/>
        <v>0</v>
      </c>
      <c r="AX96" s="104">
        <f t="shared" si="70"/>
        <v>0</v>
      </c>
      <c r="AY96" s="104">
        <f t="shared" si="71"/>
        <v>0</v>
      </c>
      <c r="AZ96" s="104">
        <f t="shared" si="72"/>
        <v>0</v>
      </c>
      <c r="BA96" s="104">
        <f t="shared" si="73"/>
        <v>0</v>
      </c>
    </row>
    <row r="97" spans="1:54">
      <c r="A97" s="2">
        <v>88</v>
      </c>
      <c r="B97" s="277">
        <f t="shared" si="74"/>
        <v>0</v>
      </c>
      <c r="C97" s="277">
        <f t="shared" si="75"/>
        <v>0</v>
      </c>
      <c r="D97" s="277">
        <f t="shared" si="76"/>
        <v>0</v>
      </c>
      <c r="E97" s="22">
        <f t="shared" si="77"/>
        <v>0</v>
      </c>
      <c r="F97" s="160"/>
      <c r="G97" s="160"/>
      <c r="H97" s="160"/>
      <c r="I97" s="160"/>
      <c r="J97" s="75" t="str">
        <f>IFERROR(VLOOKUP(I97,'PAINT LABOR COSTS'!$B$59:$C$61,2,FALSE),"Pick Color")</f>
        <v>Pick Color</v>
      </c>
      <c r="K97" s="160"/>
      <c r="L97" s="198">
        <v>0</v>
      </c>
      <c r="M97" s="199">
        <v>0</v>
      </c>
      <c r="N97" s="198">
        <v>0</v>
      </c>
      <c r="O97" s="199">
        <v>0</v>
      </c>
      <c r="P97" s="160" t="s">
        <v>419</v>
      </c>
      <c r="Q97" s="160" t="s">
        <v>419</v>
      </c>
      <c r="R97" s="160" t="s">
        <v>419</v>
      </c>
      <c r="S97" s="160" t="s">
        <v>419</v>
      </c>
      <c r="T97" s="160" t="s">
        <v>419</v>
      </c>
      <c r="U97" s="160" t="s">
        <v>419</v>
      </c>
      <c r="V97" s="160" t="s">
        <v>419</v>
      </c>
      <c r="W97" s="160">
        <v>0</v>
      </c>
      <c r="X97" s="160" t="s">
        <v>419</v>
      </c>
      <c r="Y97" s="160">
        <v>0</v>
      </c>
      <c r="Z97" s="160" t="s">
        <v>419</v>
      </c>
      <c r="AB97" s="2">
        <f t="shared" si="51"/>
        <v>0</v>
      </c>
      <c r="AC97" s="277">
        <f t="shared" si="52"/>
        <v>0</v>
      </c>
      <c r="AD97" s="277">
        <f t="shared" si="53"/>
        <v>0</v>
      </c>
      <c r="AE97" s="234">
        <f t="shared" si="54"/>
        <v>0</v>
      </c>
      <c r="AF97" s="104">
        <f t="shared" si="55"/>
        <v>0</v>
      </c>
      <c r="AG97" s="279">
        <f t="shared" si="56"/>
        <v>0</v>
      </c>
      <c r="AH97" s="279">
        <f t="shared" si="57"/>
        <v>0</v>
      </c>
      <c r="AI97" s="104">
        <f t="shared" si="58"/>
        <v>0</v>
      </c>
      <c r="AJ97" s="104">
        <f t="shared" si="59"/>
        <v>0</v>
      </c>
      <c r="AK97" s="104">
        <f t="shared" si="60"/>
        <v>0</v>
      </c>
      <c r="AL97" s="104">
        <f t="shared" si="61"/>
        <v>0</v>
      </c>
      <c r="AM97" s="104">
        <f t="shared" si="62"/>
        <v>0</v>
      </c>
      <c r="AN97" s="104">
        <f t="shared" si="63"/>
        <v>0</v>
      </c>
      <c r="AO97" s="104">
        <f t="shared" si="64"/>
        <v>0</v>
      </c>
      <c r="AP97" s="181">
        <f>IF(I97="BB-CFPNT",VLOOKUP(I97,'PAINT LABOR COSTS'!$B$59:$M$61,12,0)*(AB97/144),0)</f>
        <v>0</v>
      </c>
      <c r="AQ97" s="181">
        <f t="shared" si="65"/>
        <v>0</v>
      </c>
      <c r="AR97" s="104">
        <f t="shared" si="66"/>
        <v>0</v>
      </c>
      <c r="AS97" s="104">
        <f t="shared" si="67"/>
        <v>0</v>
      </c>
      <c r="AT97" s="181" cm="1">
        <f t="array" ref="AT97">IF(P97="NO",0,IF(AND(N97&lt;49,$A$4="RETAIL"),'Comp Hardware'!$L$6,IF(AND(N97&gt;48,N97&lt;96,$A$4="RETAIL"),'Comp Hardware'!$L$7,IF(AND(N97&gt;=96,$A$4="RETAIL"),'Comp Hardware'!$L$8,IF(AND(N97&lt;49,$A$4="BLDR"),'Comp Hardware'!$M$6,IF(AND(N97&gt;48,N97&lt;96,$A$4="BLDR"),'Comp Hardware'!$M$7,IF(AND(N97&gt;=96,$A$4="BLDR"),'Comp Hardware'!$M$8,IF(AND(N97&lt;49,$A$4="WHOLE"),'Comp Hardware'!$N$6,IF(AND(N97&gt;48,N97&lt;96,$A$4="WHOLE"),'Comp Hardware'!$N$7,IF(AND(N97&gt;=96,$A$4="WHOLE"),'Comp Hardware'!$N$8,IF(AND(N97&lt;49,$A$4="LCR"),'Comp Hardware'!$N$6,IF(AND(N97&gt;48,N97&lt;96,$A$4="LCR"),'Comp Hardware'!$N$7,IF(AND(N97&gt;=96,$A$4="LCR"),'Comp Hardware'!$N$8,_xludf.na)))))))))))))*F97</f>
        <v>0</v>
      </c>
      <c r="AU97" s="181" cm="1">
        <f t="array" ref="AU97">IF(Q97="NO",0,IF(AND(N97&lt;49,$A$4="RETAIL"),'Comp Hardware'!$G$171,IF(AND(N97&gt;48,N97&lt;96,$A$4="RETAIL"),'Comp Hardware'!$G$171*1.5,IF(AND(N97&gt;=96,$A$4="RETAIL"),'Comp Hardware'!$G$171*2,IF(AND(N97&lt;49,$A$4="BLDR"),'Comp Hardware'!$H$171,IF(AND(N97&gt;48,N97&lt;96,$A$4="BLDR"),'Comp Hardware'!$H$171*1.5,IF(AND(N97&gt;=96,$A$4="BLDR"),'Comp Hardware'!$H$171*2,IF(AND(N97&lt;49,$A$4="WHOLE"),'Comp Hardware'!$I$171,IF(AND(N97&gt;48,N97&lt;96,$A$4="WHOLE"),'Comp Hardware'!$I$171*1.5,IF(AND(N97&gt;=96,$A$4="WHOLE"),'Comp Hardware'!$I$171*2,IF(AND(N97&lt;49,$A$4="LCR"),'Comp Hardware'!$I$171,IF(AND(N97&gt;48,N97&lt;96,$A$4="LCR"),'Comp Hardware'!$I$171*1.5,IF(AND(N97&gt;=96,$A$4="LCR"),'Comp Hardware'!$I$171*2,_xludf.na)))))))))))))*F97</f>
        <v>0</v>
      </c>
      <c r="AV97" s="104">
        <f t="shared" si="68"/>
        <v>0</v>
      </c>
      <c r="AW97" s="104">
        <f t="shared" si="69"/>
        <v>0</v>
      </c>
      <c r="AX97" s="104">
        <f t="shared" si="70"/>
        <v>0</v>
      </c>
      <c r="AY97" s="104">
        <f t="shared" si="71"/>
        <v>0</v>
      </c>
      <c r="AZ97" s="104">
        <f t="shared" si="72"/>
        <v>0</v>
      </c>
      <c r="BA97" s="104">
        <f t="shared" si="73"/>
        <v>0</v>
      </c>
    </row>
    <row r="98" spans="1:54">
      <c r="A98" s="2">
        <v>89</v>
      </c>
      <c r="B98" s="277">
        <f t="shared" si="74"/>
        <v>0</v>
      </c>
      <c r="C98" s="277">
        <f t="shared" si="75"/>
        <v>0</v>
      </c>
      <c r="D98" s="277">
        <f t="shared" si="76"/>
        <v>0</v>
      </c>
      <c r="E98" s="22">
        <f t="shared" si="77"/>
        <v>0</v>
      </c>
      <c r="F98" s="160"/>
      <c r="G98" s="160"/>
      <c r="H98" s="160"/>
      <c r="I98" s="160"/>
      <c r="J98" s="75" t="str">
        <f>IFERROR(VLOOKUP(I98,'PAINT LABOR COSTS'!$B$59:$C$61,2,FALSE),"Pick Color")</f>
        <v>Pick Color</v>
      </c>
      <c r="K98" s="160"/>
      <c r="L98" s="198">
        <v>0</v>
      </c>
      <c r="M98" s="199">
        <v>0</v>
      </c>
      <c r="N98" s="198">
        <v>0</v>
      </c>
      <c r="O98" s="199">
        <v>0</v>
      </c>
      <c r="P98" s="160" t="s">
        <v>419</v>
      </c>
      <c r="Q98" s="160" t="s">
        <v>419</v>
      </c>
      <c r="R98" s="160" t="s">
        <v>419</v>
      </c>
      <c r="S98" s="160" t="s">
        <v>419</v>
      </c>
      <c r="T98" s="160" t="s">
        <v>419</v>
      </c>
      <c r="U98" s="160" t="s">
        <v>419</v>
      </c>
      <c r="V98" s="160" t="s">
        <v>419</v>
      </c>
      <c r="W98" s="160">
        <v>0</v>
      </c>
      <c r="X98" s="160" t="s">
        <v>419</v>
      </c>
      <c r="Y98" s="160">
        <v>0</v>
      </c>
      <c r="Z98" s="160" t="s">
        <v>419</v>
      </c>
      <c r="AB98" s="2">
        <f t="shared" si="51"/>
        <v>0</v>
      </c>
      <c r="AC98" s="277">
        <f t="shared" si="52"/>
        <v>0</v>
      </c>
      <c r="AD98" s="277">
        <f t="shared" si="53"/>
        <v>0</v>
      </c>
      <c r="AE98" s="234">
        <f t="shared" si="54"/>
        <v>0</v>
      </c>
      <c r="AF98" s="104">
        <f t="shared" si="55"/>
        <v>0</v>
      </c>
      <c r="AG98" s="279">
        <f t="shared" si="56"/>
        <v>0</v>
      </c>
      <c r="AH98" s="279">
        <f t="shared" si="57"/>
        <v>0</v>
      </c>
      <c r="AI98" s="104">
        <f t="shared" si="58"/>
        <v>0</v>
      </c>
      <c r="AJ98" s="104">
        <f t="shared" si="59"/>
        <v>0</v>
      </c>
      <c r="AK98" s="104">
        <f t="shared" si="60"/>
        <v>0</v>
      </c>
      <c r="AL98" s="104">
        <f t="shared" si="61"/>
        <v>0</v>
      </c>
      <c r="AM98" s="104">
        <f t="shared" si="62"/>
        <v>0</v>
      </c>
      <c r="AN98" s="104">
        <f t="shared" si="63"/>
        <v>0</v>
      </c>
      <c r="AO98" s="104">
        <f t="shared" si="64"/>
        <v>0</v>
      </c>
      <c r="AP98" s="181">
        <f>IF(I98="BB-CFPNT",VLOOKUP(I98,'PAINT LABOR COSTS'!$B$59:$M$61,12,0)*(AB98/144),0)</f>
        <v>0</v>
      </c>
      <c r="AQ98" s="181">
        <f t="shared" si="65"/>
        <v>0</v>
      </c>
      <c r="AR98" s="104">
        <f t="shared" si="66"/>
        <v>0</v>
      </c>
      <c r="AS98" s="104">
        <f t="shared" si="67"/>
        <v>0</v>
      </c>
      <c r="AT98" s="181" cm="1">
        <f t="array" ref="AT98">IF(P98="NO",0,IF(AND(N98&lt;49,$A$4="RETAIL"),'Comp Hardware'!$L$6,IF(AND(N98&gt;48,N98&lt;96,$A$4="RETAIL"),'Comp Hardware'!$L$7,IF(AND(N98&gt;=96,$A$4="RETAIL"),'Comp Hardware'!$L$8,IF(AND(N98&lt;49,$A$4="BLDR"),'Comp Hardware'!$M$6,IF(AND(N98&gt;48,N98&lt;96,$A$4="BLDR"),'Comp Hardware'!$M$7,IF(AND(N98&gt;=96,$A$4="BLDR"),'Comp Hardware'!$M$8,IF(AND(N98&lt;49,$A$4="WHOLE"),'Comp Hardware'!$N$6,IF(AND(N98&gt;48,N98&lt;96,$A$4="WHOLE"),'Comp Hardware'!$N$7,IF(AND(N98&gt;=96,$A$4="WHOLE"),'Comp Hardware'!$N$8,IF(AND(N98&lt;49,$A$4="LCR"),'Comp Hardware'!$N$6,IF(AND(N98&gt;48,N98&lt;96,$A$4="LCR"),'Comp Hardware'!$N$7,IF(AND(N98&gt;=96,$A$4="LCR"),'Comp Hardware'!$N$8,_xludf.na)))))))))))))*F98</f>
        <v>0</v>
      </c>
      <c r="AU98" s="181" cm="1">
        <f t="array" ref="AU98">IF(Q98="NO",0,IF(AND(N98&lt;49,$A$4="RETAIL"),'Comp Hardware'!$G$171,IF(AND(N98&gt;48,N98&lt;96,$A$4="RETAIL"),'Comp Hardware'!$G$171*1.5,IF(AND(N98&gt;=96,$A$4="RETAIL"),'Comp Hardware'!$G$171*2,IF(AND(N98&lt;49,$A$4="BLDR"),'Comp Hardware'!$H$171,IF(AND(N98&gt;48,N98&lt;96,$A$4="BLDR"),'Comp Hardware'!$H$171*1.5,IF(AND(N98&gt;=96,$A$4="BLDR"),'Comp Hardware'!$H$171*2,IF(AND(N98&lt;49,$A$4="WHOLE"),'Comp Hardware'!$I$171,IF(AND(N98&gt;48,N98&lt;96,$A$4="WHOLE"),'Comp Hardware'!$I$171*1.5,IF(AND(N98&gt;=96,$A$4="WHOLE"),'Comp Hardware'!$I$171*2,IF(AND(N98&lt;49,$A$4="LCR"),'Comp Hardware'!$I$171,IF(AND(N98&gt;48,N98&lt;96,$A$4="LCR"),'Comp Hardware'!$I$171*1.5,IF(AND(N98&gt;=96,$A$4="LCR"),'Comp Hardware'!$I$171*2,_xludf.na)))))))))))))*F98</f>
        <v>0</v>
      </c>
      <c r="AV98" s="104">
        <f t="shared" si="68"/>
        <v>0</v>
      </c>
      <c r="AW98" s="104">
        <f t="shared" si="69"/>
        <v>0</v>
      </c>
      <c r="AX98" s="104">
        <f t="shared" si="70"/>
        <v>0</v>
      </c>
      <c r="AY98" s="104">
        <f t="shared" si="71"/>
        <v>0</v>
      </c>
      <c r="AZ98" s="104">
        <f t="shared" si="72"/>
        <v>0</v>
      </c>
      <c r="BA98" s="104">
        <f t="shared" si="73"/>
        <v>0</v>
      </c>
    </row>
    <row r="99" spans="1:54">
      <c r="A99" s="2">
        <v>90</v>
      </c>
      <c r="B99" s="277">
        <f t="shared" si="74"/>
        <v>0</v>
      </c>
      <c r="C99" s="277">
        <f t="shared" si="75"/>
        <v>0</v>
      </c>
      <c r="D99" s="277">
        <f t="shared" si="76"/>
        <v>0</v>
      </c>
      <c r="E99" s="22">
        <f t="shared" si="77"/>
        <v>0</v>
      </c>
      <c r="F99" s="160"/>
      <c r="G99" s="160"/>
      <c r="H99" s="160"/>
      <c r="I99" s="160"/>
      <c r="J99" s="75" t="str">
        <f>IFERROR(VLOOKUP(I99,'PAINT LABOR COSTS'!$B$59:$C$61,2,FALSE),"Pick Color")</f>
        <v>Pick Color</v>
      </c>
      <c r="K99" s="160"/>
      <c r="L99" s="198">
        <v>0</v>
      </c>
      <c r="M99" s="199">
        <v>0</v>
      </c>
      <c r="N99" s="198">
        <v>0</v>
      </c>
      <c r="O99" s="199">
        <v>0</v>
      </c>
      <c r="P99" s="160" t="s">
        <v>419</v>
      </c>
      <c r="Q99" s="160" t="s">
        <v>419</v>
      </c>
      <c r="R99" s="160" t="s">
        <v>419</v>
      </c>
      <c r="S99" s="160" t="s">
        <v>419</v>
      </c>
      <c r="T99" s="160" t="s">
        <v>419</v>
      </c>
      <c r="U99" s="160" t="s">
        <v>419</v>
      </c>
      <c r="V99" s="160" t="s">
        <v>419</v>
      </c>
      <c r="W99" s="160">
        <v>0</v>
      </c>
      <c r="X99" s="160" t="s">
        <v>419</v>
      </c>
      <c r="Y99" s="160">
        <v>0</v>
      </c>
      <c r="Z99" s="160" t="s">
        <v>419</v>
      </c>
      <c r="AB99" s="2">
        <f t="shared" si="51"/>
        <v>0</v>
      </c>
      <c r="AC99" s="277">
        <f t="shared" si="52"/>
        <v>0</v>
      </c>
      <c r="AD99" s="277">
        <f t="shared" si="53"/>
        <v>0</v>
      </c>
      <c r="AE99" s="234">
        <f t="shared" si="54"/>
        <v>0</v>
      </c>
      <c r="AF99" s="104">
        <f t="shared" si="55"/>
        <v>0</v>
      </c>
      <c r="AG99" s="279">
        <f t="shared" si="56"/>
        <v>0</v>
      </c>
      <c r="AH99" s="279">
        <f t="shared" si="57"/>
        <v>0</v>
      </c>
      <c r="AI99" s="104">
        <f t="shared" si="58"/>
        <v>0</v>
      </c>
      <c r="AJ99" s="104">
        <f t="shared" si="59"/>
        <v>0</v>
      </c>
      <c r="AK99" s="104">
        <f t="shared" si="60"/>
        <v>0</v>
      </c>
      <c r="AL99" s="104">
        <f t="shared" si="61"/>
        <v>0</v>
      </c>
      <c r="AM99" s="104">
        <f t="shared" si="62"/>
        <v>0</v>
      </c>
      <c r="AN99" s="104">
        <f t="shared" si="63"/>
        <v>0</v>
      </c>
      <c r="AO99" s="104">
        <f t="shared" si="64"/>
        <v>0</v>
      </c>
      <c r="AP99" s="181">
        <f>IF(I99="BB-CFPNT",VLOOKUP(I99,'PAINT LABOR COSTS'!$B$59:$M$61,12,0)*(AB99/144),0)</f>
        <v>0</v>
      </c>
      <c r="AQ99" s="181">
        <f t="shared" si="65"/>
        <v>0</v>
      </c>
      <c r="AR99" s="104">
        <f t="shared" si="66"/>
        <v>0</v>
      </c>
      <c r="AS99" s="104">
        <f t="shared" si="67"/>
        <v>0</v>
      </c>
      <c r="AT99" s="181" cm="1">
        <f t="array" ref="AT99">IF(P99="NO",0,IF(AND(N99&lt;49,$A$4="RETAIL"),'Comp Hardware'!$L$6,IF(AND(N99&gt;48,N99&lt;96,$A$4="RETAIL"),'Comp Hardware'!$L$7,IF(AND(N99&gt;=96,$A$4="RETAIL"),'Comp Hardware'!$L$8,IF(AND(N99&lt;49,$A$4="BLDR"),'Comp Hardware'!$M$6,IF(AND(N99&gt;48,N99&lt;96,$A$4="BLDR"),'Comp Hardware'!$M$7,IF(AND(N99&gt;=96,$A$4="BLDR"),'Comp Hardware'!$M$8,IF(AND(N99&lt;49,$A$4="WHOLE"),'Comp Hardware'!$N$6,IF(AND(N99&gt;48,N99&lt;96,$A$4="WHOLE"),'Comp Hardware'!$N$7,IF(AND(N99&gt;=96,$A$4="WHOLE"),'Comp Hardware'!$N$8,IF(AND(N99&lt;49,$A$4="LCR"),'Comp Hardware'!$N$6,IF(AND(N99&gt;48,N99&lt;96,$A$4="LCR"),'Comp Hardware'!$N$7,IF(AND(N99&gt;=96,$A$4="LCR"),'Comp Hardware'!$N$8,_xludf.na)))))))))))))*F99</f>
        <v>0</v>
      </c>
      <c r="AU99" s="181" cm="1">
        <f t="array" ref="AU99">IF(Q99="NO",0,IF(AND(N99&lt;49,$A$4="RETAIL"),'Comp Hardware'!$G$171,IF(AND(N99&gt;48,N99&lt;96,$A$4="RETAIL"),'Comp Hardware'!$G$171*1.5,IF(AND(N99&gt;=96,$A$4="RETAIL"),'Comp Hardware'!$G$171*2,IF(AND(N99&lt;49,$A$4="BLDR"),'Comp Hardware'!$H$171,IF(AND(N99&gt;48,N99&lt;96,$A$4="BLDR"),'Comp Hardware'!$H$171*1.5,IF(AND(N99&gt;=96,$A$4="BLDR"),'Comp Hardware'!$H$171*2,IF(AND(N99&lt;49,$A$4="WHOLE"),'Comp Hardware'!$I$171,IF(AND(N99&gt;48,N99&lt;96,$A$4="WHOLE"),'Comp Hardware'!$I$171*1.5,IF(AND(N99&gt;=96,$A$4="WHOLE"),'Comp Hardware'!$I$171*2,IF(AND(N99&lt;49,$A$4="LCR"),'Comp Hardware'!$I$171,IF(AND(N99&gt;48,N99&lt;96,$A$4="LCR"),'Comp Hardware'!$I$171*1.5,IF(AND(N99&gt;=96,$A$4="LCR"),'Comp Hardware'!$I$171*2,_xludf.na)))))))))))))*F99</f>
        <v>0</v>
      </c>
      <c r="AV99" s="104">
        <f t="shared" si="68"/>
        <v>0</v>
      </c>
      <c r="AW99" s="104">
        <f t="shared" si="69"/>
        <v>0</v>
      </c>
      <c r="AX99" s="104">
        <f t="shared" si="70"/>
        <v>0</v>
      </c>
      <c r="AY99" s="104">
        <f t="shared" si="71"/>
        <v>0</v>
      </c>
      <c r="AZ99" s="104">
        <f t="shared" si="72"/>
        <v>0</v>
      </c>
      <c r="BA99" s="104">
        <f t="shared" si="73"/>
        <v>0</v>
      </c>
    </row>
    <row r="100" spans="1:54">
      <c r="A100" s="2">
        <v>91</v>
      </c>
      <c r="B100" s="277">
        <f t="shared" si="74"/>
        <v>0</v>
      </c>
      <c r="C100" s="277">
        <f t="shared" si="75"/>
        <v>0</v>
      </c>
      <c r="D100" s="277">
        <f t="shared" si="76"/>
        <v>0</v>
      </c>
      <c r="E100" s="22">
        <f t="shared" si="77"/>
        <v>0</v>
      </c>
      <c r="F100" s="160"/>
      <c r="G100" s="160"/>
      <c r="H100" s="160"/>
      <c r="I100" s="160"/>
      <c r="J100" s="75" t="str">
        <f>IFERROR(VLOOKUP(I100,'PAINT LABOR COSTS'!$B$59:$C$61,2,FALSE),"Pick Color")</f>
        <v>Pick Color</v>
      </c>
      <c r="K100" s="160"/>
      <c r="L100" s="198">
        <v>0</v>
      </c>
      <c r="M100" s="199">
        <v>0</v>
      </c>
      <c r="N100" s="198">
        <v>0</v>
      </c>
      <c r="O100" s="199">
        <v>0</v>
      </c>
      <c r="P100" s="160" t="s">
        <v>419</v>
      </c>
      <c r="Q100" s="160" t="s">
        <v>419</v>
      </c>
      <c r="R100" s="160" t="s">
        <v>419</v>
      </c>
      <c r="S100" s="160" t="s">
        <v>419</v>
      </c>
      <c r="T100" s="160" t="s">
        <v>419</v>
      </c>
      <c r="U100" s="160" t="s">
        <v>419</v>
      </c>
      <c r="V100" s="160" t="s">
        <v>419</v>
      </c>
      <c r="W100" s="160">
        <v>0</v>
      </c>
      <c r="X100" s="160" t="s">
        <v>419</v>
      </c>
      <c r="Y100" s="160">
        <v>0</v>
      </c>
      <c r="Z100" s="160" t="s">
        <v>419</v>
      </c>
      <c r="AB100" s="2">
        <f t="shared" si="51"/>
        <v>0</v>
      </c>
      <c r="AC100" s="277">
        <f t="shared" si="52"/>
        <v>0</v>
      </c>
      <c r="AD100" s="277">
        <f t="shared" si="53"/>
        <v>0</v>
      </c>
      <c r="AE100" s="234">
        <f t="shared" si="54"/>
        <v>0</v>
      </c>
      <c r="AF100" s="104">
        <f t="shared" si="55"/>
        <v>0</v>
      </c>
      <c r="AG100" s="279">
        <f t="shared" si="56"/>
        <v>0</v>
      </c>
      <c r="AH100" s="279">
        <f t="shared" si="57"/>
        <v>0</v>
      </c>
      <c r="AI100" s="104">
        <f t="shared" si="58"/>
        <v>0</v>
      </c>
      <c r="AJ100" s="104">
        <f t="shared" si="59"/>
        <v>0</v>
      </c>
      <c r="AK100" s="104">
        <f t="shared" si="60"/>
        <v>0</v>
      </c>
      <c r="AL100" s="104">
        <f t="shared" si="61"/>
        <v>0</v>
      </c>
      <c r="AM100" s="104">
        <f t="shared" si="62"/>
        <v>0</v>
      </c>
      <c r="AN100" s="104">
        <f t="shared" si="63"/>
        <v>0</v>
      </c>
      <c r="AO100" s="104">
        <f t="shared" si="64"/>
        <v>0</v>
      </c>
      <c r="AP100" s="181">
        <f>IF(I100="BB-CFPNT",VLOOKUP(I100,'PAINT LABOR COSTS'!$B$59:$M$61,12,0)*(AB100/144),0)</f>
        <v>0</v>
      </c>
      <c r="AQ100" s="181">
        <f t="shared" si="65"/>
        <v>0</v>
      </c>
      <c r="AR100" s="104">
        <f t="shared" si="66"/>
        <v>0</v>
      </c>
      <c r="AS100" s="104">
        <f t="shared" si="67"/>
        <v>0</v>
      </c>
      <c r="AT100" s="181" cm="1">
        <f t="array" ref="AT100">IF(P100="NO",0,IF(AND(N100&lt;49,$A$4="RETAIL"),'Comp Hardware'!$L$6,IF(AND(N100&gt;48,N100&lt;96,$A$4="RETAIL"),'Comp Hardware'!$L$7,IF(AND(N100&gt;=96,$A$4="RETAIL"),'Comp Hardware'!$L$8,IF(AND(N100&lt;49,$A$4="BLDR"),'Comp Hardware'!$M$6,IF(AND(N100&gt;48,N100&lt;96,$A$4="BLDR"),'Comp Hardware'!$M$7,IF(AND(N100&gt;=96,$A$4="BLDR"),'Comp Hardware'!$M$8,IF(AND(N100&lt;49,$A$4="WHOLE"),'Comp Hardware'!$N$6,IF(AND(N100&gt;48,N100&lt;96,$A$4="WHOLE"),'Comp Hardware'!$N$7,IF(AND(N100&gt;=96,$A$4="WHOLE"),'Comp Hardware'!$N$8,IF(AND(N100&lt;49,$A$4="LCR"),'Comp Hardware'!$N$6,IF(AND(N100&gt;48,N100&lt;96,$A$4="LCR"),'Comp Hardware'!$N$7,IF(AND(N100&gt;=96,$A$4="LCR"),'Comp Hardware'!$N$8,_xludf.na)))))))))))))*F100</f>
        <v>0</v>
      </c>
      <c r="AU100" s="181" cm="1">
        <f t="array" ref="AU100">IF(Q100="NO",0,IF(AND(N100&lt;49,$A$4="RETAIL"),'Comp Hardware'!$G$171,IF(AND(N100&gt;48,N100&lt;96,$A$4="RETAIL"),'Comp Hardware'!$G$171*1.5,IF(AND(N100&gt;=96,$A$4="RETAIL"),'Comp Hardware'!$G$171*2,IF(AND(N100&lt;49,$A$4="BLDR"),'Comp Hardware'!$H$171,IF(AND(N100&gt;48,N100&lt;96,$A$4="BLDR"),'Comp Hardware'!$H$171*1.5,IF(AND(N100&gt;=96,$A$4="BLDR"),'Comp Hardware'!$H$171*2,IF(AND(N100&lt;49,$A$4="WHOLE"),'Comp Hardware'!$I$171,IF(AND(N100&gt;48,N100&lt;96,$A$4="WHOLE"),'Comp Hardware'!$I$171*1.5,IF(AND(N100&gt;=96,$A$4="WHOLE"),'Comp Hardware'!$I$171*2,IF(AND(N100&lt;49,$A$4="LCR"),'Comp Hardware'!$I$171,IF(AND(N100&gt;48,N100&lt;96,$A$4="LCR"),'Comp Hardware'!$I$171*1.5,IF(AND(N100&gt;=96,$A$4="LCR"),'Comp Hardware'!$I$171*2,_xludf.na)))))))))))))*F100</f>
        <v>0</v>
      </c>
      <c r="AV100" s="104">
        <f t="shared" si="68"/>
        <v>0</v>
      </c>
      <c r="AW100" s="104">
        <f t="shared" si="69"/>
        <v>0</v>
      </c>
      <c r="AX100" s="104">
        <f t="shared" si="70"/>
        <v>0</v>
      </c>
      <c r="AY100" s="104">
        <f t="shared" si="71"/>
        <v>0</v>
      </c>
      <c r="AZ100" s="104">
        <f t="shared" si="72"/>
        <v>0</v>
      </c>
      <c r="BA100" s="104">
        <f t="shared" si="73"/>
        <v>0</v>
      </c>
    </row>
    <row r="101" spans="1:54">
      <c r="A101" s="2">
        <v>92</v>
      </c>
      <c r="B101" s="277">
        <f t="shared" si="74"/>
        <v>0</v>
      </c>
      <c r="C101" s="277">
        <f t="shared" si="75"/>
        <v>0</v>
      </c>
      <c r="D101" s="277">
        <f t="shared" si="76"/>
        <v>0</v>
      </c>
      <c r="E101" s="22">
        <f t="shared" si="77"/>
        <v>0</v>
      </c>
      <c r="F101" s="160"/>
      <c r="G101" s="160"/>
      <c r="H101" s="160"/>
      <c r="I101" s="160"/>
      <c r="J101" s="75" t="str">
        <f>IFERROR(VLOOKUP(I101,'PAINT LABOR COSTS'!$B$59:$C$61,2,FALSE),"Pick Color")</f>
        <v>Pick Color</v>
      </c>
      <c r="K101" s="160"/>
      <c r="L101" s="198">
        <v>0</v>
      </c>
      <c r="M101" s="199">
        <v>0</v>
      </c>
      <c r="N101" s="198">
        <v>0</v>
      </c>
      <c r="O101" s="199">
        <v>0</v>
      </c>
      <c r="P101" s="160" t="s">
        <v>419</v>
      </c>
      <c r="Q101" s="160" t="s">
        <v>419</v>
      </c>
      <c r="R101" s="160" t="s">
        <v>419</v>
      </c>
      <c r="S101" s="160" t="s">
        <v>419</v>
      </c>
      <c r="T101" s="160" t="s">
        <v>419</v>
      </c>
      <c r="U101" s="160" t="s">
        <v>419</v>
      </c>
      <c r="V101" s="160" t="s">
        <v>419</v>
      </c>
      <c r="W101" s="160">
        <v>0</v>
      </c>
      <c r="X101" s="160" t="s">
        <v>419</v>
      </c>
      <c r="Y101" s="160">
        <v>0</v>
      </c>
      <c r="Z101" s="160" t="s">
        <v>419</v>
      </c>
      <c r="AB101" s="2">
        <f t="shared" si="51"/>
        <v>0</v>
      </c>
      <c r="AC101" s="277">
        <f t="shared" si="52"/>
        <v>0</v>
      </c>
      <c r="AD101" s="277">
        <f t="shared" si="53"/>
        <v>0</v>
      </c>
      <c r="AE101" s="234">
        <f t="shared" si="54"/>
        <v>0</v>
      </c>
      <c r="AF101" s="104">
        <f t="shared" si="55"/>
        <v>0</v>
      </c>
      <c r="AG101" s="279">
        <f t="shared" si="56"/>
        <v>0</v>
      </c>
      <c r="AH101" s="279">
        <f t="shared" si="57"/>
        <v>0</v>
      </c>
      <c r="AI101" s="104">
        <f t="shared" si="58"/>
        <v>0</v>
      </c>
      <c r="AJ101" s="104">
        <f t="shared" si="59"/>
        <v>0</v>
      </c>
      <c r="AK101" s="104">
        <f t="shared" si="60"/>
        <v>0</v>
      </c>
      <c r="AL101" s="104">
        <f t="shared" si="61"/>
        <v>0</v>
      </c>
      <c r="AM101" s="104">
        <f t="shared" si="62"/>
        <v>0</v>
      </c>
      <c r="AN101" s="104">
        <f t="shared" si="63"/>
        <v>0</v>
      </c>
      <c r="AO101" s="104">
        <f t="shared" si="64"/>
        <v>0</v>
      </c>
      <c r="AP101" s="181">
        <f>IF(I101="BB-CFPNT",VLOOKUP(I101,'PAINT LABOR COSTS'!$B$59:$M$61,12,0)*(AB101/144),0)</f>
        <v>0</v>
      </c>
      <c r="AQ101" s="181">
        <f t="shared" si="65"/>
        <v>0</v>
      </c>
      <c r="AR101" s="104">
        <f t="shared" si="66"/>
        <v>0</v>
      </c>
      <c r="AS101" s="104">
        <f t="shared" si="67"/>
        <v>0</v>
      </c>
      <c r="AT101" s="181" cm="1">
        <f t="array" ref="AT101">IF(P101="NO",0,IF(AND(N101&lt;49,$A$4="RETAIL"),'Comp Hardware'!$L$6,IF(AND(N101&gt;48,N101&lt;96,$A$4="RETAIL"),'Comp Hardware'!$L$7,IF(AND(N101&gt;=96,$A$4="RETAIL"),'Comp Hardware'!$L$8,IF(AND(N101&lt;49,$A$4="BLDR"),'Comp Hardware'!$M$6,IF(AND(N101&gt;48,N101&lt;96,$A$4="BLDR"),'Comp Hardware'!$M$7,IF(AND(N101&gt;=96,$A$4="BLDR"),'Comp Hardware'!$M$8,IF(AND(N101&lt;49,$A$4="WHOLE"),'Comp Hardware'!$N$6,IF(AND(N101&gt;48,N101&lt;96,$A$4="WHOLE"),'Comp Hardware'!$N$7,IF(AND(N101&gt;=96,$A$4="WHOLE"),'Comp Hardware'!$N$8,IF(AND(N101&lt;49,$A$4="LCR"),'Comp Hardware'!$N$6,IF(AND(N101&gt;48,N101&lt;96,$A$4="LCR"),'Comp Hardware'!$N$7,IF(AND(N101&gt;=96,$A$4="LCR"),'Comp Hardware'!$N$8,_xludf.na)))))))))))))*F101</f>
        <v>0</v>
      </c>
      <c r="AU101" s="181" cm="1">
        <f t="array" ref="AU101">IF(Q101="NO",0,IF(AND(N101&lt;49,$A$4="RETAIL"),'Comp Hardware'!$G$171,IF(AND(N101&gt;48,N101&lt;96,$A$4="RETAIL"),'Comp Hardware'!$G$171*1.5,IF(AND(N101&gt;=96,$A$4="RETAIL"),'Comp Hardware'!$G$171*2,IF(AND(N101&lt;49,$A$4="BLDR"),'Comp Hardware'!$H$171,IF(AND(N101&gt;48,N101&lt;96,$A$4="BLDR"),'Comp Hardware'!$H$171*1.5,IF(AND(N101&gt;=96,$A$4="BLDR"),'Comp Hardware'!$H$171*2,IF(AND(N101&lt;49,$A$4="WHOLE"),'Comp Hardware'!$I$171,IF(AND(N101&gt;48,N101&lt;96,$A$4="WHOLE"),'Comp Hardware'!$I$171*1.5,IF(AND(N101&gt;=96,$A$4="WHOLE"),'Comp Hardware'!$I$171*2,IF(AND(N101&lt;49,$A$4="LCR"),'Comp Hardware'!$I$171,IF(AND(N101&gt;48,N101&lt;96,$A$4="LCR"),'Comp Hardware'!$I$171*1.5,IF(AND(N101&gt;=96,$A$4="LCR"),'Comp Hardware'!$I$171*2,_xludf.na)))))))))))))*F101</f>
        <v>0</v>
      </c>
      <c r="AV101" s="104">
        <f t="shared" si="68"/>
        <v>0</v>
      </c>
      <c r="AW101" s="104">
        <f t="shared" si="69"/>
        <v>0</v>
      </c>
      <c r="AX101" s="104">
        <f t="shared" si="70"/>
        <v>0</v>
      </c>
      <c r="AY101" s="104">
        <f t="shared" si="71"/>
        <v>0</v>
      </c>
      <c r="AZ101" s="104">
        <f t="shared" si="72"/>
        <v>0</v>
      </c>
      <c r="BA101" s="104">
        <f t="shared" si="73"/>
        <v>0</v>
      </c>
    </row>
    <row r="102" spans="1:54">
      <c r="A102" s="2">
        <v>93</v>
      </c>
      <c r="B102" s="277">
        <f t="shared" si="74"/>
        <v>0</v>
      </c>
      <c r="C102" s="277">
        <f t="shared" si="75"/>
        <v>0</v>
      </c>
      <c r="D102" s="277">
        <f t="shared" si="76"/>
        <v>0</v>
      </c>
      <c r="E102" s="22">
        <f t="shared" si="77"/>
        <v>0</v>
      </c>
      <c r="F102" s="160"/>
      <c r="G102" s="160"/>
      <c r="H102" s="160"/>
      <c r="I102" s="160"/>
      <c r="J102" s="75" t="str">
        <f>IFERROR(VLOOKUP(I102,'PAINT LABOR COSTS'!$B$59:$C$61,2,FALSE),"Pick Color")</f>
        <v>Pick Color</v>
      </c>
      <c r="K102" s="160"/>
      <c r="L102" s="198">
        <v>0</v>
      </c>
      <c r="M102" s="199">
        <v>0</v>
      </c>
      <c r="N102" s="198">
        <v>0</v>
      </c>
      <c r="O102" s="199">
        <v>0</v>
      </c>
      <c r="P102" s="160" t="s">
        <v>419</v>
      </c>
      <c r="Q102" s="160" t="s">
        <v>419</v>
      </c>
      <c r="R102" s="160" t="s">
        <v>419</v>
      </c>
      <c r="S102" s="160" t="s">
        <v>419</v>
      </c>
      <c r="T102" s="160" t="s">
        <v>419</v>
      </c>
      <c r="U102" s="160" t="s">
        <v>419</v>
      </c>
      <c r="V102" s="160" t="s">
        <v>419</v>
      </c>
      <c r="W102" s="160">
        <v>0</v>
      </c>
      <c r="X102" s="160" t="s">
        <v>419</v>
      </c>
      <c r="Y102" s="160">
        <v>0</v>
      </c>
      <c r="Z102" s="160" t="s">
        <v>419</v>
      </c>
      <c r="AB102" s="2">
        <f t="shared" si="51"/>
        <v>0</v>
      </c>
      <c r="AC102" s="277">
        <f t="shared" si="52"/>
        <v>0</v>
      </c>
      <c r="AD102" s="277">
        <f t="shared" si="53"/>
        <v>0</v>
      </c>
      <c r="AE102" s="234">
        <f t="shared" si="54"/>
        <v>0</v>
      </c>
      <c r="AF102" s="104">
        <f t="shared" si="55"/>
        <v>0</v>
      </c>
      <c r="AG102" s="279">
        <f t="shared" si="56"/>
        <v>0</v>
      </c>
      <c r="AH102" s="279">
        <f t="shared" si="57"/>
        <v>0</v>
      </c>
      <c r="AI102" s="104">
        <f t="shared" si="58"/>
        <v>0</v>
      </c>
      <c r="AJ102" s="104">
        <f t="shared" si="59"/>
        <v>0</v>
      </c>
      <c r="AK102" s="104">
        <f t="shared" si="60"/>
        <v>0</v>
      </c>
      <c r="AL102" s="104">
        <f t="shared" si="61"/>
        <v>0</v>
      </c>
      <c r="AM102" s="104">
        <f t="shared" si="62"/>
        <v>0</v>
      </c>
      <c r="AN102" s="104">
        <f t="shared" si="63"/>
        <v>0</v>
      </c>
      <c r="AO102" s="104">
        <f t="shared" si="64"/>
        <v>0</v>
      </c>
      <c r="AP102" s="181">
        <f>IF(I102="BB-CFPNT",VLOOKUP(I102,'PAINT LABOR COSTS'!$B$59:$M$61,12,0)*(AB102/144),0)</f>
        <v>0</v>
      </c>
      <c r="AQ102" s="181">
        <f t="shared" si="65"/>
        <v>0</v>
      </c>
      <c r="AR102" s="104">
        <f t="shared" si="66"/>
        <v>0</v>
      </c>
      <c r="AS102" s="104">
        <f t="shared" si="67"/>
        <v>0</v>
      </c>
      <c r="AT102" s="181" cm="1">
        <f t="array" ref="AT102">IF(P102="NO",0,IF(AND(N102&lt;49,$A$4="RETAIL"),'Comp Hardware'!$L$6,IF(AND(N102&gt;48,N102&lt;96,$A$4="RETAIL"),'Comp Hardware'!$L$7,IF(AND(N102&gt;=96,$A$4="RETAIL"),'Comp Hardware'!$L$8,IF(AND(N102&lt;49,$A$4="BLDR"),'Comp Hardware'!$M$6,IF(AND(N102&gt;48,N102&lt;96,$A$4="BLDR"),'Comp Hardware'!$M$7,IF(AND(N102&gt;=96,$A$4="BLDR"),'Comp Hardware'!$M$8,IF(AND(N102&lt;49,$A$4="WHOLE"),'Comp Hardware'!$N$6,IF(AND(N102&gt;48,N102&lt;96,$A$4="WHOLE"),'Comp Hardware'!$N$7,IF(AND(N102&gt;=96,$A$4="WHOLE"),'Comp Hardware'!$N$8,IF(AND(N102&lt;49,$A$4="LCR"),'Comp Hardware'!$N$6,IF(AND(N102&gt;48,N102&lt;96,$A$4="LCR"),'Comp Hardware'!$N$7,IF(AND(N102&gt;=96,$A$4="LCR"),'Comp Hardware'!$N$8,_xludf.na)))))))))))))*F102</f>
        <v>0</v>
      </c>
      <c r="AU102" s="181" cm="1">
        <f t="array" ref="AU102">IF(Q102="NO",0,IF(AND(N102&lt;49,$A$4="RETAIL"),'Comp Hardware'!$G$171,IF(AND(N102&gt;48,N102&lt;96,$A$4="RETAIL"),'Comp Hardware'!$G$171*1.5,IF(AND(N102&gt;=96,$A$4="RETAIL"),'Comp Hardware'!$G$171*2,IF(AND(N102&lt;49,$A$4="BLDR"),'Comp Hardware'!$H$171,IF(AND(N102&gt;48,N102&lt;96,$A$4="BLDR"),'Comp Hardware'!$H$171*1.5,IF(AND(N102&gt;=96,$A$4="BLDR"),'Comp Hardware'!$H$171*2,IF(AND(N102&lt;49,$A$4="WHOLE"),'Comp Hardware'!$I$171,IF(AND(N102&gt;48,N102&lt;96,$A$4="WHOLE"),'Comp Hardware'!$I$171*1.5,IF(AND(N102&gt;=96,$A$4="WHOLE"),'Comp Hardware'!$I$171*2,IF(AND(N102&lt;49,$A$4="LCR"),'Comp Hardware'!$I$171,IF(AND(N102&gt;48,N102&lt;96,$A$4="LCR"),'Comp Hardware'!$I$171*1.5,IF(AND(N102&gt;=96,$A$4="LCR"),'Comp Hardware'!$I$171*2,_xludf.na)))))))))))))*F102</f>
        <v>0</v>
      </c>
      <c r="AV102" s="104">
        <f t="shared" si="68"/>
        <v>0</v>
      </c>
      <c r="AW102" s="104">
        <f t="shared" si="69"/>
        <v>0</v>
      </c>
      <c r="AX102" s="104">
        <f t="shared" si="70"/>
        <v>0</v>
      </c>
      <c r="AY102" s="104">
        <f t="shared" si="71"/>
        <v>0</v>
      </c>
      <c r="AZ102" s="104">
        <f t="shared" si="72"/>
        <v>0</v>
      </c>
      <c r="BA102" s="104">
        <f t="shared" si="73"/>
        <v>0</v>
      </c>
    </row>
    <row r="103" spans="1:54">
      <c r="A103" s="2">
        <v>94</v>
      </c>
      <c r="B103" s="277">
        <f t="shared" si="74"/>
        <v>0</v>
      </c>
      <c r="C103" s="277">
        <f t="shared" si="75"/>
        <v>0</v>
      </c>
      <c r="D103" s="277">
        <f t="shared" si="76"/>
        <v>0</v>
      </c>
      <c r="E103" s="22">
        <f t="shared" si="77"/>
        <v>0</v>
      </c>
      <c r="F103" s="160"/>
      <c r="G103" s="160"/>
      <c r="H103" s="160"/>
      <c r="I103" s="160"/>
      <c r="J103" s="75" t="str">
        <f>IFERROR(VLOOKUP(I103,'PAINT LABOR COSTS'!$B$59:$C$61,2,FALSE),"Pick Color")</f>
        <v>Pick Color</v>
      </c>
      <c r="K103" s="160"/>
      <c r="L103" s="198">
        <v>0</v>
      </c>
      <c r="M103" s="199">
        <v>0</v>
      </c>
      <c r="N103" s="198">
        <v>0</v>
      </c>
      <c r="O103" s="199">
        <v>0</v>
      </c>
      <c r="P103" s="160" t="s">
        <v>419</v>
      </c>
      <c r="Q103" s="160" t="s">
        <v>419</v>
      </c>
      <c r="R103" s="160" t="s">
        <v>419</v>
      </c>
      <c r="S103" s="160" t="s">
        <v>419</v>
      </c>
      <c r="T103" s="160" t="s">
        <v>419</v>
      </c>
      <c r="U103" s="160" t="s">
        <v>419</v>
      </c>
      <c r="V103" s="160" t="s">
        <v>419</v>
      </c>
      <c r="W103" s="160">
        <v>0</v>
      </c>
      <c r="X103" s="160" t="s">
        <v>419</v>
      </c>
      <c r="Y103" s="160">
        <v>0</v>
      </c>
      <c r="Z103" s="160" t="s">
        <v>419</v>
      </c>
      <c r="AB103" s="2">
        <f t="shared" si="51"/>
        <v>0</v>
      </c>
      <c r="AC103" s="277">
        <f t="shared" si="52"/>
        <v>0</v>
      </c>
      <c r="AD103" s="277">
        <f t="shared" si="53"/>
        <v>0</v>
      </c>
      <c r="AE103" s="234">
        <f t="shared" si="54"/>
        <v>0</v>
      </c>
      <c r="AF103" s="104">
        <f t="shared" si="55"/>
        <v>0</v>
      </c>
      <c r="AG103" s="279">
        <f t="shared" si="56"/>
        <v>0</v>
      </c>
      <c r="AH103" s="279">
        <f t="shared" si="57"/>
        <v>0</v>
      </c>
      <c r="AI103" s="104">
        <f t="shared" si="58"/>
        <v>0</v>
      </c>
      <c r="AJ103" s="104">
        <f t="shared" si="59"/>
        <v>0</v>
      </c>
      <c r="AK103" s="104">
        <f t="shared" si="60"/>
        <v>0</v>
      </c>
      <c r="AL103" s="104">
        <f t="shared" si="61"/>
        <v>0</v>
      </c>
      <c r="AM103" s="104">
        <f t="shared" si="62"/>
        <v>0</v>
      </c>
      <c r="AN103" s="104">
        <f t="shared" si="63"/>
        <v>0</v>
      </c>
      <c r="AO103" s="104">
        <f t="shared" si="64"/>
        <v>0</v>
      </c>
      <c r="AP103" s="181">
        <f>IF(I103="BB-CFPNT",VLOOKUP(I103,'PAINT LABOR COSTS'!$B$59:$M$61,12,0)*(AB103/144),0)</f>
        <v>0</v>
      </c>
      <c r="AQ103" s="181">
        <f t="shared" si="65"/>
        <v>0</v>
      </c>
      <c r="AR103" s="104">
        <f t="shared" si="66"/>
        <v>0</v>
      </c>
      <c r="AS103" s="104">
        <f t="shared" si="67"/>
        <v>0</v>
      </c>
      <c r="AT103" s="181" cm="1">
        <f t="array" ref="AT103">IF(P103="NO",0,IF(AND(N103&lt;49,$A$4="RETAIL"),'Comp Hardware'!$L$6,IF(AND(N103&gt;48,N103&lt;96,$A$4="RETAIL"),'Comp Hardware'!$L$7,IF(AND(N103&gt;=96,$A$4="RETAIL"),'Comp Hardware'!$L$8,IF(AND(N103&lt;49,$A$4="BLDR"),'Comp Hardware'!$M$6,IF(AND(N103&gt;48,N103&lt;96,$A$4="BLDR"),'Comp Hardware'!$M$7,IF(AND(N103&gt;=96,$A$4="BLDR"),'Comp Hardware'!$M$8,IF(AND(N103&lt;49,$A$4="WHOLE"),'Comp Hardware'!$N$6,IF(AND(N103&gt;48,N103&lt;96,$A$4="WHOLE"),'Comp Hardware'!$N$7,IF(AND(N103&gt;=96,$A$4="WHOLE"),'Comp Hardware'!$N$8,IF(AND(N103&lt;49,$A$4="LCR"),'Comp Hardware'!$N$6,IF(AND(N103&gt;48,N103&lt;96,$A$4="LCR"),'Comp Hardware'!$N$7,IF(AND(N103&gt;=96,$A$4="LCR"),'Comp Hardware'!$N$8,_xludf.na)))))))))))))*F103</f>
        <v>0</v>
      </c>
      <c r="AU103" s="181" cm="1">
        <f t="array" ref="AU103">IF(Q103="NO",0,IF(AND(N103&lt;49,$A$4="RETAIL"),'Comp Hardware'!$G$171,IF(AND(N103&gt;48,N103&lt;96,$A$4="RETAIL"),'Comp Hardware'!$G$171*1.5,IF(AND(N103&gt;=96,$A$4="RETAIL"),'Comp Hardware'!$G$171*2,IF(AND(N103&lt;49,$A$4="BLDR"),'Comp Hardware'!$H$171,IF(AND(N103&gt;48,N103&lt;96,$A$4="BLDR"),'Comp Hardware'!$H$171*1.5,IF(AND(N103&gt;=96,$A$4="BLDR"),'Comp Hardware'!$H$171*2,IF(AND(N103&lt;49,$A$4="WHOLE"),'Comp Hardware'!$I$171,IF(AND(N103&gt;48,N103&lt;96,$A$4="WHOLE"),'Comp Hardware'!$I$171*1.5,IF(AND(N103&gt;=96,$A$4="WHOLE"),'Comp Hardware'!$I$171*2,IF(AND(N103&lt;49,$A$4="LCR"),'Comp Hardware'!$I$171,IF(AND(N103&gt;48,N103&lt;96,$A$4="LCR"),'Comp Hardware'!$I$171*1.5,IF(AND(N103&gt;=96,$A$4="LCR"),'Comp Hardware'!$I$171*2,_xludf.na)))))))))))))*F103</f>
        <v>0</v>
      </c>
      <c r="AV103" s="104">
        <f t="shared" si="68"/>
        <v>0</v>
      </c>
      <c r="AW103" s="104">
        <f t="shared" si="69"/>
        <v>0</v>
      </c>
      <c r="AX103" s="104">
        <f t="shared" si="70"/>
        <v>0</v>
      </c>
      <c r="AY103" s="104">
        <f t="shared" si="71"/>
        <v>0</v>
      </c>
      <c r="AZ103" s="104">
        <f t="shared" si="72"/>
        <v>0</v>
      </c>
      <c r="BA103" s="104">
        <f t="shared" si="73"/>
        <v>0</v>
      </c>
    </row>
    <row r="104" spans="1:54">
      <c r="A104" s="2">
        <v>95</v>
      </c>
      <c r="B104" s="277">
        <f t="shared" si="74"/>
        <v>0</v>
      </c>
      <c r="C104" s="277">
        <f t="shared" si="75"/>
        <v>0</v>
      </c>
      <c r="D104" s="277">
        <f t="shared" si="76"/>
        <v>0</v>
      </c>
      <c r="E104" s="22">
        <f t="shared" si="77"/>
        <v>0</v>
      </c>
      <c r="F104" s="160"/>
      <c r="G104" s="160"/>
      <c r="H104" s="160"/>
      <c r="I104" s="160"/>
      <c r="J104" s="75" t="str">
        <f>IFERROR(VLOOKUP(I104,'PAINT LABOR COSTS'!$B$59:$C$61,2,FALSE),"Pick Color")</f>
        <v>Pick Color</v>
      </c>
      <c r="K104" s="160"/>
      <c r="L104" s="198">
        <v>0</v>
      </c>
      <c r="M104" s="199">
        <v>0</v>
      </c>
      <c r="N104" s="198">
        <v>0</v>
      </c>
      <c r="O104" s="199">
        <v>0</v>
      </c>
      <c r="P104" s="160" t="s">
        <v>419</v>
      </c>
      <c r="Q104" s="160" t="s">
        <v>419</v>
      </c>
      <c r="R104" s="160" t="s">
        <v>419</v>
      </c>
      <c r="S104" s="160" t="s">
        <v>419</v>
      </c>
      <c r="T104" s="160" t="s">
        <v>419</v>
      </c>
      <c r="U104" s="160" t="s">
        <v>419</v>
      </c>
      <c r="V104" s="160" t="s">
        <v>419</v>
      </c>
      <c r="W104" s="160">
        <v>0</v>
      </c>
      <c r="X104" s="160" t="s">
        <v>419</v>
      </c>
      <c r="Y104" s="160">
        <v>0</v>
      </c>
      <c r="Z104" s="160" t="s">
        <v>419</v>
      </c>
      <c r="AB104" s="2">
        <f t="shared" si="51"/>
        <v>0</v>
      </c>
      <c r="AC104" s="277">
        <f t="shared" si="52"/>
        <v>0</v>
      </c>
      <c r="AD104" s="277">
        <f t="shared" si="53"/>
        <v>0</v>
      </c>
      <c r="AE104" s="234">
        <f t="shared" si="54"/>
        <v>0</v>
      </c>
      <c r="AF104" s="104">
        <f t="shared" si="55"/>
        <v>0</v>
      </c>
      <c r="AG104" s="279">
        <f t="shared" si="56"/>
        <v>0</v>
      </c>
      <c r="AH104" s="279">
        <f t="shared" si="57"/>
        <v>0</v>
      </c>
      <c r="AI104" s="104">
        <f t="shared" si="58"/>
        <v>0</v>
      </c>
      <c r="AJ104" s="104">
        <f t="shared" si="59"/>
        <v>0</v>
      </c>
      <c r="AK104" s="104">
        <f t="shared" si="60"/>
        <v>0</v>
      </c>
      <c r="AL104" s="104">
        <f t="shared" si="61"/>
        <v>0</v>
      </c>
      <c r="AM104" s="104">
        <f t="shared" si="62"/>
        <v>0</v>
      </c>
      <c r="AN104" s="104">
        <f t="shared" si="63"/>
        <v>0</v>
      </c>
      <c r="AO104" s="104">
        <f t="shared" si="64"/>
        <v>0</v>
      </c>
      <c r="AP104" s="181">
        <f>IF(I104="BB-CFPNT",VLOOKUP(I104,'PAINT LABOR COSTS'!$B$59:$M$61,12,0)*(AB104/144),0)</f>
        <v>0</v>
      </c>
      <c r="AQ104" s="181">
        <f t="shared" si="65"/>
        <v>0</v>
      </c>
      <c r="AR104" s="104">
        <f t="shared" si="66"/>
        <v>0</v>
      </c>
      <c r="AS104" s="104">
        <f t="shared" si="67"/>
        <v>0</v>
      </c>
      <c r="AT104" s="181" cm="1">
        <f t="array" ref="AT104">IF(P104="NO",0,IF(AND(N104&lt;49,$A$4="RETAIL"),'Comp Hardware'!$L$6,IF(AND(N104&gt;48,N104&lt;96,$A$4="RETAIL"),'Comp Hardware'!$L$7,IF(AND(N104&gt;=96,$A$4="RETAIL"),'Comp Hardware'!$L$8,IF(AND(N104&lt;49,$A$4="BLDR"),'Comp Hardware'!$M$6,IF(AND(N104&gt;48,N104&lt;96,$A$4="BLDR"),'Comp Hardware'!$M$7,IF(AND(N104&gt;=96,$A$4="BLDR"),'Comp Hardware'!$M$8,IF(AND(N104&lt;49,$A$4="WHOLE"),'Comp Hardware'!$N$6,IF(AND(N104&gt;48,N104&lt;96,$A$4="WHOLE"),'Comp Hardware'!$N$7,IF(AND(N104&gt;=96,$A$4="WHOLE"),'Comp Hardware'!$N$8,IF(AND(N104&lt;49,$A$4="LCR"),'Comp Hardware'!$N$6,IF(AND(N104&gt;48,N104&lt;96,$A$4="LCR"),'Comp Hardware'!$N$7,IF(AND(N104&gt;=96,$A$4="LCR"),'Comp Hardware'!$N$8,_xludf.na)))))))))))))*F104</f>
        <v>0</v>
      </c>
      <c r="AU104" s="181" cm="1">
        <f t="array" ref="AU104">IF(Q104="NO",0,IF(AND(N104&lt;49,$A$4="RETAIL"),'Comp Hardware'!$G$171,IF(AND(N104&gt;48,N104&lt;96,$A$4="RETAIL"),'Comp Hardware'!$G$171*1.5,IF(AND(N104&gt;=96,$A$4="RETAIL"),'Comp Hardware'!$G$171*2,IF(AND(N104&lt;49,$A$4="BLDR"),'Comp Hardware'!$H$171,IF(AND(N104&gt;48,N104&lt;96,$A$4="BLDR"),'Comp Hardware'!$H$171*1.5,IF(AND(N104&gt;=96,$A$4="BLDR"),'Comp Hardware'!$H$171*2,IF(AND(N104&lt;49,$A$4="WHOLE"),'Comp Hardware'!$I$171,IF(AND(N104&gt;48,N104&lt;96,$A$4="WHOLE"),'Comp Hardware'!$I$171*1.5,IF(AND(N104&gt;=96,$A$4="WHOLE"),'Comp Hardware'!$I$171*2,IF(AND(N104&lt;49,$A$4="LCR"),'Comp Hardware'!$I$171,IF(AND(N104&gt;48,N104&lt;96,$A$4="LCR"),'Comp Hardware'!$I$171*1.5,IF(AND(N104&gt;=96,$A$4="LCR"),'Comp Hardware'!$I$171*2,_xludf.na)))))))))))))*F104</f>
        <v>0</v>
      </c>
      <c r="AV104" s="104">
        <f t="shared" si="68"/>
        <v>0</v>
      </c>
      <c r="AW104" s="104">
        <f t="shared" si="69"/>
        <v>0</v>
      </c>
      <c r="AX104" s="104">
        <f t="shared" si="70"/>
        <v>0</v>
      </c>
      <c r="AY104" s="104">
        <f t="shared" si="71"/>
        <v>0</v>
      </c>
      <c r="AZ104" s="104">
        <f t="shared" si="72"/>
        <v>0</v>
      </c>
      <c r="BA104" s="104">
        <f t="shared" si="73"/>
        <v>0</v>
      </c>
    </row>
    <row r="105" spans="1:54">
      <c r="A105" s="2">
        <v>96</v>
      </c>
      <c r="B105" s="277">
        <f t="shared" si="74"/>
        <v>0</v>
      </c>
      <c r="C105" s="277">
        <f t="shared" si="75"/>
        <v>0</v>
      </c>
      <c r="D105" s="277">
        <f t="shared" si="76"/>
        <v>0</v>
      </c>
      <c r="E105" s="22">
        <f t="shared" si="77"/>
        <v>0</v>
      </c>
      <c r="F105" s="160"/>
      <c r="G105" s="160"/>
      <c r="H105" s="160"/>
      <c r="I105" s="160"/>
      <c r="J105" s="75" t="str">
        <f>IFERROR(VLOOKUP(I105,'PAINT LABOR COSTS'!$B$59:$C$61,2,FALSE),"Pick Color")</f>
        <v>Pick Color</v>
      </c>
      <c r="K105" s="160"/>
      <c r="L105" s="198">
        <v>0</v>
      </c>
      <c r="M105" s="199">
        <v>0</v>
      </c>
      <c r="N105" s="198">
        <v>0</v>
      </c>
      <c r="O105" s="199">
        <v>0</v>
      </c>
      <c r="P105" s="160" t="s">
        <v>419</v>
      </c>
      <c r="Q105" s="160" t="s">
        <v>419</v>
      </c>
      <c r="R105" s="160" t="s">
        <v>419</v>
      </c>
      <c r="S105" s="160" t="s">
        <v>419</v>
      </c>
      <c r="T105" s="160" t="s">
        <v>419</v>
      </c>
      <c r="U105" s="160" t="s">
        <v>419</v>
      </c>
      <c r="V105" s="160" t="s">
        <v>419</v>
      </c>
      <c r="W105" s="160">
        <v>0</v>
      </c>
      <c r="X105" s="160" t="s">
        <v>419</v>
      </c>
      <c r="Y105" s="160">
        <v>0</v>
      </c>
      <c r="Z105" s="160" t="s">
        <v>419</v>
      </c>
      <c r="AB105" s="2">
        <f t="shared" si="51"/>
        <v>0</v>
      </c>
      <c r="AC105" s="277">
        <f t="shared" si="52"/>
        <v>0</v>
      </c>
      <c r="AD105" s="277">
        <f t="shared" si="53"/>
        <v>0</v>
      </c>
      <c r="AE105" s="234">
        <f t="shared" si="54"/>
        <v>0</v>
      </c>
      <c r="AF105" s="104">
        <f t="shared" si="55"/>
        <v>0</v>
      </c>
      <c r="AG105" s="279">
        <f t="shared" si="56"/>
        <v>0</v>
      </c>
      <c r="AH105" s="279">
        <f t="shared" si="57"/>
        <v>0</v>
      </c>
      <c r="AI105" s="104">
        <f t="shared" si="58"/>
        <v>0</v>
      </c>
      <c r="AJ105" s="104">
        <f t="shared" si="59"/>
        <v>0</v>
      </c>
      <c r="AK105" s="104">
        <f t="shared" si="60"/>
        <v>0</v>
      </c>
      <c r="AL105" s="104">
        <f t="shared" si="61"/>
        <v>0</v>
      </c>
      <c r="AM105" s="104">
        <f t="shared" si="62"/>
        <v>0</v>
      </c>
      <c r="AN105" s="104">
        <f t="shared" si="63"/>
        <v>0</v>
      </c>
      <c r="AO105" s="104">
        <f t="shared" si="64"/>
        <v>0</v>
      </c>
      <c r="AP105" s="181">
        <f>IF(I105="BB-CFPNT",VLOOKUP(I105,'PAINT LABOR COSTS'!$B$59:$M$61,12,0)*(AB105/144),0)</f>
        <v>0</v>
      </c>
      <c r="AQ105" s="181">
        <f t="shared" si="65"/>
        <v>0</v>
      </c>
      <c r="AR105" s="104">
        <f t="shared" si="66"/>
        <v>0</v>
      </c>
      <c r="AS105" s="104">
        <f t="shared" si="67"/>
        <v>0</v>
      </c>
      <c r="AT105" s="181" cm="1">
        <f t="array" ref="AT105">IF(P105="NO",0,IF(AND(N105&lt;49,$A$4="RETAIL"),'Comp Hardware'!$L$6,IF(AND(N105&gt;48,N105&lt;96,$A$4="RETAIL"),'Comp Hardware'!$L$7,IF(AND(N105&gt;=96,$A$4="RETAIL"),'Comp Hardware'!$L$8,IF(AND(N105&lt;49,$A$4="BLDR"),'Comp Hardware'!$M$6,IF(AND(N105&gt;48,N105&lt;96,$A$4="BLDR"),'Comp Hardware'!$M$7,IF(AND(N105&gt;=96,$A$4="BLDR"),'Comp Hardware'!$M$8,IF(AND(N105&lt;49,$A$4="WHOLE"),'Comp Hardware'!$N$6,IF(AND(N105&gt;48,N105&lt;96,$A$4="WHOLE"),'Comp Hardware'!$N$7,IF(AND(N105&gt;=96,$A$4="WHOLE"),'Comp Hardware'!$N$8,IF(AND(N105&lt;49,$A$4="LCR"),'Comp Hardware'!$N$6,IF(AND(N105&gt;48,N105&lt;96,$A$4="LCR"),'Comp Hardware'!$N$7,IF(AND(N105&gt;=96,$A$4="LCR"),'Comp Hardware'!$N$8,_xludf.na)))))))))))))*F105</f>
        <v>0</v>
      </c>
      <c r="AU105" s="181" cm="1">
        <f t="array" ref="AU105">IF(Q105="NO",0,IF(AND(N105&lt;49,$A$4="RETAIL"),'Comp Hardware'!$G$171,IF(AND(N105&gt;48,N105&lt;96,$A$4="RETAIL"),'Comp Hardware'!$G$171*1.5,IF(AND(N105&gt;=96,$A$4="RETAIL"),'Comp Hardware'!$G$171*2,IF(AND(N105&lt;49,$A$4="BLDR"),'Comp Hardware'!$H$171,IF(AND(N105&gt;48,N105&lt;96,$A$4="BLDR"),'Comp Hardware'!$H$171*1.5,IF(AND(N105&gt;=96,$A$4="BLDR"),'Comp Hardware'!$H$171*2,IF(AND(N105&lt;49,$A$4="WHOLE"),'Comp Hardware'!$I$171,IF(AND(N105&gt;48,N105&lt;96,$A$4="WHOLE"),'Comp Hardware'!$I$171*1.5,IF(AND(N105&gt;=96,$A$4="WHOLE"),'Comp Hardware'!$I$171*2,IF(AND(N105&lt;49,$A$4="LCR"),'Comp Hardware'!$I$171,IF(AND(N105&gt;48,N105&lt;96,$A$4="LCR"),'Comp Hardware'!$I$171*1.5,IF(AND(N105&gt;=96,$A$4="LCR"),'Comp Hardware'!$I$171*2,_xludf.na)))))))))))))*F105</f>
        <v>0</v>
      </c>
      <c r="AV105" s="104">
        <f t="shared" si="68"/>
        <v>0</v>
      </c>
      <c r="AW105" s="104">
        <f t="shared" si="69"/>
        <v>0</v>
      </c>
      <c r="AX105" s="104">
        <f t="shared" si="70"/>
        <v>0</v>
      </c>
      <c r="AY105" s="104">
        <f t="shared" si="71"/>
        <v>0</v>
      </c>
      <c r="AZ105" s="104">
        <f t="shared" si="72"/>
        <v>0</v>
      </c>
      <c r="BA105" s="104">
        <f t="shared" si="73"/>
        <v>0</v>
      </c>
    </row>
    <row r="106" spans="1:54">
      <c r="A106" s="2">
        <v>97</v>
      </c>
      <c r="B106" s="277">
        <f t="shared" si="74"/>
        <v>0</v>
      </c>
      <c r="C106" s="277">
        <f t="shared" si="75"/>
        <v>0</v>
      </c>
      <c r="D106" s="277">
        <f t="shared" si="76"/>
        <v>0</v>
      </c>
      <c r="E106" s="22">
        <f t="shared" si="77"/>
        <v>0</v>
      </c>
      <c r="F106" s="160"/>
      <c r="G106" s="160"/>
      <c r="H106" s="160"/>
      <c r="I106" s="160"/>
      <c r="J106" s="75" t="str">
        <f>IFERROR(VLOOKUP(I106,'PAINT LABOR COSTS'!$B$59:$C$61,2,FALSE),"Pick Color")</f>
        <v>Pick Color</v>
      </c>
      <c r="K106" s="160"/>
      <c r="L106" s="198">
        <v>0</v>
      </c>
      <c r="M106" s="199">
        <v>0</v>
      </c>
      <c r="N106" s="198">
        <v>0</v>
      </c>
      <c r="O106" s="199">
        <v>0</v>
      </c>
      <c r="P106" s="160" t="s">
        <v>419</v>
      </c>
      <c r="Q106" s="160" t="s">
        <v>419</v>
      </c>
      <c r="R106" s="160" t="s">
        <v>419</v>
      </c>
      <c r="S106" s="160" t="s">
        <v>419</v>
      </c>
      <c r="T106" s="160" t="s">
        <v>419</v>
      </c>
      <c r="U106" s="160" t="s">
        <v>419</v>
      </c>
      <c r="V106" s="160" t="s">
        <v>419</v>
      </c>
      <c r="W106" s="160">
        <v>0</v>
      </c>
      <c r="X106" s="160" t="s">
        <v>419</v>
      </c>
      <c r="Y106" s="160">
        <v>0</v>
      </c>
      <c r="Z106" s="160" t="s">
        <v>419</v>
      </c>
      <c r="AB106" s="2">
        <f t="shared" si="51"/>
        <v>0</v>
      </c>
      <c r="AC106" s="277">
        <f t="shared" ref="AC106:AC109" si="78">IF(H106="BB",0.1333*AB106*$AF$163*2,IF(H106="LOU",0,IF(H106="RP",0,0)))</f>
        <v>0</v>
      </c>
      <c r="AD106" s="277">
        <f t="shared" ref="AD106:AD109" si="79">IF(H106="BB",0,IF(H106="LOU",(((AE106/$AE$8)*0.86)/2)*$AD$8,IF(H106="RP",(((AE106/$AE$8)*0.86)/2)*$AD$8,0)))</f>
        <v>0</v>
      </c>
      <c r="AE106" s="234">
        <f t="shared" si="54"/>
        <v>0</v>
      </c>
      <c r="AF106" s="104">
        <f t="shared" ref="AF106:AF109" si="80">IF(H106="",0,SUM(AC106:AE106))</f>
        <v>0</v>
      </c>
      <c r="AG106" s="279">
        <f t="shared" si="56"/>
        <v>0</v>
      </c>
      <c r="AH106" s="279">
        <f t="shared" si="57"/>
        <v>0</v>
      </c>
      <c r="AI106" s="104">
        <f t="shared" si="58"/>
        <v>0</v>
      </c>
      <c r="AJ106" s="104">
        <f t="shared" si="59"/>
        <v>0</v>
      </c>
      <c r="AK106" s="104">
        <f t="shared" si="60"/>
        <v>0</v>
      </c>
      <c r="AL106" s="104">
        <f t="shared" si="61"/>
        <v>0</v>
      </c>
      <c r="AM106" s="104">
        <f t="shared" si="62"/>
        <v>0</v>
      </c>
      <c r="AN106" s="104">
        <f t="shared" si="63"/>
        <v>0</v>
      </c>
      <c r="AO106" s="104">
        <f t="shared" si="64"/>
        <v>0</v>
      </c>
      <c r="AP106" s="181">
        <f>IF(I106="BB-CFPNT",VLOOKUP(I106,'PAINT LABOR COSTS'!$B$59:$M$61,12,0)*(AB106/144),0)</f>
        <v>0</v>
      </c>
      <c r="AQ106" s="181">
        <f t="shared" si="65"/>
        <v>0</v>
      </c>
      <c r="AR106" s="104">
        <f t="shared" si="66"/>
        <v>0</v>
      </c>
      <c r="AS106" s="104">
        <f t="shared" si="67"/>
        <v>0</v>
      </c>
      <c r="AT106" s="181" cm="1">
        <f t="array" ref="AT106">IF(P106="NO",0,IF(AND(N106&lt;49,$A$4="RETAIL"),'Comp Hardware'!$L$6,IF(AND(N106&gt;48,N106&lt;96,$A$4="RETAIL"),'Comp Hardware'!$L$7,IF(AND(N106&gt;=96,$A$4="RETAIL"),'Comp Hardware'!$L$8,IF(AND(N106&lt;49,$A$4="BLDR"),'Comp Hardware'!$M$6,IF(AND(N106&gt;48,N106&lt;96,$A$4="BLDR"),'Comp Hardware'!$M$7,IF(AND(N106&gt;=96,$A$4="BLDR"),'Comp Hardware'!$M$8,IF(AND(N106&lt;49,$A$4="WHOLE"),'Comp Hardware'!$N$6,IF(AND(N106&gt;48,N106&lt;96,$A$4="WHOLE"),'Comp Hardware'!$N$7,IF(AND(N106&gt;=96,$A$4="WHOLE"),'Comp Hardware'!$N$8,IF(AND(N106&lt;49,$A$4="LCR"),'Comp Hardware'!$N$6,IF(AND(N106&gt;48,N106&lt;96,$A$4="LCR"),'Comp Hardware'!$N$7,IF(AND(N106&gt;=96,$A$4="LCR"),'Comp Hardware'!$N$8,_xludf.na)))))))))))))*F106</f>
        <v>0</v>
      </c>
      <c r="AU106" s="181" cm="1">
        <f t="array" ref="AU106">IF(Q106="NO",0,IF(AND(N106&lt;49,$A$4="RETAIL"),'Comp Hardware'!$G$171,IF(AND(N106&gt;48,N106&lt;96,$A$4="RETAIL"),'Comp Hardware'!$G$171*1.5,IF(AND(N106&gt;=96,$A$4="RETAIL"),'Comp Hardware'!$G$171*2,IF(AND(N106&lt;49,$A$4="BLDR"),'Comp Hardware'!$H$171,IF(AND(N106&gt;48,N106&lt;96,$A$4="BLDR"),'Comp Hardware'!$H$171*1.5,IF(AND(N106&gt;=96,$A$4="BLDR"),'Comp Hardware'!$H$171*2,IF(AND(N106&lt;49,$A$4="WHOLE"),'Comp Hardware'!$I$171,IF(AND(N106&gt;48,N106&lt;96,$A$4="WHOLE"),'Comp Hardware'!$I$171*1.5,IF(AND(N106&gt;=96,$A$4="WHOLE"),'Comp Hardware'!$I$171*2,IF(AND(N106&lt;49,$A$4="LCR"),'Comp Hardware'!$I$171,IF(AND(N106&gt;48,N106&lt;96,$A$4="LCR"),'Comp Hardware'!$I$171*1.5,IF(AND(N106&gt;=96,$A$4="LCR"),'Comp Hardware'!$I$171*2,_xludf.na)))))))))))))*F106</f>
        <v>0</v>
      </c>
      <c r="AV106" s="104">
        <f t="shared" si="68"/>
        <v>0</v>
      </c>
      <c r="AW106" s="104">
        <f t="shared" si="69"/>
        <v>0</v>
      </c>
      <c r="AX106" s="104">
        <f t="shared" si="70"/>
        <v>0</v>
      </c>
      <c r="AY106" s="104">
        <f t="shared" si="71"/>
        <v>0</v>
      </c>
      <c r="AZ106" s="104">
        <f t="shared" si="72"/>
        <v>0</v>
      </c>
      <c r="BA106" s="104">
        <f t="shared" si="73"/>
        <v>0</v>
      </c>
    </row>
    <row r="107" spans="1:54">
      <c r="A107" s="2">
        <v>98</v>
      </c>
      <c r="B107" s="277">
        <f t="shared" si="74"/>
        <v>0</v>
      </c>
      <c r="C107" s="277">
        <f t="shared" si="75"/>
        <v>0</v>
      </c>
      <c r="D107" s="277">
        <f t="shared" si="76"/>
        <v>0</v>
      </c>
      <c r="E107" s="22">
        <f t="shared" si="77"/>
        <v>0</v>
      </c>
      <c r="F107" s="160"/>
      <c r="G107" s="160"/>
      <c r="H107" s="160"/>
      <c r="I107" s="160"/>
      <c r="J107" s="75" t="str">
        <f>IFERROR(VLOOKUP(I107,'PAINT LABOR COSTS'!$B$59:$C$61,2,FALSE),"Pick Color")</f>
        <v>Pick Color</v>
      </c>
      <c r="K107" s="160"/>
      <c r="L107" s="198">
        <v>0</v>
      </c>
      <c r="M107" s="199">
        <v>0</v>
      </c>
      <c r="N107" s="198">
        <v>0</v>
      </c>
      <c r="O107" s="199">
        <v>0</v>
      </c>
      <c r="P107" s="160" t="s">
        <v>419</v>
      </c>
      <c r="Q107" s="160" t="s">
        <v>419</v>
      </c>
      <c r="R107" s="160" t="s">
        <v>419</v>
      </c>
      <c r="S107" s="160" t="s">
        <v>419</v>
      </c>
      <c r="T107" s="160" t="s">
        <v>419</v>
      </c>
      <c r="U107" s="160" t="s">
        <v>419</v>
      </c>
      <c r="V107" s="160" t="s">
        <v>419</v>
      </c>
      <c r="W107" s="160">
        <v>0</v>
      </c>
      <c r="X107" s="160" t="s">
        <v>419</v>
      </c>
      <c r="Y107" s="160">
        <v>0</v>
      </c>
      <c r="Z107" s="160" t="s">
        <v>419</v>
      </c>
      <c r="AB107" s="2">
        <f t="shared" si="51"/>
        <v>0</v>
      </c>
      <c r="AC107" s="277">
        <f t="shared" si="78"/>
        <v>0</v>
      </c>
      <c r="AD107" s="277">
        <f t="shared" si="79"/>
        <v>0</v>
      </c>
      <c r="AE107" s="234">
        <f t="shared" si="54"/>
        <v>0</v>
      </c>
      <c r="AF107" s="104">
        <f t="shared" si="80"/>
        <v>0</v>
      </c>
      <c r="AG107" s="279">
        <f t="shared" si="56"/>
        <v>0</v>
      </c>
      <c r="AH107" s="279">
        <f t="shared" si="57"/>
        <v>0</v>
      </c>
      <c r="AI107" s="104">
        <f t="shared" si="58"/>
        <v>0</v>
      </c>
      <c r="AJ107" s="104">
        <f t="shared" si="59"/>
        <v>0</v>
      </c>
      <c r="AK107" s="104">
        <f t="shared" si="60"/>
        <v>0</v>
      </c>
      <c r="AL107" s="104">
        <f t="shared" si="61"/>
        <v>0</v>
      </c>
      <c r="AM107" s="104">
        <f t="shared" si="62"/>
        <v>0</v>
      </c>
      <c r="AN107" s="104">
        <f t="shared" si="63"/>
        <v>0</v>
      </c>
      <c r="AO107" s="104">
        <f t="shared" si="64"/>
        <v>0</v>
      </c>
      <c r="AP107" s="181">
        <f>IF(I107="BB-CFPNT",VLOOKUP(I107,'PAINT LABOR COSTS'!$B$59:$M$61,12,0)*(AB107/144),0)</f>
        <v>0</v>
      </c>
      <c r="AQ107" s="181">
        <f t="shared" si="65"/>
        <v>0</v>
      </c>
      <c r="AR107" s="104">
        <f t="shared" si="66"/>
        <v>0</v>
      </c>
      <c r="AS107" s="104">
        <f t="shared" si="67"/>
        <v>0</v>
      </c>
      <c r="AT107" s="181" cm="1">
        <f t="array" ref="AT107">IF(P107="NO",0,IF(AND(N107&lt;49,$A$4="RETAIL"),'Comp Hardware'!$L$6,IF(AND(N107&gt;48,N107&lt;96,$A$4="RETAIL"),'Comp Hardware'!$L$7,IF(AND(N107&gt;=96,$A$4="RETAIL"),'Comp Hardware'!$L$8,IF(AND(N107&lt;49,$A$4="BLDR"),'Comp Hardware'!$M$6,IF(AND(N107&gt;48,N107&lt;96,$A$4="BLDR"),'Comp Hardware'!$M$7,IF(AND(N107&gt;=96,$A$4="BLDR"),'Comp Hardware'!$M$8,IF(AND(N107&lt;49,$A$4="WHOLE"),'Comp Hardware'!$N$6,IF(AND(N107&gt;48,N107&lt;96,$A$4="WHOLE"),'Comp Hardware'!$N$7,IF(AND(N107&gt;=96,$A$4="WHOLE"),'Comp Hardware'!$N$8,IF(AND(N107&lt;49,$A$4="LCR"),'Comp Hardware'!$N$6,IF(AND(N107&gt;48,N107&lt;96,$A$4="LCR"),'Comp Hardware'!$N$7,IF(AND(N107&gt;=96,$A$4="LCR"),'Comp Hardware'!$N$8,_xludf.na)))))))))))))*F107</f>
        <v>0</v>
      </c>
      <c r="AU107" s="181" cm="1">
        <f t="array" ref="AU107">IF(Q107="NO",0,IF(AND(N107&lt;49,$A$4="RETAIL"),'Comp Hardware'!$G$171,IF(AND(N107&gt;48,N107&lt;96,$A$4="RETAIL"),'Comp Hardware'!$G$171*1.5,IF(AND(N107&gt;=96,$A$4="RETAIL"),'Comp Hardware'!$G$171*2,IF(AND(N107&lt;49,$A$4="BLDR"),'Comp Hardware'!$H$171,IF(AND(N107&gt;48,N107&lt;96,$A$4="BLDR"),'Comp Hardware'!$H$171*1.5,IF(AND(N107&gt;=96,$A$4="BLDR"),'Comp Hardware'!$H$171*2,IF(AND(N107&lt;49,$A$4="WHOLE"),'Comp Hardware'!$I$171,IF(AND(N107&gt;48,N107&lt;96,$A$4="WHOLE"),'Comp Hardware'!$I$171*1.5,IF(AND(N107&gt;=96,$A$4="WHOLE"),'Comp Hardware'!$I$171*2,IF(AND(N107&lt;49,$A$4="LCR"),'Comp Hardware'!$I$171,IF(AND(N107&gt;48,N107&lt;96,$A$4="LCR"),'Comp Hardware'!$I$171*1.5,IF(AND(N107&gt;=96,$A$4="LCR"),'Comp Hardware'!$I$171*2,_xludf.na)))))))))))))*F107</f>
        <v>0</v>
      </c>
      <c r="AV107" s="104">
        <f t="shared" si="68"/>
        <v>0</v>
      </c>
      <c r="AW107" s="104">
        <f t="shared" si="69"/>
        <v>0</v>
      </c>
      <c r="AX107" s="104">
        <f t="shared" si="70"/>
        <v>0</v>
      </c>
      <c r="AY107" s="104">
        <f t="shared" si="71"/>
        <v>0</v>
      </c>
      <c r="AZ107" s="104">
        <f t="shared" si="72"/>
        <v>0</v>
      </c>
      <c r="BA107" s="104">
        <f t="shared" si="73"/>
        <v>0</v>
      </c>
    </row>
    <row r="108" spans="1:54">
      <c r="A108" s="2">
        <v>99</v>
      </c>
      <c r="B108" s="277">
        <f t="shared" si="74"/>
        <v>0</v>
      </c>
      <c r="C108" s="277">
        <f t="shared" si="75"/>
        <v>0</v>
      </c>
      <c r="D108" s="277">
        <f t="shared" si="76"/>
        <v>0</v>
      </c>
      <c r="E108" s="22">
        <f t="shared" si="77"/>
        <v>0</v>
      </c>
      <c r="F108" s="160"/>
      <c r="G108" s="160"/>
      <c r="H108" s="160"/>
      <c r="I108" s="160"/>
      <c r="J108" s="75" t="str">
        <f>IFERROR(VLOOKUP(I108,'PAINT LABOR COSTS'!$B$59:$C$61,2,FALSE),"Pick Color")</f>
        <v>Pick Color</v>
      </c>
      <c r="K108" s="160"/>
      <c r="L108" s="198">
        <v>0</v>
      </c>
      <c r="M108" s="199">
        <v>0</v>
      </c>
      <c r="N108" s="198">
        <v>0</v>
      </c>
      <c r="O108" s="199">
        <v>0</v>
      </c>
      <c r="P108" s="160" t="s">
        <v>419</v>
      </c>
      <c r="Q108" s="160" t="s">
        <v>419</v>
      </c>
      <c r="R108" s="160" t="s">
        <v>419</v>
      </c>
      <c r="S108" s="160" t="s">
        <v>419</v>
      </c>
      <c r="T108" s="160" t="s">
        <v>419</v>
      </c>
      <c r="U108" s="160" t="s">
        <v>419</v>
      </c>
      <c r="V108" s="160" t="s">
        <v>419</v>
      </c>
      <c r="W108" s="160">
        <v>0</v>
      </c>
      <c r="X108" s="160" t="s">
        <v>419</v>
      </c>
      <c r="Y108" s="160">
        <v>0</v>
      </c>
      <c r="Z108" s="160" t="s">
        <v>419</v>
      </c>
      <c r="AB108" s="2">
        <f t="shared" si="51"/>
        <v>0</v>
      </c>
      <c r="AC108" s="277">
        <f t="shared" si="78"/>
        <v>0</v>
      </c>
      <c r="AD108" s="277">
        <f t="shared" si="79"/>
        <v>0</v>
      </c>
      <c r="AE108" s="234">
        <f t="shared" si="54"/>
        <v>0</v>
      </c>
      <c r="AF108" s="104">
        <f t="shared" si="80"/>
        <v>0</v>
      </c>
      <c r="AG108" s="279">
        <f t="shared" si="56"/>
        <v>0</v>
      </c>
      <c r="AH108" s="279">
        <f t="shared" si="57"/>
        <v>0</v>
      </c>
      <c r="AI108" s="104">
        <f t="shared" si="58"/>
        <v>0</v>
      </c>
      <c r="AJ108" s="104">
        <f t="shared" si="59"/>
        <v>0</v>
      </c>
      <c r="AK108" s="104">
        <f t="shared" si="60"/>
        <v>0</v>
      </c>
      <c r="AL108" s="104">
        <f t="shared" si="61"/>
        <v>0</v>
      </c>
      <c r="AM108" s="104">
        <f t="shared" si="62"/>
        <v>0</v>
      </c>
      <c r="AN108" s="104">
        <f t="shared" si="63"/>
        <v>0</v>
      </c>
      <c r="AO108" s="104">
        <f t="shared" si="64"/>
        <v>0</v>
      </c>
      <c r="AP108" s="181">
        <f>IF(I108="BB-CFPNT",VLOOKUP(I108,'PAINT LABOR COSTS'!$B$59:$M$61,12,0)*(AB108/144),0)</f>
        <v>0</v>
      </c>
      <c r="AQ108" s="181">
        <f t="shared" si="65"/>
        <v>0</v>
      </c>
      <c r="AR108" s="104">
        <f t="shared" si="66"/>
        <v>0</v>
      </c>
      <c r="AS108" s="104">
        <f t="shared" si="67"/>
        <v>0</v>
      </c>
      <c r="AT108" s="181" cm="1">
        <f t="array" ref="AT108">IF(P108="NO",0,IF(AND(N108&lt;49,$A$4="RETAIL"),'Comp Hardware'!$L$6,IF(AND(N108&gt;48,N108&lt;96,$A$4="RETAIL"),'Comp Hardware'!$L$7,IF(AND(N108&gt;=96,$A$4="RETAIL"),'Comp Hardware'!$L$8,IF(AND(N108&lt;49,$A$4="BLDR"),'Comp Hardware'!$M$6,IF(AND(N108&gt;48,N108&lt;96,$A$4="BLDR"),'Comp Hardware'!$M$7,IF(AND(N108&gt;=96,$A$4="BLDR"),'Comp Hardware'!$M$8,IF(AND(N108&lt;49,$A$4="WHOLE"),'Comp Hardware'!$N$6,IF(AND(N108&gt;48,N108&lt;96,$A$4="WHOLE"),'Comp Hardware'!$N$7,IF(AND(N108&gt;=96,$A$4="WHOLE"),'Comp Hardware'!$N$8,IF(AND(N108&lt;49,$A$4="LCR"),'Comp Hardware'!$N$6,IF(AND(N108&gt;48,N108&lt;96,$A$4="LCR"),'Comp Hardware'!$N$7,IF(AND(N108&gt;=96,$A$4="LCR"),'Comp Hardware'!$N$8,_xludf.na)))))))))))))*F108</f>
        <v>0</v>
      </c>
      <c r="AU108" s="181" cm="1">
        <f t="array" ref="AU108">IF(Q108="NO",0,IF(AND(N108&lt;49,$A$4="RETAIL"),'Comp Hardware'!$G$171,IF(AND(N108&gt;48,N108&lt;96,$A$4="RETAIL"),'Comp Hardware'!$G$171*1.5,IF(AND(N108&gt;=96,$A$4="RETAIL"),'Comp Hardware'!$G$171*2,IF(AND(N108&lt;49,$A$4="BLDR"),'Comp Hardware'!$H$171,IF(AND(N108&gt;48,N108&lt;96,$A$4="BLDR"),'Comp Hardware'!$H$171*1.5,IF(AND(N108&gt;=96,$A$4="BLDR"),'Comp Hardware'!$H$171*2,IF(AND(N108&lt;49,$A$4="WHOLE"),'Comp Hardware'!$I$171,IF(AND(N108&gt;48,N108&lt;96,$A$4="WHOLE"),'Comp Hardware'!$I$171*1.5,IF(AND(N108&gt;=96,$A$4="WHOLE"),'Comp Hardware'!$I$171*2,IF(AND(N108&lt;49,$A$4="LCR"),'Comp Hardware'!$I$171,IF(AND(N108&gt;48,N108&lt;96,$A$4="LCR"),'Comp Hardware'!$I$171*1.5,IF(AND(N108&gt;=96,$A$4="LCR"),'Comp Hardware'!$I$171*2,_xludf.na)))))))))))))*F108</f>
        <v>0</v>
      </c>
      <c r="AV108" s="104">
        <f t="shared" si="68"/>
        <v>0</v>
      </c>
      <c r="AW108" s="104">
        <f t="shared" si="69"/>
        <v>0</v>
      </c>
      <c r="AX108" s="104">
        <f t="shared" si="70"/>
        <v>0</v>
      </c>
      <c r="AY108" s="104">
        <f t="shared" si="71"/>
        <v>0</v>
      </c>
      <c r="AZ108" s="104">
        <f t="shared" si="72"/>
        <v>0</v>
      </c>
      <c r="BA108" s="104">
        <f t="shared" si="73"/>
        <v>0</v>
      </c>
    </row>
    <row r="109" spans="1:54" s="120" customFormat="1">
      <c r="A109" s="280">
        <v>100</v>
      </c>
      <c r="B109" s="277">
        <f t="shared" si="74"/>
        <v>0</v>
      </c>
      <c r="C109" s="277">
        <f t="shared" si="75"/>
        <v>0</v>
      </c>
      <c r="D109" s="277">
        <f t="shared" si="76"/>
        <v>0</v>
      </c>
      <c r="E109" s="22">
        <f t="shared" si="77"/>
        <v>0</v>
      </c>
      <c r="F109" s="160"/>
      <c r="G109" s="160"/>
      <c r="H109" s="160"/>
      <c r="I109" s="160"/>
      <c r="J109" s="75" t="str">
        <f>IFERROR(VLOOKUP(I109,'PAINT LABOR COSTS'!$B$59:$C$61,2,FALSE),"Pick Color")</f>
        <v>Pick Color</v>
      </c>
      <c r="K109" s="160"/>
      <c r="L109" s="198">
        <v>0</v>
      </c>
      <c r="M109" s="199">
        <v>0</v>
      </c>
      <c r="N109" s="198">
        <v>0</v>
      </c>
      <c r="O109" s="199">
        <v>0</v>
      </c>
      <c r="P109" s="160" t="s">
        <v>419</v>
      </c>
      <c r="Q109" s="160" t="s">
        <v>419</v>
      </c>
      <c r="R109" s="160" t="s">
        <v>419</v>
      </c>
      <c r="S109" s="160" t="s">
        <v>419</v>
      </c>
      <c r="T109" s="160" t="s">
        <v>419</v>
      </c>
      <c r="U109" s="160" t="s">
        <v>419</v>
      </c>
      <c r="V109" s="160" t="s">
        <v>419</v>
      </c>
      <c r="W109" s="160">
        <v>0</v>
      </c>
      <c r="X109" s="160" t="s">
        <v>419</v>
      </c>
      <c r="Y109" s="160">
        <v>0</v>
      </c>
      <c r="Z109" s="160" t="s">
        <v>419</v>
      </c>
      <c r="AA109" s="121"/>
      <c r="AB109" s="2">
        <f t="shared" si="51"/>
        <v>0</v>
      </c>
      <c r="AC109" s="277">
        <f t="shared" si="78"/>
        <v>0</v>
      </c>
      <c r="AD109" s="277">
        <f t="shared" si="79"/>
        <v>0</v>
      </c>
      <c r="AE109" s="234">
        <f t="shared" si="54"/>
        <v>0</v>
      </c>
      <c r="AF109" s="104">
        <f t="shared" si="80"/>
        <v>0</v>
      </c>
      <c r="AG109" s="279">
        <f t="shared" si="56"/>
        <v>0</v>
      </c>
      <c r="AH109" s="279">
        <f t="shared" si="57"/>
        <v>0</v>
      </c>
      <c r="AI109" s="104">
        <f t="shared" si="58"/>
        <v>0</v>
      </c>
      <c r="AJ109" s="104">
        <f t="shared" si="59"/>
        <v>0</v>
      </c>
      <c r="AK109" s="104">
        <f t="shared" si="60"/>
        <v>0</v>
      </c>
      <c r="AL109" s="104">
        <f t="shared" si="61"/>
        <v>0</v>
      </c>
      <c r="AM109" s="104">
        <f t="shared" si="62"/>
        <v>0</v>
      </c>
      <c r="AN109" s="104">
        <f t="shared" si="63"/>
        <v>0</v>
      </c>
      <c r="AO109" s="104">
        <f t="shared" si="64"/>
        <v>0</v>
      </c>
      <c r="AP109" s="181">
        <f>IF(I109="BB-CFPNT",VLOOKUP(I109,'PAINT LABOR COSTS'!$B$59:$M$61,12,0)*(AB109/144),0)</f>
        <v>0</v>
      </c>
      <c r="AQ109" s="181">
        <f t="shared" si="65"/>
        <v>0</v>
      </c>
      <c r="AR109" s="104">
        <f t="shared" si="66"/>
        <v>0</v>
      </c>
      <c r="AS109" s="104">
        <f t="shared" si="67"/>
        <v>0</v>
      </c>
      <c r="AT109" s="181" cm="1">
        <f t="array" ref="AT109">IF(P109="NO",0,IF(AND(N109&lt;49,$A$4="RETAIL"),'Comp Hardware'!$L$6,IF(AND(N109&gt;48,N109&lt;96,$A$4="RETAIL"),'Comp Hardware'!$L$7,IF(AND(N109&gt;=96,$A$4="RETAIL"),'Comp Hardware'!$L$8,IF(AND(N109&lt;49,$A$4="BLDR"),'Comp Hardware'!$M$6,IF(AND(N109&gt;48,N109&lt;96,$A$4="BLDR"),'Comp Hardware'!$M$7,IF(AND(N109&gt;=96,$A$4="BLDR"),'Comp Hardware'!$M$8,IF(AND(N109&lt;49,$A$4="WHOLE"),'Comp Hardware'!$N$6,IF(AND(N109&gt;48,N109&lt;96,$A$4="WHOLE"),'Comp Hardware'!$N$7,IF(AND(N109&gt;=96,$A$4="WHOLE"),'Comp Hardware'!$N$8,IF(AND(N109&lt;49,$A$4="LCR"),'Comp Hardware'!$N$6,IF(AND(N109&gt;48,N109&lt;96,$A$4="LCR"),'Comp Hardware'!$N$7,IF(AND(N109&gt;=96,$A$4="LCR"),'Comp Hardware'!$N$8,_xludf.na)))))))))))))*F109</f>
        <v>0</v>
      </c>
      <c r="AU109" s="181" cm="1">
        <f t="array" ref="AU109">IF(Q109="NO",0,IF(AND(N109&lt;49,$A$4="RETAIL"),'Comp Hardware'!$G$171,IF(AND(N109&gt;48,N109&lt;96,$A$4="RETAIL"),'Comp Hardware'!$G$171*1.5,IF(AND(N109&gt;=96,$A$4="RETAIL"),'Comp Hardware'!$G$171*2,IF(AND(N109&lt;49,$A$4="BLDR"),'Comp Hardware'!$H$171,IF(AND(N109&gt;48,N109&lt;96,$A$4="BLDR"),'Comp Hardware'!$H$171*1.5,IF(AND(N109&gt;=96,$A$4="BLDR"),'Comp Hardware'!$H$171*2,IF(AND(N109&lt;49,$A$4="WHOLE"),'Comp Hardware'!$I$171,IF(AND(N109&gt;48,N109&lt;96,$A$4="WHOLE"),'Comp Hardware'!$I$171*1.5,IF(AND(N109&gt;=96,$A$4="WHOLE"),'Comp Hardware'!$I$171*2,IF(AND(N109&lt;49,$A$4="LCR"),'Comp Hardware'!$I$171,IF(AND(N109&gt;48,N109&lt;96,$A$4="LCR"),'Comp Hardware'!$I$171*1.5,IF(AND(N109&gt;=96,$A$4="LCR"),'Comp Hardware'!$I$171*2,_xludf.na)))))))))))))*F109</f>
        <v>0</v>
      </c>
      <c r="AV109" s="104">
        <f t="shared" si="68"/>
        <v>0</v>
      </c>
      <c r="AW109" s="104">
        <f t="shared" si="69"/>
        <v>0</v>
      </c>
      <c r="AX109" s="104">
        <f t="shared" si="70"/>
        <v>0</v>
      </c>
      <c r="AY109" s="104">
        <f t="shared" si="71"/>
        <v>0</v>
      </c>
      <c r="AZ109" s="104">
        <f t="shared" si="72"/>
        <v>0</v>
      </c>
      <c r="BA109" s="104">
        <f t="shared" si="73"/>
        <v>0</v>
      </c>
      <c r="BB109"/>
    </row>
    <row r="110" spans="1:54" s="91" customFormat="1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122"/>
      <c r="M110" s="122"/>
      <c r="N110" s="122"/>
      <c r="O110" s="122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  <c r="AA110" s="123"/>
      <c r="AG110" s="126"/>
    </row>
    <row r="160" spans="7:34" ht="18.75">
      <c r="G160" s="140"/>
      <c r="H160" s="140"/>
      <c r="I160" s="140"/>
      <c r="J160" s="140"/>
      <c r="K160" s="140"/>
      <c r="L160" s="142">
        <v>0</v>
      </c>
      <c r="M160" s="143">
        <v>0</v>
      </c>
      <c r="N160" s="142">
        <v>0</v>
      </c>
      <c r="O160" s="142">
        <v>0</v>
      </c>
      <c r="P160" s="140"/>
      <c r="Q160" s="140"/>
      <c r="R160" s="140"/>
      <c r="S160" s="140"/>
      <c r="T160" s="140"/>
      <c r="U160" s="140"/>
      <c r="V160" s="140"/>
      <c r="W160" s="140"/>
      <c r="AF160" s="2"/>
      <c r="AG160" s="39"/>
      <c r="AH160" s="2"/>
    </row>
    <row r="161" spans="7:44" ht="18.75">
      <c r="G161" s="140" t="s">
        <v>460</v>
      </c>
      <c r="H161" s="140" t="s">
        <v>527</v>
      </c>
      <c r="I161" s="140" t="s">
        <v>246</v>
      </c>
      <c r="J161" s="140"/>
      <c r="K161" s="140" t="s">
        <v>420</v>
      </c>
      <c r="L161" s="142">
        <v>12</v>
      </c>
      <c r="M161" s="144">
        <v>0.125</v>
      </c>
      <c r="N161" s="142">
        <v>12</v>
      </c>
      <c r="O161" s="142">
        <v>0.125</v>
      </c>
      <c r="P161" s="140" t="s">
        <v>394</v>
      </c>
      <c r="Q161" s="140"/>
      <c r="R161" s="140"/>
      <c r="S161" s="140"/>
      <c r="T161" s="140"/>
      <c r="U161" s="140"/>
      <c r="V161" s="140"/>
      <c r="W161" s="145">
        <v>0</v>
      </c>
      <c r="AF161" s="113" t="s">
        <v>509</v>
      </c>
      <c r="AG161" s="115">
        <f>Parts!M151</f>
        <v>0.19469933035714287</v>
      </c>
      <c r="AH161" s="115">
        <f>Parts!M152</f>
        <v>3.8193600000000004E-3</v>
      </c>
      <c r="AI161" s="2" t="s">
        <v>527</v>
      </c>
      <c r="AJ161" s="2" t="s">
        <v>527</v>
      </c>
      <c r="AK161" s="2" t="s">
        <v>527</v>
      </c>
      <c r="AO161" s="2" t="s">
        <v>527</v>
      </c>
    </row>
    <row r="162" spans="7:44" ht="18.75">
      <c r="G162" s="140" t="s">
        <v>457</v>
      </c>
      <c r="H162" s="140" t="s">
        <v>529</v>
      </c>
      <c r="I162" s="140" t="s">
        <v>195</v>
      </c>
      <c r="J162" s="140"/>
      <c r="K162" s="140" t="s">
        <v>530</v>
      </c>
      <c r="L162" s="142">
        <v>13</v>
      </c>
      <c r="M162" s="144">
        <v>0.25</v>
      </c>
      <c r="N162" s="142">
        <v>13</v>
      </c>
      <c r="O162" s="142">
        <v>0.25</v>
      </c>
      <c r="P162" s="140" t="s">
        <v>419</v>
      </c>
      <c r="Q162" s="140"/>
      <c r="R162" s="140"/>
      <c r="S162" s="140"/>
      <c r="T162" s="140"/>
      <c r="U162" s="140"/>
      <c r="V162" s="140"/>
      <c r="W162" s="145" t="s">
        <v>463</v>
      </c>
      <c r="AF162" s="2">
        <f>Parts!M84</f>
        <v>54.900500000000008</v>
      </c>
      <c r="AG162" s="39" t="s">
        <v>527</v>
      </c>
      <c r="AH162" s="2" t="s">
        <v>527</v>
      </c>
      <c r="AI162">
        <v>1.8700000000000001E-2</v>
      </c>
      <c r="AJ162">
        <v>4.1089999999999998E-3</v>
      </c>
      <c r="AK162">
        <v>3.363E-2</v>
      </c>
      <c r="AL162">
        <v>4.5739999999999999E-3</v>
      </c>
      <c r="AM162" s="282">
        <f>'PAINT LABOR COSTS'!M60/144</f>
        <v>7.634611111111112E-3</v>
      </c>
      <c r="AN162" s="180">
        <f>'PAINT LABOR COSTS'!H60</f>
        <v>5.5999999999999999E-3</v>
      </c>
      <c r="AO162" s="283">
        <f>'PAINT LABOR COSTS'!M61/144</f>
        <v>1.0070067509673854E-2</v>
      </c>
      <c r="AR162" t="s">
        <v>420</v>
      </c>
    </row>
    <row r="163" spans="7:44" ht="18.75">
      <c r="G163" s="140"/>
      <c r="H163" s="140" t="s">
        <v>531</v>
      </c>
      <c r="I163" s="140" t="s">
        <v>361</v>
      </c>
      <c r="J163" s="140"/>
      <c r="K163" s="140" t="s">
        <v>422</v>
      </c>
      <c r="L163" s="142">
        <v>14</v>
      </c>
      <c r="M163" s="144">
        <v>0.375</v>
      </c>
      <c r="N163" s="142">
        <v>14</v>
      </c>
      <c r="O163" s="142">
        <v>0.375</v>
      </c>
      <c r="P163" s="140"/>
      <c r="Q163" s="140"/>
      <c r="R163" s="140"/>
      <c r="S163" s="140"/>
      <c r="T163" s="140"/>
      <c r="U163" s="140"/>
      <c r="V163" s="140"/>
      <c r="W163" s="145" t="s">
        <v>465</v>
      </c>
      <c r="AF163" s="2">
        <f>AF162/4753</f>
        <v>1.1550704818009679E-2</v>
      </c>
      <c r="AG163" s="92">
        <v>5570</v>
      </c>
      <c r="AH163" s="2">
        <v>5570</v>
      </c>
      <c r="AI163" s="2" t="s">
        <v>529</v>
      </c>
      <c r="AJ163" s="2" t="s">
        <v>529</v>
      </c>
      <c r="AK163" s="2" t="s">
        <v>529</v>
      </c>
      <c r="AO163" s="2" t="s">
        <v>529</v>
      </c>
      <c r="AR163" s="104">
        <v>15</v>
      </c>
    </row>
    <row r="164" spans="7:44" ht="18.75">
      <c r="G164" s="140"/>
      <c r="H164" s="140" t="s">
        <v>532</v>
      </c>
      <c r="I164" s="140" t="s">
        <v>423</v>
      </c>
      <c r="J164" s="140"/>
      <c r="K164" s="140" t="s">
        <v>396</v>
      </c>
      <c r="L164" s="142">
        <v>15</v>
      </c>
      <c r="M164" s="144">
        <v>0.5</v>
      </c>
      <c r="N164" s="142">
        <v>15</v>
      </c>
      <c r="O164" s="142">
        <v>0.5</v>
      </c>
      <c r="P164" s="140"/>
      <c r="Q164" s="140"/>
      <c r="R164" s="140"/>
      <c r="S164" s="140"/>
      <c r="T164" s="140"/>
      <c r="U164" s="140"/>
      <c r="V164" s="140"/>
      <c r="W164" s="145" t="s">
        <v>467</v>
      </c>
      <c r="AF164" s="25" t="s">
        <v>510</v>
      </c>
      <c r="AG164" s="127"/>
      <c r="AH164" s="25"/>
      <c r="AI164">
        <f t="shared" ref="AI164:AO164" si="81">AI162*1.2</f>
        <v>2.2440000000000002E-2</v>
      </c>
      <c r="AJ164">
        <f t="shared" si="81"/>
        <v>4.9307999999999999E-3</v>
      </c>
      <c r="AK164">
        <f t="shared" si="81"/>
        <v>4.0355999999999996E-2</v>
      </c>
      <c r="AL164">
        <f t="shared" si="81"/>
        <v>5.4887999999999994E-3</v>
      </c>
      <c r="AM164">
        <f t="shared" si="81"/>
        <v>9.1615333333333344E-3</v>
      </c>
      <c r="AN164">
        <f t="shared" si="81"/>
        <v>6.7199999999999994E-3</v>
      </c>
      <c r="AO164" s="2">
        <f t="shared" si="81"/>
        <v>1.2084081011608624E-2</v>
      </c>
      <c r="AR164" t="s">
        <v>421</v>
      </c>
    </row>
    <row r="165" spans="7:44" ht="18.75">
      <c r="G165" s="140"/>
      <c r="H165" s="140" t="s">
        <v>533</v>
      </c>
      <c r="I165" s="140"/>
      <c r="J165" s="140"/>
      <c r="K165" s="140" t="s">
        <v>423</v>
      </c>
      <c r="L165" s="142">
        <v>16</v>
      </c>
      <c r="M165" s="144">
        <v>0.625</v>
      </c>
      <c r="N165" s="142">
        <v>16</v>
      </c>
      <c r="O165" s="142">
        <v>0.625</v>
      </c>
      <c r="P165" s="140"/>
      <c r="Q165" s="140"/>
      <c r="R165" s="140"/>
      <c r="S165" s="140"/>
      <c r="T165" s="140"/>
      <c r="U165" s="140"/>
      <c r="V165" s="140"/>
      <c r="W165" s="140"/>
      <c r="AF165" s="2">
        <f>Parts!M83</f>
        <v>68.307500000000005</v>
      </c>
      <c r="AG165" s="39" t="s">
        <v>534</v>
      </c>
      <c r="AH165" s="2" t="s">
        <v>534</v>
      </c>
      <c r="AI165" s="2" t="s">
        <v>531</v>
      </c>
      <c r="AJ165" s="2" t="s">
        <v>531</v>
      </c>
      <c r="AK165" s="2" t="s">
        <v>531</v>
      </c>
      <c r="AO165" s="2" t="s">
        <v>531</v>
      </c>
      <c r="AR165" s="104">
        <v>50</v>
      </c>
    </row>
    <row r="166" spans="7:44" ht="18.75">
      <c r="G166" s="140"/>
      <c r="H166" s="140"/>
      <c r="I166" s="140"/>
      <c r="J166" s="140"/>
      <c r="K166" s="140"/>
      <c r="L166" s="142">
        <v>17</v>
      </c>
      <c r="M166" s="144">
        <v>0.75</v>
      </c>
      <c r="N166" s="142">
        <v>17</v>
      </c>
      <c r="O166" s="142">
        <v>0.75</v>
      </c>
      <c r="P166" s="140"/>
      <c r="Q166" s="140"/>
      <c r="R166" s="140"/>
      <c r="S166" s="140"/>
      <c r="T166" s="140"/>
      <c r="U166" s="140"/>
      <c r="V166" s="140"/>
      <c r="W166" s="140"/>
      <c r="AF166" s="2">
        <f>AF165/4753</f>
        <v>1.4371449610772144E-2</v>
      </c>
      <c r="AG166" s="39" t="s">
        <v>535</v>
      </c>
      <c r="AH166" s="2" t="s">
        <v>536</v>
      </c>
      <c r="AI166">
        <f t="shared" ref="AI166:AO166" si="82">AI162*1.5</f>
        <v>2.8050000000000002E-2</v>
      </c>
      <c r="AJ166">
        <f t="shared" si="82"/>
        <v>6.1634999999999997E-3</v>
      </c>
      <c r="AK166">
        <f t="shared" si="82"/>
        <v>5.0445000000000004E-2</v>
      </c>
      <c r="AL166">
        <f t="shared" si="82"/>
        <v>6.8609999999999999E-3</v>
      </c>
      <c r="AM166">
        <f t="shared" si="82"/>
        <v>1.1451916666666668E-2</v>
      </c>
      <c r="AN166">
        <f t="shared" si="82"/>
        <v>8.3999999999999995E-3</v>
      </c>
      <c r="AO166" s="2">
        <f t="shared" si="82"/>
        <v>1.5105101264510781E-2</v>
      </c>
      <c r="AR166" t="s">
        <v>422</v>
      </c>
    </row>
    <row r="167" spans="7:44" ht="18.75">
      <c r="G167" s="140"/>
      <c r="H167" s="140"/>
      <c r="I167" s="140"/>
      <c r="J167" s="140"/>
      <c r="K167" s="140"/>
      <c r="L167" s="142">
        <v>18</v>
      </c>
      <c r="M167" s="144">
        <v>0.875</v>
      </c>
      <c r="N167" s="142">
        <v>18</v>
      </c>
      <c r="O167" s="142">
        <v>0.875</v>
      </c>
      <c r="P167" s="140"/>
      <c r="Q167" s="140"/>
      <c r="R167" s="140"/>
      <c r="S167" s="140"/>
      <c r="T167" s="140"/>
      <c r="U167" s="140"/>
      <c r="V167" s="140"/>
      <c r="W167" s="140"/>
      <c r="AF167" s="25" t="s">
        <v>537</v>
      </c>
      <c r="AG167" s="115">
        <f>104/14080</f>
        <v>7.3863636363636362E-3</v>
      </c>
      <c r="AH167" s="25">
        <f>188/14080</f>
        <v>1.3352272727272727E-2</v>
      </c>
      <c r="AR167" s="104">
        <v>30</v>
      </c>
    </row>
    <row r="168" spans="7:44" ht="18.75">
      <c r="G168" s="140"/>
      <c r="H168" s="140"/>
      <c r="I168" s="140"/>
      <c r="J168" s="140"/>
      <c r="K168" s="140"/>
      <c r="L168" s="142">
        <v>19</v>
      </c>
      <c r="M168" s="142"/>
      <c r="N168" s="142">
        <v>19</v>
      </c>
      <c r="O168" s="142"/>
      <c r="P168" s="140"/>
      <c r="Q168" s="140"/>
      <c r="R168" s="140"/>
      <c r="S168" s="140"/>
      <c r="T168" s="140"/>
      <c r="U168" s="140"/>
      <c r="V168" s="140"/>
      <c r="W168" s="140"/>
      <c r="AF168" s="2">
        <f>Parts!M82</f>
        <v>83.360400000000013</v>
      </c>
      <c r="AG168" s="39"/>
      <c r="AH168" s="2"/>
      <c r="AR168" t="s">
        <v>396</v>
      </c>
    </row>
    <row r="169" spans="7:44" ht="18.75">
      <c r="G169" s="140"/>
      <c r="H169" s="140"/>
      <c r="I169" s="140"/>
      <c r="J169" s="140"/>
      <c r="K169" s="140"/>
      <c r="L169" s="142">
        <v>20</v>
      </c>
      <c r="M169" s="142"/>
      <c r="N169" s="142">
        <v>20</v>
      </c>
      <c r="O169" s="142"/>
      <c r="P169" s="140"/>
      <c r="Q169" s="140"/>
      <c r="R169" s="140"/>
      <c r="S169" s="140"/>
      <c r="T169" s="140"/>
      <c r="U169" s="140"/>
      <c r="V169" s="140"/>
      <c r="W169" s="140"/>
      <c r="AF169" s="2">
        <f>AF168/4753</f>
        <v>1.753848095939407E-2</v>
      </c>
      <c r="AG169" s="39"/>
      <c r="AH169" s="2"/>
      <c r="AR169" s="104">
        <v>60</v>
      </c>
    </row>
    <row r="170" spans="7:44" ht="18.75">
      <c r="G170" s="140"/>
      <c r="H170" s="140"/>
      <c r="I170" s="140"/>
      <c r="J170" s="140"/>
      <c r="K170" s="140"/>
      <c r="L170" s="142">
        <v>21</v>
      </c>
      <c r="M170" s="142"/>
      <c r="N170" s="142">
        <v>21</v>
      </c>
      <c r="O170" s="142"/>
      <c r="P170" s="140"/>
      <c r="Q170" s="140"/>
      <c r="R170" s="140"/>
      <c r="S170" s="140"/>
      <c r="T170" s="140"/>
      <c r="U170" s="140"/>
      <c r="V170" s="140"/>
      <c r="W170" s="140"/>
      <c r="AF170" s="2"/>
      <c r="AG170" s="39"/>
      <c r="AH170" s="2"/>
      <c r="AR170" t="s">
        <v>423</v>
      </c>
    </row>
    <row r="171" spans="7:44" ht="18.75">
      <c r="G171" s="140"/>
      <c r="H171" s="140"/>
      <c r="I171" s="140"/>
      <c r="J171" s="140"/>
      <c r="K171" s="140"/>
      <c r="L171" s="142">
        <v>22</v>
      </c>
      <c r="M171" s="142"/>
      <c r="N171" s="142">
        <v>22</v>
      </c>
      <c r="O171" s="142"/>
      <c r="P171" s="140"/>
      <c r="Q171" s="140"/>
      <c r="R171" s="140"/>
      <c r="S171" s="140"/>
      <c r="T171" s="140"/>
      <c r="U171" s="140"/>
      <c r="V171" s="140"/>
      <c r="W171" s="140"/>
      <c r="AF171" s="2"/>
      <c r="AR171" s="104">
        <v>15</v>
      </c>
    </row>
    <row r="172" spans="7:44" ht="18.75">
      <c r="G172" s="140"/>
      <c r="H172" s="140"/>
      <c r="I172" s="140"/>
      <c r="J172" s="140"/>
      <c r="K172" s="140"/>
      <c r="L172" s="142">
        <v>23</v>
      </c>
      <c r="M172" s="142"/>
      <c r="N172" s="142">
        <v>23</v>
      </c>
      <c r="O172" s="142"/>
      <c r="P172" s="140"/>
      <c r="Q172" s="140"/>
      <c r="R172" s="140"/>
      <c r="S172" s="140"/>
      <c r="T172" s="140"/>
      <c r="U172" s="140"/>
      <c r="V172" s="140"/>
      <c r="W172" s="140"/>
      <c r="AF172" s="113"/>
      <c r="AG172" s="39"/>
      <c r="AH172" s="2"/>
    </row>
    <row r="173" spans="7:44" ht="18.75">
      <c r="G173" s="140"/>
      <c r="H173" s="140"/>
      <c r="I173" s="140"/>
      <c r="J173" s="140"/>
      <c r="K173" s="140"/>
      <c r="L173" s="142">
        <v>24</v>
      </c>
      <c r="M173" s="142"/>
      <c r="N173" s="142">
        <v>24</v>
      </c>
      <c r="O173" s="142"/>
      <c r="P173" s="140"/>
      <c r="Q173" s="140"/>
      <c r="R173" s="140"/>
      <c r="S173" s="140"/>
      <c r="T173" s="140"/>
      <c r="U173" s="140"/>
      <c r="V173" s="140"/>
      <c r="W173" s="140"/>
    </row>
    <row r="174" spans="7:44" ht="18.75">
      <c r="G174" s="140"/>
      <c r="H174" s="140"/>
      <c r="I174" s="140"/>
      <c r="J174" s="140"/>
      <c r="K174" s="140"/>
      <c r="L174" s="142">
        <v>25</v>
      </c>
      <c r="M174" s="142"/>
      <c r="N174" s="142">
        <v>25</v>
      </c>
      <c r="O174" s="142"/>
      <c r="P174" s="140"/>
      <c r="Q174" s="140"/>
      <c r="R174" s="140"/>
      <c r="S174" s="140"/>
      <c r="T174" s="140"/>
      <c r="U174" s="140"/>
      <c r="V174" s="140"/>
      <c r="W174" s="140"/>
      <c r="AF174" s="25"/>
    </row>
    <row r="175" spans="7:44" ht="18.75">
      <c r="G175" s="140"/>
      <c r="H175" s="140"/>
      <c r="I175" s="140"/>
      <c r="J175" s="140"/>
      <c r="K175" s="140"/>
      <c r="L175" s="142">
        <v>26</v>
      </c>
      <c r="M175" s="142"/>
      <c r="N175" s="142">
        <v>26</v>
      </c>
      <c r="O175" s="142"/>
      <c r="P175" s="140"/>
      <c r="Q175" s="140"/>
      <c r="R175" s="140"/>
      <c r="S175" s="140"/>
      <c r="T175" s="140"/>
      <c r="U175" s="140"/>
      <c r="V175" s="140"/>
      <c r="W175" s="140"/>
    </row>
    <row r="176" spans="7:44" ht="18.75">
      <c r="G176" s="140"/>
      <c r="H176" s="140"/>
      <c r="I176" s="140"/>
      <c r="J176" s="140"/>
      <c r="K176" s="140"/>
      <c r="L176" s="142">
        <v>27</v>
      </c>
      <c r="M176" s="142"/>
      <c r="N176" s="142">
        <v>27</v>
      </c>
      <c r="O176" s="142"/>
      <c r="P176" s="140"/>
      <c r="Q176" s="140"/>
      <c r="R176" s="140"/>
      <c r="S176" s="140"/>
      <c r="T176" s="140"/>
      <c r="U176" s="140"/>
      <c r="V176" s="140"/>
      <c r="W176" s="140"/>
    </row>
    <row r="177" spans="7:23" ht="18.75">
      <c r="G177" s="140"/>
      <c r="H177" s="140"/>
      <c r="I177" s="140"/>
      <c r="J177" s="140"/>
      <c r="K177" s="140"/>
      <c r="L177" s="142">
        <v>28</v>
      </c>
      <c r="M177" s="142"/>
      <c r="N177" s="142">
        <v>28</v>
      </c>
      <c r="O177" s="142"/>
      <c r="P177" s="140"/>
      <c r="Q177" s="140"/>
      <c r="R177" s="140"/>
      <c r="S177" s="140"/>
      <c r="T177" s="140"/>
      <c r="U177" s="140"/>
      <c r="V177" s="140"/>
      <c r="W177" s="140"/>
    </row>
    <row r="178" spans="7:23" ht="18.75">
      <c r="G178" s="140"/>
      <c r="H178" s="140"/>
      <c r="I178" s="140"/>
      <c r="J178" s="140"/>
      <c r="K178" s="140"/>
      <c r="L178" s="142">
        <v>29</v>
      </c>
      <c r="M178" s="142"/>
      <c r="N178" s="142">
        <v>29</v>
      </c>
      <c r="O178" s="142"/>
      <c r="P178" s="140"/>
      <c r="Q178" s="140"/>
      <c r="R178" s="140"/>
      <c r="S178" s="140"/>
      <c r="T178" s="140"/>
      <c r="U178" s="140"/>
      <c r="V178" s="140"/>
      <c r="W178" s="140"/>
    </row>
    <row r="179" spans="7:23" ht="18.75">
      <c r="G179" s="140"/>
      <c r="H179" s="140"/>
      <c r="I179" s="140"/>
      <c r="J179" s="140"/>
      <c r="K179" s="140"/>
      <c r="L179" s="142">
        <v>30</v>
      </c>
      <c r="M179" s="142"/>
      <c r="N179" s="142">
        <v>30</v>
      </c>
      <c r="O179" s="142"/>
      <c r="P179" s="140"/>
      <c r="Q179" s="140"/>
      <c r="R179" s="140"/>
      <c r="S179" s="140"/>
      <c r="T179" s="140"/>
      <c r="U179" s="140"/>
      <c r="V179" s="140"/>
      <c r="W179" s="140"/>
    </row>
    <row r="180" spans="7:23" ht="18.75">
      <c r="G180" s="140"/>
      <c r="H180" s="140"/>
      <c r="I180" s="140"/>
      <c r="J180" s="140"/>
      <c r="K180" s="140"/>
      <c r="L180" s="140">
        <v>31</v>
      </c>
      <c r="M180" s="142"/>
      <c r="N180" s="142">
        <v>31</v>
      </c>
      <c r="O180" s="142"/>
      <c r="P180" s="140"/>
      <c r="Q180" s="140"/>
      <c r="R180" s="140"/>
      <c r="S180" s="140"/>
      <c r="T180" s="140"/>
      <c r="U180" s="140"/>
      <c r="V180" s="140"/>
      <c r="W180" s="140"/>
    </row>
    <row r="181" spans="7:23" ht="18.75">
      <c r="G181" s="140"/>
      <c r="H181" s="140"/>
      <c r="I181" s="140"/>
      <c r="J181" s="140"/>
      <c r="K181" s="140"/>
      <c r="L181" s="140">
        <v>32</v>
      </c>
      <c r="M181" s="142"/>
      <c r="N181" s="142">
        <v>32</v>
      </c>
      <c r="O181" s="142"/>
      <c r="P181" s="140"/>
      <c r="Q181" s="140"/>
      <c r="R181" s="140"/>
      <c r="S181" s="140"/>
      <c r="T181" s="140"/>
      <c r="U181" s="140"/>
      <c r="V181" s="140"/>
      <c r="W181" s="140"/>
    </row>
    <row r="182" spans="7:23" ht="18.75">
      <c r="G182" s="140"/>
      <c r="H182" s="140"/>
      <c r="I182" s="140"/>
      <c r="J182" s="140"/>
      <c r="K182" s="140"/>
      <c r="L182" s="140">
        <v>33</v>
      </c>
      <c r="M182" s="142"/>
      <c r="N182" s="142">
        <v>33</v>
      </c>
      <c r="O182" s="142"/>
      <c r="P182" s="140"/>
      <c r="Q182" s="140"/>
      <c r="R182" s="140"/>
      <c r="S182" s="140"/>
      <c r="T182" s="140"/>
      <c r="U182" s="140"/>
      <c r="V182" s="140"/>
      <c r="W182" s="140"/>
    </row>
    <row r="183" spans="7:23" ht="18.75">
      <c r="G183" s="140"/>
      <c r="H183" s="140"/>
      <c r="I183" s="140"/>
      <c r="J183" s="140"/>
      <c r="K183" s="140"/>
      <c r="L183" s="140">
        <v>34</v>
      </c>
      <c r="M183" s="142"/>
      <c r="N183" s="142">
        <v>34</v>
      </c>
      <c r="O183" s="142"/>
      <c r="P183" s="140"/>
      <c r="Q183" s="140"/>
      <c r="R183" s="140"/>
      <c r="S183" s="140"/>
      <c r="T183" s="140"/>
      <c r="U183" s="140"/>
      <c r="V183" s="140"/>
      <c r="W183" s="140"/>
    </row>
    <row r="184" spans="7:23" ht="18.75">
      <c r="G184" s="140"/>
      <c r="H184" s="140"/>
      <c r="I184" s="140"/>
      <c r="J184" s="140"/>
      <c r="K184" s="140"/>
      <c r="L184" s="140">
        <v>35</v>
      </c>
      <c r="M184" s="142"/>
      <c r="N184" s="142">
        <v>35</v>
      </c>
      <c r="O184" s="142"/>
      <c r="P184" s="140"/>
      <c r="Q184" s="140"/>
      <c r="R184" s="140"/>
      <c r="S184" s="140"/>
      <c r="T184" s="140"/>
      <c r="U184" s="140"/>
      <c r="V184" s="140"/>
      <c r="W184" s="140"/>
    </row>
    <row r="185" spans="7:23" ht="18.75">
      <c r="G185" s="140"/>
      <c r="H185" s="140"/>
      <c r="I185" s="140"/>
      <c r="J185" s="140"/>
      <c r="K185" s="140"/>
      <c r="L185" s="140">
        <v>36</v>
      </c>
      <c r="M185" s="142"/>
      <c r="N185" s="142">
        <v>36</v>
      </c>
      <c r="O185" s="142"/>
      <c r="P185" s="140"/>
      <c r="Q185" s="140"/>
      <c r="R185" s="140"/>
      <c r="S185" s="140"/>
      <c r="T185" s="140"/>
      <c r="U185" s="140"/>
      <c r="V185" s="140"/>
      <c r="W185" s="140"/>
    </row>
    <row r="186" spans="7:23" ht="18.75">
      <c r="G186" s="140"/>
      <c r="H186" s="140"/>
      <c r="I186" s="140"/>
      <c r="J186" s="140"/>
      <c r="K186" s="140"/>
      <c r="L186" s="140">
        <v>37</v>
      </c>
      <c r="M186" s="142"/>
      <c r="N186" s="142">
        <v>37</v>
      </c>
      <c r="O186" s="142"/>
      <c r="P186" s="140"/>
      <c r="Q186" s="140"/>
      <c r="R186" s="140"/>
      <c r="S186" s="140"/>
      <c r="T186" s="140"/>
      <c r="U186" s="140"/>
      <c r="V186" s="140"/>
      <c r="W186" s="140"/>
    </row>
    <row r="187" spans="7:23" ht="18.75">
      <c r="G187" s="140"/>
      <c r="H187" s="140"/>
      <c r="I187" s="140"/>
      <c r="J187" s="140"/>
      <c r="K187" s="140"/>
      <c r="L187" s="140">
        <v>38</v>
      </c>
      <c r="M187" s="142"/>
      <c r="N187" s="142">
        <v>38</v>
      </c>
      <c r="O187" s="142"/>
      <c r="P187" s="140"/>
      <c r="Q187" s="140"/>
      <c r="R187" s="140"/>
      <c r="S187" s="140"/>
      <c r="T187" s="140"/>
      <c r="U187" s="140"/>
      <c r="V187" s="140"/>
      <c r="W187" s="140"/>
    </row>
    <row r="188" spans="7:23" ht="18.75">
      <c r="G188" s="140"/>
      <c r="H188" s="140"/>
      <c r="I188" s="140"/>
      <c r="J188" s="140"/>
      <c r="K188" s="140"/>
      <c r="L188" s="140">
        <v>39</v>
      </c>
      <c r="M188" s="142"/>
      <c r="N188" s="142">
        <v>39</v>
      </c>
      <c r="O188" s="142"/>
      <c r="P188" s="140"/>
      <c r="Q188" s="140"/>
      <c r="R188" s="140"/>
      <c r="S188" s="140"/>
      <c r="T188" s="140"/>
      <c r="U188" s="140"/>
      <c r="V188" s="140"/>
      <c r="W188" s="140"/>
    </row>
    <row r="189" spans="7:23" ht="18.75">
      <c r="G189" s="140"/>
      <c r="H189" s="140"/>
      <c r="I189" s="140"/>
      <c r="J189" s="140"/>
      <c r="K189" s="140"/>
      <c r="L189" s="140">
        <v>40</v>
      </c>
      <c r="M189" s="142"/>
      <c r="N189" s="142">
        <v>40</v>
      </c>
      <c r="O189" s="142"/>
      <c r="P189" s="140"/>
      <c r="Q189" s="140"/>
      <c r="R189" s="140"/>
      <c r="S189" s="140"/>
      <c r="T189" s="140"/>
      <c r="U189" s="140"/>
      <c r="V189" s="140"/>
      <c r="W189" s="140"/>
    </row>
    <row r="190" spans="7:23" ht="18.75">
      <c r="G190" s="140"/>
      <c r="H190" s="140"/>
      <c r="I190" s="140"/>
      <c r="J190" s="140"/>
      <c r="K190" s="140"/>
      <c r="L190" s="140">
        <v>41</v>
      </c>
      <c r="M190" s="142"/>
      <c r="N190" s="142">
        <v>41</v>
      </c>
      <c r="O190" s="142"/>
      <c r="P190" s="140"/>
      <c r="Q190" s="140"/>
      <c r="R190" s="140"/>
      <c r="S190" s="140"/>
      <c r="T190" s="140"/>
      <c r="U190" s="140"/>
      <c r="V190" s="140"/>
      <c r="W190" s="140"/>
    </row>
    <row r="191" spans="7:23" ht="18.75">
      <c r="G191" s="140"/>
      <c r="H191" s="140"/>
      <c r="I191" s="140"/>
      <c r="J191" s="140"/>
      <c r="K191" s="140"/>
      <c r="L191" s="140">
        <v>42</v>
      </c>
      <c r="M191" s="142"/>
      <c r="N191" s="142">
        <v>42</v>
      </c>
      <c r="O191" s="142"/>
      <c r="P191" s="140"/>
      <c r="Q191" s="140"/>
      <c r="R191" s="140"/>
      <c r="S191" s="140"/>
      <c r="T191" s="140"/>
      <c r="U191" s="140"/>
      <c r="V191" s="140"/>
      <c r="W191" s="140"/>
    </row>
    <row r="192" spans="7:23" ht="18.75">
      <c r="G192" s="140"/>
      <c r="H192" s="140"/>
      <c r="I192" s="140"/>
      <c r="J192" s="140"/>
      <c r="K192" s="140"/>
      <c r="L192" s="140">
        <v>43</v>
      </c>
      <c r="M192" s="142"/>
      <c r="N192" s="142">
        <v>43</v>
      </c>
      <c r="O192" s="142"/>
      <c r="P192" s="140"/>
      <c r="Q192" s="140"/>
      <c r="R192" s="140"/>
      <c r="S192" s="140"/>
      <c r="T192" s="140"/>
      <c r="U192" s="140"/>
      <c r="V192" s="140"/>
      <c r="W192" s="140"/>
    </row>
    <row r="193" spans="7:23" ht="18.75">
      <c r="G193" s="140"/>
      <c r="H193" s="140"/>
      <c r="I193" s="140"/>
      <c r="J193" s="140"/>
      <c r="K193" s="140"/>
      <c r="L193" s="140">
        <v>44</v>
      </c>
      <c r="M193" s="142"/>
      <c r="N193" s="142">
        <v>44</v>
      </c>
      <c r="O193" s="142"/>
      <c r="P193" s="140"/>
      <c r="Q193" s="140"/>
      <c r="R193" s="140"/>
      <c r="S193" s="140"/>
      <c r="T193" s="140"/>
      <c r="U193" s="140"/>
      <c r="V193" s="140"/>
      <c r="W193" s="140"/>
    </row>
    <row r="194" spans="7:23" ht="18.75">
      <c r="G194" s="140"/>
      <c r="H194" s="140"/>
      <c r="I194" s="140"/>
      <c r="J194" s="140"/>
      <c r="K194" s="140"/>
      <c r="L194" s="140">
        <v>45</v>
      </c>
      <c r="M194" s="142"/>
      <c r="N194" s="142">
        <v>45</v>
      </c>
      <c r="O194" s="142"/>
      <c r="P194" s="140"/>
      <c r="Q194" s="140"/>
      <c r="R194" s="140"/>
      <c r="S194" s="140"/>
      <c r="T194" s="140"/>
      <c r="U194" s="140"/>
      <c r="V194" s="140"/>
      <c r="W194" s="140"/>
    </row>
    <row r="195" spans="7:23" ht="18.75">
      <c r="G195" s="140"/>
      <c r="H195" s="140"/>
      <c r="I195" s="140"/>
      <c r="J195" s="140"/>
      <c r="K195" s="140"/>
      <c r="L195" s="140">
        <v>46</v>
      </c>
      <c r="M195" s="142"/>
      <c r="N195" s="142">
        <v>46</v>
      </c>
      <c r="O195" s="142"/>
      <c r="P195" s="140"/>
      <c r="Q195" s="140"/>
      <c r="R195" s="140"/>
      <c r="S195" s="140"/>
      <c r="T195" s="140"/>
      <c r="U195" s="140"/>
      <c r="V195" s="140"/>
      <c r="W195" s="140"/>
    </row>
    <row r="196" spans="7:23" ht="18.75">
      <c r="G196" s="140"/>
      <c r="H196" s="140"/>
      <c r="I196" s="140"/>
      <c r="J196" s="140"/>
      <c r="K196" s="140"/>
      <c r="L196" s="140">
        <v>47</v>
      </c>
      <c r="M196" s="142"/>
      <c r="N196" s="142">
        <v>47</v>
      </c>
      <c r="O196" s="142"/>
      <c r="P196" s="140"/>
      <c r="Q196" s="140"/>
      <c r="R196" s="140"/>
      <c r="S196" s="140"/>
      <c r="T196" s="140"/>
      <c r="U196" s="140"/>
      <c r="V196" s="140"/>
      <c r="W196" s="140"/>
    </row>
    <row r="197" spans="7:23" ht="18.75">
      <c r="G197" s="140"/>
      <c r="H197" s="140"/>
      <c r="I197" s="140"/>
      <c r="J197" s="140"/>
      <c r="K197" s="140"/>
      <c r="L197" s="140">
        <v>48</v>
      </c>
      <c r="M197" s="142"/>
      <c r="N197" s="142">
        <v>48</v>
      </c>
      <c r="O197" s="142"/>
      <c r="P197" s="140"/>
      <c r="Q197" s="140"/>
      <c r="R197" s="140"/>
      <c r="S197" s="140"/>
      <c r="T197" s="140"/>
      <c r="U197" s="140"/>
      <c r="V197" s="140"/>
      <c r="W197" s="140"/>
    </row>
    <row r="198" spans="7:23" ht="18.75">
      <c r="G198" s="140"/>
      <c r="H198" s="140"/>
      <c r="I198" s="140"/>
      <c r="J198" s="140"/>
      <c r="K198" s="140"/>
      <c r="L198" s="142"/>
      <c r="M198" s="142"/>
      <c r="N198" s="142">
        <v>49</v>
      </c>
      <c r="O198" s="142"/>
      <c r="P198" s="140"/>
      <c r="Q198" s="140"/>
      <c r="R198" s="140"/>
      <c r="S198" s="140"/>
      <c r="T198" s="140"/>
      <c r="U198" s="140"/>
      <c r="V198" s="140"/>
      <c r="W198" s="140"/>
    </row>
    <row r="199" spans="7:23" ht="18.75">
      <c r="G199" s="140"/>
      <c r="H199" s="140"/>
      <c r="I199" s="140"/>
      <c r="J199" s="140"/>
      <c r="K199" s="140"/>
      <c r="L199" s="142"/>
      <c r="M199" s="142"/>
      <c r="N199" s="142">
        <v>50</v>
      </c>
      <c r="O199" s="142"/>
      <c r="P199" s="140"/>
      <c r="Q199" s="140"/>
      <c r="R199" s="140"/>
      <c r="S199" s="140"/>
      <c r="T199" s="140"/>
      <c r="U199" s="140"/>
      <c r="V199" s="140"/>
      <c r="W199" s="140"/>
    </row>
    <row r="200" spans="7:23" ht="18.75">
      <c r="G200" s="140"/>
      <c r="H200" s="140"/>
      <c r="I200" s="140"/>
      <c r="J200" s="140"/>
      <c r="K200" s="140"/>
      <c r="L200" s="142"/>
      <c r="M200" s="142"/>
      <c r="N200" s="142">
        <v>51</v>
      </c>
      <c r="O200" s="142"/>
      <c r="P200" s="140"/>
      <c r="Q200" s="140"/>
      <c r="R200" s="140"/>
      <c r="S200" s="140"/>
      <c r="T200" s="140"/>
      <c r="U200" s="140"/>
      <c r="V200" s="140"/>
      <c r="W200" s="140"/>
    </row>
    <row r="201" spans="7:23" ht="18.75">
      <c r="G201" s="140"/>
      <c r="H201" s="140"/>
      <c r="I201" s="140"/>
      <c r="J201" s="140"/>
      <c r="K201" s="140"/>
      <c r="L201" s="142"/>
      <c r="M201" s="142"/>
      <c r="N201" s="142">
        <v>52</v>
      </c>
      <c r="O201" s="142"/>
      <c r="P201" s="140"/>
      <c r="Q201" s="140"/>
      <c r="R201" s="140"/>
      <c r="S201" s="140"/>
      <c r="T201" s="140"/>
      <c r="U201" s="140"/>
      <c r="V201" s="140"/>
      <c r="W201" s="140"/>
    </row>
    <row r="202" spans="7:23" ht="18.75">
      <c r="G202" s="140"/>
      <c r="H202" s="140"/>
      <c r="I202" s="140"/>
      <c r="J202" s="140"/>
      <c r="K202" s="140"/>
      <c r="L202" s="142"/>
      <c r="M202" s="142"/>
      <c r="N202" s="142">
        <v>53</v>
      </c>
      <c r="O202" s="142"/>
      <c r="P202" s="140"/>
      <c r="Q202" s="140"/>
      <c r="R202" s="140"/>
      <c r="S202" s="140"/>
      <c r="T202" s="140"/>
      <c r="U202" s="140"/>
      <c r="V202" s="140"/>
      <c r="W202" s="140"/>
    </row>
    <row r="203" spans="7:23" ht="18.75">
      <c r="G203" s="140"/>
      <c r="H203" s="140"/>
      <c r="I203" s="140"/>
      <c r="J203" s="140"/>
      <c r="K203" s="140"/>
      <c r="L203" s="142"/>
      <c r="M203" s="142"/>
      <c r="N203" s="142">
        <v>54</v>
      </c>
      <c r="O203" s="142"/>
      <c r="P203" s="140"/>
      <c r="Q203" s="140"/>
      <c r="R203" s="140"/>
      <c r="S203" s="140"/>
      <c r="T203" s="140"/>
      <c r="U203" s="140"/>
      <c r="V203" s="140"/>
      <c r="W203" s="140"/>
    </row>
    <row r="204" spans="7:23" ht="18.75">
      <c r="G204" s="140"/>
      <c r="H204" s="140"/>
      <c r="I204" s="140"/>
      <c r="J204" s="140"/>
      <c r="K204" s="140"/>
      <c r="L204" s="142"/>
      <c r="M204" s="142"/>
      <c r="N204" s="142">
        <v>55</v>
      </c>
      <c r="O204" s="142"/>
      <c r="P204" s="140"/>
      <c r="Q204" s="140"/>
      <c r="R204" s="140"/>
      <c r="S204" s="140"/>
      <c r="T204" s="140"/>
      <c r="U204" s="140"/>
      <c r="V204" s="140"/>
      <c r="W204" s="140"/>
    </row>
    <row r="205" spans="7:23" ht="18.75">
      <c r="G205" s="140"/>
      <c r="H205" s="140"/>
      <c r="I205" s="140"/>
      <c r="J205" s="140"/>
      <c r="K205" s="140"/>
      <c r="L205" s="142"/>
      <c r="M205" s="142"/>
      <c r="N205" s="142">
        <v>56</v>
      </c>
      <c r="O205" s="142"/>
      <c r="P205" s="140"/>
      <c r="Q205" s="140"/>
      <c r="R205" s="140"/>
      <c r="S205" s="140"/>
      <c r="T205" s="140"/>
      <c r="U205" s="140"/>
      <c r="V205" s="140"/>
      <c r="W205" s="140"/>
    </row>
    <row r="206" spans="7:23" ht="18.75">
      <c r="G206" s="140"/>
      <c r="H206" s="140"/>
      <c r="I206" s="140"/>
      <c r="J206" s="140"/>
      <c r="K206" s="140"/>
      <c r="L206" s="142"/>
      <c r="M206" s="142"/>
      <c r="N206" s="142">
        <v>57</v>
      </c>
      <c r="O206" s="142"/>
      <c r="P206" s="140"/>
      <c r="Q206" s="140"/>
      <c r="R206" s="140"/>
      <c r="S206" s="140"/>
      <c r="T206" s="140"/>
      <c r="U206" s="140"/>
      <c r="V206" s="140"/>
      <c r="W206" s="140"/>
    </row>
    <row r="207" spans="7:23" ht="18.75">
      <c r="G207" s="140"/>
      <c r="H207" s="140"/>
      <c r="I207" s="140"/>
      <c r="J207" s="140"/>
      <c r="K207" s="140"/>
      <c r="L207" s="142"/>
      <c r="M207" s="142"/>
      <c r="N207" s="142">
        <v>58</v>
      </c>
      <c r="O207" s="142"/>
      <c r="P207" s="140"/>
      <c r="Q207" s="140"/>
      <c r="R207" s="140"/>
      <c r="S207" s="140"/>
      <c r="T207" s="140"/>
      <c r="U207" s="140"/>
      <c r="V207" s="140"/>
      <c r="W207" s="140"/>
    </row>
    <row r="208" spans="7:23" ht="18.75">
      <c r="G208" s="140"/>
      <c r="H208" s="140"/>
      <c r="I208" s="140"/>
      <c r="J208" s="140"/>
      <c r="K208" s="140"/>
      <c r="L208" s="142"/>
      <c r="M208" s="142"/>
      <c r="N208" s="142">
        <v>59</v>
      </c>
      <c r="O208" s="142"/>
      <c r="P208" s="140"/>
      <c r="Q208" s="140"/>
      <c r="R208" s="140"/>
      <c r="S208" s="140"/>
      <c r="T208" s="140"/>
      <c r="U208" s="140"/>
      <c r="V208" s="140"/>
      <c r="W208" s="140"/>
    </row>
    <row r="209" spans="7:23" ht="18.75">
      <c r="G209" s="140"/>
      <c r="H209" s="140"/>
      <c r="I209" s="140"/>
      <c r="J209" s="140"/>
      <c r="K209" s="140"/>
      <c r="L209" s="142"/>
      <c r="M209" s="142"/>
      <c r="N209" s="142">
        <v>60</v>
      </c>
      <c r="O209" s="142"/>
      <c r="P209" s="140"/>
      <c r="Q209" s="140"/>
      <c r="R209" s="140"/>
      <c r="S209" s="140"/>
      <c r="T209" s="140"/>
      <c r="U209" s="140"/>
      <c r="V209" s="140"/>
      <c r="W209" s="140"/>
    </row>
    <row r="210" spans="7:23" ht="18.75">
      <c r="G210" s="140"/>
      <c r="H210" s="140"/>
      <c r="I210" s="140"/>
      <c r="J210" s="140"/>
      <c r="K210" s="140"/>
      <c r="L210" s="142"/>
      <c r="M210" s="142"/>
      <c r="N210" s="142">
        <v>61</v>
      </c>
      <c r="O210" s="142"/>
      <c r="P210" s="140"/>
      <c r="Q210" s="140"/>
      <c r="R210" s="140"/>
      <c r="S210" s="140"/>
      <c r="T210" s="140"/>
      <c r="U210" s="140"/>
      <c r="V210" s="140"/>
      <c r="W210" s="140"/>
    </row>
    <row r="211" spans="7:23" ht="18.75">
      <c r="G211" s="140"/>
      <c r="H211" s="140"/>
      <c r="I211" s="140"/>
      <c r="J211" s="140"/>
      <c r="K211" s="140"/>
      <c r="L211" s="142"/>
      <c r="M211" s="142"/>
      <c r="N211" s="142">
        <v>62</v>
      </c>
      <c r="O211" s="142"/>
      <c r="P211" s="140"/>
      <c r="Q211" s="140"/>
      <c r="R211" s="140"/>
      <c r="S211" s="140"/>
      <c r="T211" s="140"/>
      <c r="U211" s="140"/>
      <c r="V211" s="140"/>
      <c r="W211" s="140"/>
    </row>
    <row r="212" spans="7:23" ht="18.75">
      <c r="G212" s="140"/>
      <c r="H212" s="140"/>
      <c r="I212" s="140"/>
      <c r="J212" s="140"/>
      <c r="K212" s="140"/>
      <c r="L212" s="142"/>
      <c r="M212" s="142"/>
      <c r="N212" s="142">
        <v>63</v>
      </c>
      <c r="O212" s="142"/>
      <c r="P212" s="140"/>
      <c r="Q212" s="140"/>
      <c r="R212" s="140"/>
      <c r="S212" s="140"/>
      <c r="T212" s="140"/>
      <c r="U212" s="140"/>
      <c r="V212" s="140"/>
      <c r="W212" s="140"/>
    </row>
    <row r="213" spans="7:23" ht="18.75">
      <c r="G213" s="140"/>
      <c r="H213" s="140"/>
      <c r="I213" s="140"/>
      <c r="J213" s="140"/>
      <c r="K213" s="140"/>
      <c r="L213" s="142"/>
      <c r="M213" s="142"/>
      <c r="N213" s="142">
        <v>64</v>
      </c>
      <c r="O213" s="142"/>
      <c r="P213" s="140"/>
      <c r="Q213" s="140"/>
      <c r="R213" s="140"/>
      <c r="S213" s="140"/>
      <c r="T213" s="140"/>
      <c r="U213" s="140"/>
      <c r="V213" s="140"/>
      <c r="W213" s="140"/>
    </row>
    <row r="214" spans="7:23" ht="18.75">
      <c r="G214" s="140"/>
      <c r="H214" s="140"/>
      <c r="I214" s="140"/>
      <c r="J214" s="140"/>
      <c r="K214" s="140"/>
      <c r="L214" s="142"/>
      <c r="M214" s="142"/>
      <c r="N214" s="142">
        <v>65</v>
      </c>
      <c r="O214" s="142"/>
      <c r="P214" s="140"/>
      <c r="Q214" s="140"/>
      <c r="R214" s="140"/>
      <c r="S214" s="140"/>
      <c r="T214" s="140"/>
      <c r="U214" s="140"/>
      <c r="V214" s="140"/>
      <c r="W214" s="140"/>
    </row>
    <row r="215" spans="7:23" ht="18.75">
      <c r="G215" s="140"/>
      <c r="H215" s="140"/>
      <c r="I215" s="140"/>
      <c r="J215" s="140"/>
      <c r="K215" s="140"/>
      <c r="L215" s="142"/>
      <c r="M215" s="142"/>
      <c r="N215" s="142">
        <v>66</v>
      </c>
      <c r="O215" s="142"/>
      <c r="P215" s="140"/>
      <c r="Q215" s="140"/>
      <c r="R215" s="140"/>
      <c r="S215" s="140"/>
      <c r="T215" s="140"/>
      <c r="U215" s="140"/>
      <c r="V215" s="140"/>
      <c r="W215" s="140"/>
    </row>
    <row r="216" spans="7:23" ht="18.75">
      <c r="G216" s="140"/>
      <c r="H216" s="140"/>
      <c r="I216" s="140"/>
      <c r="J216" s="140"/>
      <c r="K216" s="140"/>
      <c r="L216" s="142"/>
      <c r="M216" s="142"/>
      <c r="N216" s="142">
        <v>67</v>
      </c>
      <c r="O216" s="142"/>
      <c r="P216" s="140"/>
      <c r="Q216" s="140"/>
      <c r="R216" s="140"/>
      <c r="S216" s="140"/>
      <c r="T216" s="140"/>
      <c r="U216" s="140"/>
      <c r="V216" s="140"/>
      <c r="W216" s="140"/>
    </row>
    <row r="217" spans="7:23" ht="18.75">
      <c r="G217" s="140"/>
      <c r="H217" s="140"/>
      <c r="I217" s="140"/>
      <c r="J217" s="140"/>
      <c r="K217" s="140"/>
      <c r="L217" s="142"/>
      <c r="M217" s="142"/>
      <c r="N217" s="142">
        <v>68</v>
      </c>
      <c r="O217" s="142"/>
      <c r="P217" s="140"/>
      <c r="Q217" s="140"/>
      <c r="R217" s="140"/>
      <c r="S217" s="140"/>
      <c r="T217" s="140"/>
      <c r="U217" s="140"/>
      <c r="V217" s="140"/>
      <c r="W217" s="140"/>
    </row>
    <row r="218" spans="7:23" ht="18.75">
      <c r="G218" s="140"/>
      <c r="H218" s="140"/>
      <c r="I218" s="140"/>
      <c r="J218" s="140"/>
      <c r="K218" s="140"/>
      <c r="L218" s="142"/>
      <c r="M218" s="142"/>
      <c r="N218" s="142">
        <v>69</v>
      </c>
      <c r="O218" s="142"/>
      <c r="P218" s="140"/>
      <c r="Q218" s="140"/>
      <c r="R218" s="140"/>
      <c r="S218" s="140"/>
      <c r="T218" s="140"/>
      <c r="U218" s="140"/>
      <c r="V218" s="140"/>
      <c r="W218" s="140"/>
    </row>
    <row r="219" spans="7:23" ht="18.75">
      <c r="G219" s="140"/>
      <c r="H219" s="140"/>
      <c r="I219" s="140"/>
      <c r="J219" s="140"/>
      <c r="K219" s="140"/>
      <c r="L219" s="142"/>
      <c r="M219" s="142"/>
      <c r="N219" s="142">
        <v>70</v>
      </c>
      <c r="O219" s="142"/>
      <c r="P219" s="140"/>
      <c r="Q219" s="140"/>
      <c r="R219" s="140"/>
      <c r="S219" s="140"/>
      <c r="T219" s="140"/>
      <c r="U219" s="140"/>
      <c r="V219" s="140"/>
      <c r="W219" s="140"/>
    </row>
    <row r="220" spans="7:23" ht="18.75">
      <c r="G220" s="140"/>
      <c r="H220" s="140"/>
      <c r="I220" s="140"/>
      <c r="J220" s="140"/>
      <c r="K220" s="140"/>
      <c r="L220" s="142"/>
      <c r="M220" s="142"/>
      <c r="N220" s="142">
        <v>71</v>
      </c>
      <c r="O220" s="142"/>
      <c r="P220" s="140"/>
      <c r="Q220" s="140"/>
      <c r="R220" s="140"/>
      <c r="S220" s="140"/>
      <c r="T220" s="140"/>
      <c r="U220" s="140"/>
      <c r="V220" s="140"/>
      <c r="W220" s="140"/>
    </row>
    <row r="221" spans="7:23" ht="18.75">
      <c r="G221" s="140"/>
      <c r="H221" s="140"/>
      <c r="I221" s="140"/>
      <c r="J221" s="140"/>
      <c r="K221" s="140"/>
      <c r="L221" s="142"/>
      <c r="M221" s="142"/>
      <c r="N221" s="142">
        <v>72</v>
      </c>
      <c r="O221" s="142"/>
      <c r="P221" s="140"/>
      <c r="Q221" s="140"/>
      <c r="R221" s="140"/>
      <c r="S221" s="140"/>
      <c r="T221" s="140"/>
      <c r="U221" s="140"/>
      <c r="V221" s="140"/>
      <c r="W221" s="140"/>
    </row>
    <row r="222" spans="7:23" ht="18.75">
      <c r="G222" s="140"/>
      <c r="H222" s="140"/>
      <c r="I222" s="140"/>
      <c r="J222" s="140"/>
      <c r="K222" s="140"/>
      <c r="L222" s="142"/>
      <c r="M222" s="142"/>
      <c r="N222" s="142">
        <v>73</v>
      </c>
      <c r="O222" s="142"/>
      <c r="P222" s="140"/>
      <c r="Q222" s="140"/>
      <c r="R222" s="140"/>
      <c r="S222" s="140"/>
      <c r="T222" s="140"/>
      <c r="U222" s="140"/>
      <c r="V222" s="140"/>
      <c r="W222" s="140"/>
    </row>
    <row r="223" spans="7:23" ht="18.75">
      <c r="G223" s="140"/>
      <c r="H223" s="140"/>
      <c r="I223" s="140"/>
      <c r="J223" s="140"/>
      <c r="K223" s="140"/>
      <c r="L223" s="142"/>
      <c r="M223" s="142"/>
      <c r="N223" s="142">
        <v>74</v>
      </c>
      <c r="O223" s="142"/>
      <c r="P223" s="140"/>
      <c r="Q223" s="140"/>
      <c r="R223" s="140"/>
      <c r="S223" s="140"/>
      <c r="T223" s="140"/>
      <c r="U223" s="140"/>
      <c r="V223" s="140"/>
      <c r="W223" s="140"/>
    </row>
    <row r="224" spans="7:23" ht="18.75">
      <c r="G224" s="140"/>
      <c r="H224" s="140"/>
      <c r="I224" s="140"/>
      <c r="J224" s="140"/>
      <c r="K224" s="140"/>
      <c r="L224" s="142"/>
      <c r="M224" s="142"/>
      <c r="N224" s="142">
        <v>75</v>
      </c>
      <c r="O224" s="142"/>
      <c r="P224" s="140"/>
      <c r="Q224" s="140"/>
      <c r="R224" s="140"/>
      <c r="S224" s="140"/>
      <c r="T224" s="140"/>
      <c r="U224" s="140"/>
      <c r="V224" s="140"/>
      <c r="W224" s="140"/>
    </row>
    <row r="225" spans="7:23" ht="18.75">
      <c r="G225" s="140"/>
      <c r="H225" s="140"/>
      <c r="I225" s="140"/>
      <c r="J225" s="140"/>
      <c r="K225" s="140"/>
      <c r="L225" s="142"/>
      <c r="M225" s="142"/>
      <c r="N225" s="142">
        <v>76</v>
      </c>
      <c r="O225" s="142"/>
      <c r="P225" s="140"/>
      <c r="Q225" s="140"/>
      <c r="R225" s="140"/>
      <c r="S225" s="140"/>
      <c r="T225" s="140"/>
      <c r="U225" s="140"/>
      <c r="V225" s="140"/>
      <c r="W225" s="140"/>
    </row>
    <row r="226" spans="7:23" ht="18.75">
      <c r="G226" s="140"/>
      <c r="H226" s="140"/>
      <c r="I226" s="140"/>
      <c r="J226" s="140"/>
      <c r="K226" s="140"/>
      <c r="L226" s="142"/>
      <c r="M226" s="142"/>
      <c r="N226" s="142">
        <v>77</v>
      </c>
      <c r="O226" s="142"/>
      <c r="P226" s="140"/>
      <c r="Q226" s="140"/>
      <c r="R226" s="140"/>
      <c r="S226" s="140"/>
      <c r="T226" s="140"/>
      <c r="U226" s="140"/>
      <c r="V226" s="140"/>
      <c r="W226" s="140"/>
    </row>
    <row r="227" spans="7:23" ht="18.75">
      <c r="G227" s="140"/>
      <c r="H227" s="140"/>
      <c r="I227" s="140"/>
      <c r="J227" s="140"/>
      <c r="K227" s="140"/>
      <c r="L227" s="142"/>
      <c r="M227" s="142"/>
      <c r="N227" s="142">
        <v>78</v>
      </c>
      <c r="O227" s="142"/>
      <c r="P227" s="140"/>
      <c r="Q227" s="140"/>
      <c r="R227" s="140"/>
      <c r="S227" s="140"/>
      <c r="T227" s="140"/>
      <c r="U227" s="140"/>
      <c r="V227" s="140"/>
      <c r="W227" s="140"/>
    </row>
    <row r="228" spans="7:23" ht="18.75">
      <c r="G228" s="140"/>
      <c r="H228" s="140"/>
      <c r="I228" s="140"/>
      <c r="J228" s="140"/>
      <c r="K228" s="140"/>
      <c r="L228" s="142"/>
      <c r="M228" s="142"/>
      <c r="N228" s="142">
        <v>79</v>
      </c>
      <c r="O228" s="142"/>
      <c r="P228" s="140"/>
      <c r="Q228" s="140"/>
      <c r="R228" s="140"/>
      <c r="S228" s="140"/>
      <c r="T228" s="140"/>
      <c r="U228" s="140"/>
      <c r="V228" s="140"/>
      <c r="W228" s="140"/>
    </row>
    <row r="229" spans="7:23" ht="18.75">
      <c r="G229" s="140"/>
      <c r="H229" s="140"/>
      <c r="I229" s="140"/>
      <c r="J229" s="140"/>
      <c r="K229" s="140"/>
      <c r="L229" s="142"/>
      <c r="M229" s="142"/>
      <c r="N229" s="142">
        <v>80</v>
      </c>
      <c r="O229" s="142"/>
      <c r="P229" s="140"/>
      <c r="Q229" s="140"/>
      <c r="R229" s="140"/>
      <c r="S229" s="140"/>
      <c r="T229" s="140"/>
      <c r="U229" s="140"/>
      <c r="V229" s="140"/>
      <c r="W229" s="140"/>
    </row>
    <row r="230" spans="7:23" ht="18.75">
      <c r="G230" s="140"/>
      <c r="H230" s="140"/>
      <c r="I230" s="140"/>
      <c r="J230" s="140"/>
      <c r="K230" s="140"/>
      <c r="L230" s="142"/>
      <c r="M230" s="142"/>
      <c r="N230" s="142">
        <v>81</v>
      </c>
      <c r="O230" s="142"/>
      <c r="P230" s="140"/>
      <c r="Q230" s="140"/>
      <c r="R230" s="140"/>
      <c r="S230" s="140"/>
      <c r="T230" s="140"/>
      <c r="U230" s="140"/>
      <c r="V230" s="140"/>
      <c r="W230" s="140"/>
    </row>
    <row r="231" spans="7:23" ht="18.75">
      <c r="G231" s="140"/>
      <c r="H231" s="140"/>
      <c r="I231" s="140"/>
      <c r="J231" s="140"/>
      <c r="K231" s="140"/>
      <c r="L231" s="142"/>
      <c r="M231" s="142"/>
      <c r="N231" s="142">
        <v>82</v>
      </c>
      <c r="O231" s="142"/>
      <c r="P231" s="140"/>
      <c r="Q231" s="140"/>
      <c r="R231" s="140"/>
      <c r="S231" s="140"/>
      <c r="T231" s="140"/>
      <c r="U231" s="140"/>
      <c r="V231" s="140"/>
      <c r="W231" s="140"/>
    </row>
    <row r="232" spans="7:23" ht="18.75">
      <c r="G232" s="140"/>
      <c r="H232" s="140"/>
      <c r="I232" s="140"/>
      <c r="J232" s="140"/>
      <c r="K232" s="140"/>
      <c r="L232" s="142"/>
      <c r="M232" s="142"/>
      <c r="N232" s="142">
        <v>83</v>
      </c>
      <c r="O232" s="142"/>
      <c r="P232" s="140"/>
      <c r="Q232" s="140"/>
      <c r="R232" s="140"/>
      <c r="S232" s="140"/>
      <c r="T232" s="140"/>
      <c r="U232" s="140"/>
      <c r="V232" s="140"/>
      <c r="W232" s="140"/>
    </row>
    <row r="233" spans="7:23" ht="18.75">
      <c r="G233" s="140"/>
      <c r="H233" s="140"/>
      <c r="I233" s="140"/>
      <c r="J233" s="140"/>
      <c r="K233" s="140"/>
      <c r="L233" s="142"/>
      <c r="M233" s="142"/>
      <c r="N233" s="142">
        <v>84</v>
      </c>
      <c r="O233" s="142"/>
      <c r="P233" s="140"/>
      <c r="Q233" s="140"/>
      <c r="R233" s="140"/>
      <c r="S233" s="140"/>
      <c r="T233" s="140"/>
      <c r="U233" s="140"/>
      <c r="V233" s="140"/>
      <c r="W233" s="140"/>
    </row>
    <row r="234" spans="7:23" ht="18.75">
      <c r="G234" s="140"/>
      <c r="H234" s="140"/>
      <c r="I234" s="140"/>
      <c r="J234" s="140"/>
      <c r="K234" s="140"/>
      <c r="L234" s="142"/>
      <c r="M234" s="142"/>
      <c r="N234" s="142">
        <v>85</v>
      </c>
      <c r="O234" s="142"/>
      <c r="P234" s="140"/>
      <c r="Q234" s="140"/>
      <c r="R234" s="140"/>
      <c r="S234" s="140"/>
      <c r="T234" s="140"/>
      <c r="U234" s="140"/>
      <c r="V234" s="140"/>
      <c r="W234" s="140"/>
    </row>
    <row r="235" spans="7:23" ht="18.75">
      <c r="G235" s="140"/>
      <c r="H235" s="140"/>
      <c r="I235" s="140"/>
      <c r="J235" s="140"/>
      <c r="K235" s="140"/>
      <c r="L235" s="142"/>
      <c r="M235" s="142"/>
      <c r="N235" s="142">
        <v>86</v>
      </c>
      <c r="O235" s="142"/>
      <c r="P235" s="140"/>
      <c r="Q235" s="140"/>
      <c r="R235" s="140"/>
      <c r="S235" s="140"/>
      <c r="T235" s="140"/>
      <c r="U235" s="140"/>
      <c r="V235" s="140"/>
      <c r="W235" s="140"/>
    </row>
    <row r="236" spans="7:23" ht="18.75">
      <c r="G236" s="140"/>
      <c r="H236" s="140"/>
      <c r="I236" s="140"/>
      <c r="J236" s="140"/>
      <c r="K236" s="140"/>
      <c r="L236" s="142"/>
      <c r="M236" s="142"/>
      <c r="N236" s="142">
        <v>87</v>
      </c>
      <c r="O236" s="142"/>
      <c r="P236" s="140"/>
      <c r="Q236" s="140"/>
      <c r="R236" s="140"/>
      <c r="S236" s="140"/>
      <c r="T236" s="140"/>
      <c r="U236" s="140"/>
      <c r="V236" s="140"/>
      <c r="W236" s="140"/>
    </row>
    <row r="237" spans="7:23" ht="18.75">
      <c r="G237" s="140"/>
      <c r="H237" s="140"/>
      <c r="I237" s="140"/>
      <c r="J237" s="140"/>
      <c r="K237" s="140"/>
      <c r="L237" s="142"/>
      <c r="M237" s="142"/>
      <c r="N237" s="142">
        <v>88</v>
      </c>
      <c r="O237" s="142"/>
      <c r="P237" s="140"/>
      <c r="Q237" s="140"/>
      <c r="R237" s="140"/>
      <c r="S237" s="140"/>
      <c r="T237" s="140"/>
      <c r="U237" s="140"/>
      <c r="V237" s="140"/>
      <c r="W237" s="140"/>
    </row>
    <row r="238" spans="7:23" ht="18.75">
      <c r="G238" s="140"/>
      <c r="H238" s="140"/>
      <c r="I238" s="140"/>
      <c r="J238" s="140"/>
      <c r="K238" s="140"/>
      <c r="L238" s="142"/>
      <c r="M238" s="142"/>
      <c r="N238" s="142">
        <v>89</v>
      </c>
      <c r="O238" s="142"/>
      <c r="P238" s="140"/>
      <c r="Q238" s="140"/>
      <c r="R238" s="140"/>
      <c r="S238" s="140"/>
      <c r="T238" s="140"/>
      <c r="U238" s="140"/>
      <c r="V238" s="140"/>
      <c r="W238" s="140"/>
    </row>
    <row r="239" spans="7:23" ht="18.75">
      <c r="G239" s="140"/>
      <c r="H239" s="140"/>
      <c r="I239" s="140"/>
      <c r="J239" s="140"/>
      <c r="K239" s="140"/>
      <c r="L239" s="142"/>
      <c r="M239" s="142"/>
      <c r="N239" s="142">
        <v>90</v>
      </c>
      <c r="O239" s="142"/>
      <c r="P239" s="140"/>
      <c r="Q239" s="140"/>
      <c r="R239" s="140"/>
      <c r="S239" s="140"/>
      <c r="T239" s="140"/>
      <c r="U239" s="140"/>
      <c r="V239" s="140"/>
      <c r="W239" s="140"/>
    </row>
    <row r="240" spans="7:23" ht="18.75">
      <c r="G240" s="140"/>
      <c r="H240" s="140"/>
      <c r="I240" s="140"/>
      <c r="J240" s="140"/>
      <c r="K240" s="140"/>
      <c r="L240" s="142"/>
      <c r="M240" s="142"/>
      <c r="N240" s="142">
        <v>91</v>
      </c>
      <c r="O240" s="142"/>
      <c r="P240" s="140"/>
      <c r="Q240" s="140"/>
      <c r="R240" s="140"/>
      <c r="S240" s="140"/>
      <c r="T240" s="140"/>
      <c r="U240" s="140"/>
      <c r="V240" s="140"/>
      <c r="W240" s="140"/>
    </row>
    <row r="241" spans="7:23" ht="18.75">
      <c r="G241" s="140"/>
      <c r="H241" s="140"/>
      <c r="I241" s="140"/>
      <c r="J241" s="140"/>
      <c r="K241" s="140"/>
      <c r="L241" s="142"/>
      <c r="M241" s="142"/>
      <c r="N241" s="142">
        <v>92</v>
      </c>
      <c r="O241" s="142"/>
      <c r="P241" s="140"/>
      <c r="Q241" s="140"/>
      <c r="R241" s="140"/>
      <c r="S241" s="140"/>
      <c r="T241" s="140"/>
      <c r="U241" s="140"/>
      <c r="V241" s="140"/>
      <c r="W241" s="140"/>
    </row>
    <row r="242" spans="7:23" ht="18.75">
      <c r="G242" s="140"/>
      <c r="H242" s="140"/>
      <c r="I242" s="140"/>
      <c r="J242" s="140"/>
      <c r="K242" s="140"/>
      <c r="L242" s="142"/>
      <c r="M242" s="142"/>
      <c r="N242" s="142">
        <v>93</v>
      </c>
      <c r="O242" s="142"/>
      <c r="P242" s="140"/>
      <c r="Q242" s="140"/>
      <c r="R242" s="140"/>
      <c r="S242" s="140"/>
      <c r="T242" s="140"/>
      <c r="U242" s="140"/>
      <c r="V242" s="140"/>
      <c r="W242" s="140"/>
    </row>
    <row r="243" spans="7:23" ht="18.75">
      <c r="G243" s="140"/>
      <c r="H243" s="140"/>
      <c r="I243" s="140"/>
      <c r="J243" s="140"/>
      <c r="K243" s="140"/>
      <c r="L243" s="142"/>
      <c r="M243" s="142"/>
      <c r="N243" s="142">
        <v>94</v>
      </c>
      <c r="O243" s="142"/>
      <c r="P243" s="140"/>
      <c r="Q243" s="140"/>
      <c r="R243" s="140"/>
      <c r="S243" s="140"/>
      <c r="T243" s="140"/>
      <c r="U243" s="140"/>
      <c r="V243" s="140"/>
      <c r="W243" s="140"/>
    </row>
    <row r="244" spans="7:23" ht="18.75">
      <c r="G244" s="140"/>
      <c r="H244" s="140"/>
      <c r="I244" s="140"/>
      <c r="J244" s="140"/>
      <c r="K244" s="140"/>
      <c r="L244" s="142"/>
      <c r="M244" s="142"/>
      <c r="N244" s="142">
        <v>95</v>
      </c>
      <c r="O244" s="142"/>
      <c r="P244" s="140"/>
      <c r="Q244" s="140"/>
      <c r="R244" s="140"/>
      <c r="S244" s="140"/>
      <c r="T244" s="140"/>
      <c r="U244" s="140"/>
      <c r="V244" s="140"/>
      <c r="W244" s="140"/>
    </row>
    <row r="245" spans="7:23" ht="18.75">
      <c r="G245" s="140"/>
      <c r="H245" s="140"/>
      <c r="I245" s="140"/>
      <c r="J245" s="140"/>
      <c r="K245" s="140"/>
      <c r="L245" s="142"/>
      <c r="M245" s="142"/>
      <c r="N245" s="142">
        <v>96</v>
      </c>
      <c r="O245" s="142"/>
      <c r="P245" s="140"/>
      <c r="Q245" s="140"/>
      <c r="R245" s="140"/>
      <c r="S245" s="140"/>
      <c r="T245" s="140"/>
      <c r="U245" s="140"/>
      <c r="V245" s="140"/>
      <c r="W245" s="140"/>
    </row>
  </sheetData>
  <sheetProtection algorithmName="SHA-512" hashValue="YfMv1ZpcLP087nbLkZg6hp9Dm0YMAkLXNTy46n8h3n8uWz0Q9t/hnPY4apqMB5CLewpJbM3sJXFzFHdrq8It/A==" saltValue="4TleqHU66v60NdqW/3z3vw==" spinCount="100000" sheet="1" objects="1" scenarios="1"/>
  <mergeCells count="10">
    <mergeCell ref="N8:O8"/>
    <mergeCell ref="L7:O7"/>
    <mergeCell ref="P7:Z7"/>
    <mergeCell ref="A4:F4"/>
    <mergeCell ref="A3:F3"/>
    <mergeCell ref="H3:J3"/>
    <mergeCell ref="H4:J4"/>
    <mergeCell ref="H5:J5"/>
    <mergeCell ref="H6:J6"/>
    <mergeCell ref="L8:M8"/>
  </mergeCells>
  <phoneticPr fontId="24" type="noConversion"/>
  <conditionalFormatting sqref="L3">
    <cfRule type="expression" dxfId="13" priority="2">
      <formula>L3&lt;0.15</formula>
    </cfRule>
  </conditionalFormatting>
  <dataValidations count="9">
    <dataValidation type="list" allowBlank="1" showInputMessage="1" showErrorMessage="1" sqref="G10:G109" xr:uid="{368BE910-3A1D-476B-B7C7-7DD710FE9BC7}">
      <formula1>$G$161:$G$162</formula1>
    </dataValidation>
    <dataValidation type="list" allowBlank="1" showInputMessage="1" showErrorMessage="1" sqref="O10:O109 M10:M109" xr:uid="{C3D18CDD-94D4-45CA-A412-6CB47CC28342}">
      <formula1>$M$160:$M$167</formula1>
    </dataValidation>
    <dataValidation type="list" allowBlank="1" showInputMessage="1" showErrorMessage="1" sqref="N10:N109" xr:uid="{1CC9781E-FE83-40C0-9AD4-E57BBA09B839}">
      <formula1>$N$160:$N$245</formula1>
    </dataValidation>
    <dataValidation type="list" allowBlank="1" showInputMessage="1" showErrorMessage="1" sqref="H10:H109" xr:uid="{473DEA40-FC4F-4174-A7BF-840FEEF8263E}">
      <formula1>$H$161:$H$165</formula1>
    </dataValidation>
    <dataValidation type="list" allowBlank="1" showInputMessage="1" showErrorMessage="1" sqref="K10:K109" xr:uid="{15E48938-E9FA-4FD5-BF52-10AA67C9EEDF}">
      <formula1>$K$161:$K$165</formula1>
    </dataValidation>
    <dataValidation type="list" allowBlank="1" showInputMessage="1" showErrorMessage="1" sqref="Z10:Z109 X10:X109 P10:V109" xr:uid="{813E30CE-3691-4759-8D4F-2CF5D652B6A7}">
      <formula1>$P$161:$P$162</formula1>
    </dataValidation>
    <dataValidation type="list" allowBlank="1" showInputMessage="1" showErrorMessage="1" sqref="W10:W109 Y10:Y109" xr:uid="{BFDB1FFC-501E-43A0-A5A6-3D20348EAFB9}">
      <formula1>$W$161:$W$164</formula1>
    </dataValidation>
    <dataValidation type="list" allowBlank="1" showInputMessage="1" showErrorMessage="1" sqref="L10:L109" xr:uid="{A2F73EF3-E6E8-413D-B03C-FF4C179C1C78}">
      <formula1>$L$160:$L$197</formula1>
    </dataValidation>
    <dataValidation type="list" allowBlank="1" showInputMessage="1" showErrorMessage="1" sqref="A4:F4" xr:uid="{0CF1E087-130C-492F-BF4F-1AD9C403DFD0}">
      <formula1>$I$161:$I$164</formula1>
    </dataValidation>
  </dataValidations>
  <pageMargins left="0.7" right="0.7" top="0.75" bottom="0.75" header="0.3" footer="0.3"/>
  <pageSetup paperSize="3" orientation="landscape" horizontalDpi="1200" verticalDpi="1200" r:id="rId1"/>
  <ignoredErrors>
    <ignoredError sqref="AF167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778F742-3A64-4A00-B582-6F19889F5978}">
          <x14:formula1>
            <xm:f>'PAINT LABOR COSTS'!$B$59:$B$61</xm:f>
          </x14:formula1>
          <xm:sqref>I10:I109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D215B-8F13-4DB8-834D-AABCD3DE4394}">
  <sheetPr codeName="Sheet19">
    <tabColor rgb="FF92D050"/>
    <pageSetUpPr fitToPage="1"/>
  </sheetPr>
  <dimension ref="A1:AX127"/>
  <sheetViews>
    <sheetView view="pageBreakPreview" zoomScaleNormal="80" zoomScaleSheetLayoutView="100" workbookViewId="0">
      <selection activeCell="G6" sqref="G6"/>
    </sheetView>
  </sheetViews>
  <sheetFormatPr defaultRowHeight="15"/>
  <cols>
    <col min="1" max="1" width="9.140625" style="2"/>
    <col min="2" max="2" width="13" customWidth="1"/>
    <col min="3" max="4" width="13.5703125" customWidth="1"/>
    <col min="5" max="6" width="9.140625" style="2"/>
    <col min="7" max="7" width="14.85546875" style="2" customWidth="1"/>
    <col min="8" max="11" width="10.140625" style="2" customWidth="1"/>
    <col min="12" max="12" width="18.140625" style="2" customWidth="1"/>
    <col min="13" max="13" width="10.140625" style="2" customWidth="1"/>
    <col min="14" max="14" width="11" customWidth="1"/>
    <col min="15" max="15" width="11.7109375" customWidth="1"/>
    <col min="17" max="17" width="10.28515625" bestFit="1" customWidth="1"/>
    <col min="18" max="18" width="11.5703125" customWidth="1"/>
    <col min="20" max="20" width="9.140625" style="2"/>
    <col min="22" max="22" width="10.140625" customWidth="1"/>
    <col min="23" max="25" width="8.85546875" customWidth="1"/>
    <col min="26" max="26" width="10.85546875" customWidth="1"/>
    <col min="27" max="27" width="2" customWidth="1"/>
    <col min="28" max="29" width="12.42578125" customWidth="1"/>
    <col min="30" max="30" width="14.5703125" customWidth="1"/>
    <col min="31" max="31" width="12.42578125" customWidth="1"/>
    <col min="32" max="32" width="13.140625" customWidth="1"/>
    <col min="33" max="33" width="13" customWidth="1"/>
    <col min="34" max="34" width="14" customWidth="1"/>
    <col min="35" max="35" width="12.42578125" customWidth="1"/>
    <col min="36" max="36" width="12.85546875" customWidth="1"/>
    <col min="39" max="39" width="31.140625" customWidth="1"/>
    <col min="40" max="40" width="16.28515625" customWidth="1"/>
    <col min="41" max="41" width="9.140625" style="30"/>
    <col min="42" max="42" width="2.5703125" customWidth="1"/>
  </cols>
  <sheetData>
    <row r="1" spans="1:50" ht="26.25" customHeight="1">
      <c r="B1" s="395"/>
      <c r="C1" s="395"/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151"/>
      <c r="O1" s="151">
        <f>1-J17/B5</f>
        <v>0.20000000000000007</v>
      </c>
      <c r="P1" s="151">
        <f>1-J17/C5</f>
        <v>0.2592592592592593</v>
      </c>
      <c r="Q1" s="151">
        <f>1-J17/D5</f>
        <v>0.33333333333333326</v>
      </c>
    </row>
    <row r="2" spans="1:50" ht="17.25">
      <c r="B2" s="2" t="s">
        <v>361</v>
      </c>
      <c r="C2" s="2" t="s">
        <v>195</v>
      </c>
      <c r="D2" s="2" t="s">
        <v>196</v>
      </c>
      <c r="E2" s="178"/>
      <c r="F2" s="103"/>
      <c r="G2" s="103"/>
      <c r="H2" s="103"/>
      <c r="I2" s="103"/>
      <c r="J2" s="103"/>
      <c r="K2" s="103"/>
      <c r="L2" s="103"/>
      <c r="M2" s="103"/>
      <c r="N2" s="103"/>
      <c r="O2" s="103"/>
      <c r="AD2" s="2" t="s">
        <v>362</v>
      </c>
    </row>
    <row r="3" spans="1:50">
      <c r="B3" s="2">
        <v>1.25</v>
      </c>
      <c r="C3" s="2">
        <v>1.35</v>
      </c>
      <c r="D3" s="2">
        <v>1.5</v>
      </c>
      <c r="E3" s="184" t="s">
        <v>538</v>
      </c>
      <c r="F3" s="185"/>
      <c r="G3" s="185"/>
      <c r="H3" s="185"/>
      <c r="I3" s="185"/>
      <c r="J3" s="186"/>
      <c r="K3" s="186"/>
      <c r="L3" s="186"/>
      <c r="M3" s="186"/>
      <c r="AD3">
        <f>35*60</f>
        <v>2100</v>
      </c>
    </row>
    <row r="4" spans="1:50">
      <c r="B4" s="96">
        <v>0.03</v>
      </c>
      <c r="C4" s="96">
        <v>0.05</v>
      </c>
      <c r="D4" s="96">
        <v>0.08</v>
      </c>
      <c r="F4" s="303" t="s">
        <v>364</v>
      </c>
      <c r="G4" s="303"/>
      <c r="N4" s="2"/>
      <c r="O4" s="2"/>
      <c r="P4" s="2"/>
      <c r="Q4" s="2"/>
      <c r="R4" s="2"/>
      <c r="S4" s="337" t="s">
        <v>365</v>
      </c>
      <c r="T4" s="337"/>
      <c r="U4" s="337" t="s">
        <v>366</v>
      </c>
      <c r="V4" s="337"/>
      <c r="W4" s="254"/>
      <c r="X4" s="254"/>
      <c r="Y4" s="254"/>
      <c r="Z4" s="1"/>
      <c r="AD4" s="104">
        <f>25*1.2</f>
        <v>30</v>
      </c>
      <c r="AE4" s="179">
        <f>'PAINT LABOR COSTS'!M48</f>
        <v>0.82040497874924112</v>
      </c>
      <c r="AF4" s="179">
        <f>0.0056*144</f>
        <v>0.80640000000000001</v>
      </c>
      <c r="AG4" s="179">
        <f>'PAINT LABOR COSTS'!M61</f>
        <v>1.450089721393035</v>
      </c>
      <c r="AH4" s="104"/>
      <c r="AI4" s="180">
        <f>0.0069*144</f>
        <v>0.99360000000000004</v>
      </c>
      <c r="AQ4" t="s">
        <v>539</v>
      </c>
      <c r="AR4" t="s">
        <v>540</v>
      </c>
      <c r="AS4" s="2" t="s">
        <v>107</v>
      </c>
      <c r="AT4" s="2" t="s">
        <v>541</v>
      </c>
      <c r="AU4" s="2" t="s">
        <v>542</v>
      </c>
      <c r="AV4" s="2" t="s">
        <v>543</v>
      </c>
      <c r="AW4" s="2" t="s">
        <v>544</v>
      </c>
      <c r="AX4" s="2" t="s">
        <v>545</v>
      </c>
    </row>
    <row r="5" spans="1:50" ht="17.25">
      <c r="B5" s="156">
        <f t="shared" ref="B5:D5" si="0">SUM(B6:B15)</f>
        <v>4445.5790966799204</v>
      </c>
      <c r="C5" s="156">
        <f t="shared" si="0"/>
        <v>4801.2254244143141</v>
      </c>
      <c r="D5" s="156">
        <f t="shared" si="0"/>
        <v>5334.6949160159038</v>
      </c>
      <c r="E5" s="2" t="s">
        <v>368</v>
      </c>
      <c r="F5" s="254" t="s">
        <v>349</v>
      </c>
      <c r="G5" s="254" t="s">
        <v>350</v>
      </c>
      <c r="H5" s="254" t="s">
        <v>546</v>
      </c>
      <c r="I5" s="254" t="s">
        <v>547</v>
      </c>
      <c r="J5" s="254" t="s">
        <v>369</v>
      </c>
      <c r="K5" s="254" t="s">
        <v>370</v>
      </c>
      <c r="L5" s="254" t="s">
        <v>371</v>
      </c>
      <c r="M5" s="254" t="s">
        <v>372</v>
      </c>
      <c r="N5" s="254" t="s">
        <v>373</v>
      </c>
      <c r="O5" s="254" t="s">
        <v>374</v>
      </c>
      <c r="P5" s="254" t="s">
        <v>375</v>
      </c>
      <c r="Q5" s="254" t="s">
        <v>376</v>
      </c>
      <c r="R5" s="254" t="s">
        <v>377</v>
      </c>
      <c r="S5" s="254" t="s">
        <v>378</v>
      </c>
      <c r="T5" s="254" t="s">
        <v>369</v>
      </c>
      <c r="U5" s="254" t="s">
        <v>379</v>
      </c>
      <c r="V5" s="254" t="s">
        <v>369</v>
      </c>
      <c r="W5" s="254" t="s">
        <v>10</v>
      </c>
      <c r="X5" s="254" t="s">
        <v>367</v>
      </c>
      <c r="Y5" s="254" t="s">
        <v>548</v>
      </c>
      <c r="Z5" s="254" t="s">
        <v>549</v>
      </c>
      <c r="AA5" s="254"/>
      <c r="AB5" s="254" t="s">
        <v>382</v>
      </c>
      <c r="AC5" s="254" t="s">
        <v>383</v>
      </c>
      <c r="AD5" s="38" t="s">
        <v>384</v>
      </c>
      <c r="AE5" s="38" t="s">
        <v>385</v>
      </c>
      <c r="AF5" s="38" t="s">
        <v>386</v>
      </c>
      <c r="AG5" s="38" t="s">
        <v>387</v>
      </c>
      <c r="AH5" s="38" t="s">
        <v>388</v>
      </c>
      <c r="AI5" s="38" t="s">
        <v>389</v>
      </c>
      <c r="AJ5" s="38" t="s">
        <v>390</v>
      </c>
      <c r="AM5" t="s">
        <v>550</v>
      </c>
      <c r="AN5" s="2">
        <v>3006</v>
      </c>
      <c r="AO5" s="30">
        <f>Parts!M87</f>
        <v>2.9257105263157892</v>
      </c>
      <c r="AQ5">
        <v>-4</v>
      </c>
      <c r="AS5" s="30">
        <v>20</v>
      </c>
      <c r="AT5" s="73">
        <v>21</v>
      </c>
      <c r="AU5" s="73">
        <f t="shared" ref="AU5:AU15" si="1">AT5*1.2</f>
        <v>25.2</v>
      </c>
      <c r="AV5" s="73">
        <f t="shared" ref="AV5:AV15" si="2">AU5/AS5</f>
        <v>1.26</v>
      </c>
      <c r="AW5" s="73">
        <f>IF(AS5&gt;1,AV5/12,"")</f>
        <v>0.105</v>
      </c>
      <c r="AX5" s="73" t="str">
        <f t="shared" ref="AX5:AX11" si="3">IF(AS5=1,AU5,"")</f>
        <v/>
      </c>
    </row>
    <row r="6" spans="1:50">
      <c r="A6" s="75">
        <v>1</v>
      </c>
      <c r="B6" s="189">
        <f t="shared" ref="B6:B15" si="4">IF(J20="","",J20*$B$3)</f>
        <v>4445.5790966799204</v>
      </c>
      <c r="C6" s="189">
        <f t="shared" ref="C6:C15" si="5">IF(J20="","",J20*$C$3)</f>
        <v>4801.2254244143141</v>
      </c>
      <c r="D6" s="189">
        <f t="shared" ref="D6:D15" si="6">IF(J20="","",J20*$D$3)</f>
        <v>5334.6949160159038</v>
      </c>
      <c r="E6" s="2">
        <v>1</v>
      </c>
      <c r="F6" s="160">
        <v>30</v>
      </c>
      <c r="G6" s="160">
        <v>69.6875</v>
      </c>
      <c r="H6" s="160" t="s">
        <v>551</v>
      </c>
      <c r="I6" s="160" t="s">
        <v>419</v>
      </c>
      <c r="J6" s="160">
        <v>6</v>
      </c>
      <c r="K6" s="160" t="s">
        <v>395</v>
      </c>
      <c r="L6" s="2" t="str">
        <f>IFERROR(VLOOKUP(K6,'PAINT LABOR COSTS'!$B$27:$C$58,2,FALSE),"Pick Color")</f>
        <v>ROCKWOOD RED</v>
      </c>
      <c r="M6" s="160" t="s">
        <v>396</v>
      </c>
      <c r="N6" s="42" t="str">
        <f t="shared" ref="N6:N15" si="7">IF(F6="","",IF(H6="COL",F6,IF(H6="BAH","","")))</f>
        <v/>
      </c>
      <c r="O6" s="42">
        <f>IF(F6="","",IF(H6="COL","",IF(H6="BAH",F6*2,"")))</f>
        <v>60</v>
      </c>
      <c r="P6" s="42">
        <f t="shared" ref="P6:P15" si="8">IF(F6="","",IF(H6="COL",F6,IF(H6="BAH",F6,0)))</f>
        <v>30</v>
      </c>
      <c r="Q6" s="95">
        <f t="shared" ref="Q6:Q15" si="9">IF(G6="","",G6)</f>
        <v>69.6875</v>
      </c>
      <c r="R6" s="95">
        <f t="shared" ref="R6:R15" si="10">IF(J6="","",G6)</f>
        <v>69.6875</v>
      </c>
      <c r="S6" s="95">
        <f t="shared" ref="S6:S15" si="11">IF(F6&gt;19,G6-AQ10,"")</f>
        <v>66.733500000000006</v>
      </c>
      <c r="T6" s="183">
        <f t="shared" ref="T6:T15" si="12">IF(F6&lt;19.25,0,IF(AND(F6&gt;19,F6&lt;38.25),1,IF(AND(F6&gt;38,F6&lt;57.25),2,IF(AND(F6&gt;57,F6&lt;76.25),3,IF(AND(F6&gt;76,F6&lt;96.25),4,IF(AND(F6&gt;96,F6&lt;115.25),5,IF(AND(F6&gt;115,F6&lt;134.25),6,IF(F6&gt;134,7,0))))))))</f>
        <v>1</v>
      </c>
      <c r="U6" s="94">
        <f t="shared" ref="U6:U15" si="13">IF(AND(F6&lt;&gt;"",F6&lt;20),F6+$AQ$7,IF(AND(F6&lt;&gt;"",F6&gt;19, F6&lt;38.25),(F6+$AQ$7-0.875)/2,IF(AND(F6&lt;&gt;"",F6&gt;38,F6&lt;57.25),(F6+$AQ$7-1.75)/3,IF(AND(F6&gt;57,F6&lt;76.25),(F6+$AQ$7-2.625)/4,IF(AND(F6&gt;76,F6&lt;96.25),(F6+$AQ$7-2.625)/5,IF(AND(F6&gt;96,F6&lt;115.25),(F6+$AQ$7-2.625)/6,IF(AND(F6&gt;115,F6&lt;134.25),(F6+$AQ$7-2.625)/7,IF(F6&gt;134,(F6+$AQ$7-2.625)/8,""))))))))</f>
        <v>13.0625</v>
      </c>
      <c r="V6" s="2">
        <f t="shared" ref="V6:V15" si="14">IF(AND(F6&lt;&gt;"",T6=0),LOOKUP(G6,$G$65:$G$113,$F$65:$F$113),IF(AND(F6&lt;&gt;"",T6=1),LOOKUP(G6,$G$65:$G$113,$F$65:$F$113)*2,IF(AND(F6&lt;&gt;"",T6=2),LOOKUP(G6,$G$65:$G$113,$F$65:$F$113)*3,IF(AND(F6&lt;&gt;"",T6=3),LOOKUP(G6,$G$65:$G$113,$F$65:$F$113)*4,IF(AND(F6&lt;&gt;"",T6=4),LOOKUP(G6,$G$65:$G$113,$F$65:$F$113)*5,IF(AND(F6&lt;&gt;"",T6=5),LOOKUP(G6,$G$65:$G$113,$F$65:$F$113)*6,IF(AND(F6&lt;&gt;"",T6=6),LOOKUP(G6,$G$65:$G$113,$F$65:$F$113)*7,IF(AND(F6&lt;&gt;"",T6=7),LOOKUP(G6,$G$65:$G$113,$F$65:$F$113)*8,""))))))))</f>
        <v>76</v>
      </c>
      <c r="W6" s="31" t="str">
        <f t="shared" ref="W6:W15" si="15">IF(AND(H6="COL",G6&lt;48.01,I6="NO"),J6*8,IF(AND(H6="COL",G6&gt;48,I6="NO",G6&lt;72.01),J6*12,IF(AND(H6="COL",G6&gt;72),J6*16,IF(AND(H6="COL",G6&lt;48.01,I6="YES"),J6*16,IF(AND(H6="COL",G6&gt;48,I6="YES",G6&lt;72.01),J6*24,IF(AND(H6="COL",G6&gt;72),J6*32,""))))))</f>
        <v/>
      </c>
      <c r="X6" s="31">
        <f t="shared" ref="X6:X15" si="16">IF(H6="BAH",(G6/12)*0.6*2*J6,"")</f>
        <v>41.8125</v>
      </c>
      <c r="Y6" s="31"/>
      <c r="Z6" s="2">
        <f t="shared" ref="Z6:Z15" si="17">IF(J6&lt;&gt;"",J6*8*2,"")</f>
        <v>96</v>
      </c>
      <c r="AA6" s="2"/>
      <c r="AB6" s="31">
        <f t="shared" ref="AB6:AB15" si="18">IF(I6="NO",F6*G6,F6*G6*4)</f>
        <v>2090.625</v>
      </c>
      <c r="AC6" s="31">
        <f t="shared" ref="AC6:AC15" si="19">(((F6*G6/144)*2)+(((F6/12)*2)*(1.5/12))+(((G6/12)*2)*(1.5/12)))</f>
        <v>31.11328125</v>
      </c>
      <c r="AD6" s="22">
        <f t="shared" ref="AD6:AD15" si="20">(AB6*J6/$AD$3)*$AD$4</f>
        <v>179.19642857142856</v>
      </c>
      <c r="AE6" s="181">
        <f t="shared" ref="AE6:AE15" si="21">IF(I6="NO",AC6*J6*$AE$4,AC6*J6*4*$AE$4)</f>
        <v>153.15294505635248</v>
      </c>
      <c r="AF6" s="181">
        <f t="shared" ref="AF6:AF15" si="22">IF(I6="NO",AC6*J6*$AF$4,AC6*J6*$AF$4*4)</f>
        <v>150.5385</v>
      </c>
      <c r="AG6" s="181">
        <f t="shared" ref="AG6:AG15" si="23">IF(I6="NO",AC6*J6*$AG$4,AC6*J6*4*$AG$4)</f>
        <v>270.70229603661386</v>
      </c>
      <c r="AH6" s="181">
        <f>IF(AND(I6="NO",AC6&gt;0),VLOOKUP(K6,'PAINT LABOR COSTS'!$B$27:$N$67,12,0)*AC6*J6,VLOOKUP(K6,'PAINT LABOR COSTS'!$B$27:$N$67,12,0)*AC6*J6*4)</f>
        <v>834.41602078480423</v>
      </c>
      <c r="AI6" s="181">
        <f t="shared" ref="AI6:AI15" si="24">IF(AND(I6="NO",AC6&gt;0),AC6*J6*$AI$4,AC6*J6*4*$AI$4)</f>
        <v>185.4849375</v>
      </c>
      <c r="AJ6" s="104">
        <f t="shared" ref="AJ6:AJ15" si="25">IF(M6="DELIVERY",$M$77*J6,IF(M6="PICKUP",$M$73*J6,IF(M6="SHIP/CR",$M$75*J6,IF(M6="LCR",$M$81*J6,IF(M6="INSTALL",$M$79*J6,0)))))</f>
        <v>360</v>
      </c>
      <c r="AM6" t="s">
        <v>552</v>
      </c>
      <c r="AN6" s="2">
        <v>3006</v>
      </c>
      <c r="AO6" s="30">
        <f>Parts!M87</f>
        <v>2.9257105263157892</v>
      </c>
      <c r="AQ6">
        <v>-4</v>
      </c>
      <c r="AS6" s="30">
        <v>20</v>
      </c>
      <c r="AT6" s="73">
        <v>21</v>
      </c>
      <c r="AU6" s="73">
        <f t="shared" si="1"/>
        <v>25.2</v>
      </c>
      <c r="AV6" s="73">
        <f t="shared" si="2"/>
        <v>1.26</v>
      </c>
      <c r="AW6" s="73">
        <f t="shared" ref="AW6:AW15" si="26">IF(AS6&gt;1,AV6/12,"")</f>
        <v>0.105</v>
      </c>
      <c r="AX6" s="73" t="str">
        <f t="shared" si="3"/>
        <v/>
      </c>
    </row>
    <row r="7" spans="1:50">
      <c r="A7" s="75">
        <v>2</v>
      </c>
      <c r="B7" s="189" t="str">
        <f t="shared" si="4"/>
        <v/>
      </c>
      <c r="C7" s="189" t="str">
        <f t="shared" si="5"/>
        <v/>
      </c>
      <c r="D7" s="189" t="str">
        <f t="shared" si="6"/>
        <v/>
      </c>
      <c r="E7" s="2">
        <v>2</v>
      </c>
      <c r="F7" s="160"/>
      <c r="G7" s="160"/>
      <c r="H7" s="160"/>
      <c r="I7" s="160"/>
      <c r="J7" s="160"/>
      <c r="K7" s="160"/>
      <c r="L7" s="2" t="str">
        <f>IFERROR(VLOOKUP(K7,'PAINT LABOR COSTS'!$B$27:$C$58,2,FALSE),"Pick Color")</f>
        <v>Pick Color</v>
      </c>
      <c r="M7" s="160"/>
      <c r="N7" s="42" t="str">
        <f t="shared" si="7"/>
        <v/>
      </c>
      <c r="O7" s="42" t="str">
        <f t="shared" ref="O7:O15" si="27">IF(F7="","",IF(H7="COL","",IF(H7="BAH",F7,"")))</f>
        <v/>
      </c>
      <c r="P7" s="42" t="str">
        <f t="shared" si="8"/>
        <v/>
      </c>
      <c r="Q7" s="95" t="str">
        <f t="shared" si="9"/>
        <v/>
      </c>
      <c r="R7" s="95" t="str">
        <f t="shared" si="10"/>
        <v/>
      </c>
      <c r="S7" s="95" t="str">
        <f t="shared" si="11"/>
        <v/>
      </c>
      <c r="T7" s="183">
        <f t="shared" si="12"/>
        <v>0</v>
      </c>
      <c r="U7" s="94" t="str">
        <f t="shared" si="13"/>
        <v/>
      </c>
      <c r="V7" s="2" t="str">
        <f t="shared" si="14"/>
        <v/>
      </c>
      <c r="W7" s="31" t="str">
        <f t="shared" si="15"/>
        <v/>
      </c>
      <c r="X7" s="31" t="str">
        <f t="shared" si="16"/>
        <v/>
      </c>
      <c r="Y7" s="31"/>
      <c r="Z7" s="2" t="str">
        <f t="shared" si="17"/>
        <v/>
      </c>
      <c r="AA7" s="2"/>
      <c r="AB7" s="31">
        <f t="shared" si="18"/>
        <v>0</v>
      </c>
      <c r="AC7" s="31">
        <f t="shared" si="19"/>
        <v>0</v>
      </c>
      <c r="AD7" s="22">
        <f t="shared" si="20"/>
        <v>0</v>
      </c>
      <c r="AE7" s="181">
        <f t="shared" si="21"/>
        <v>0</v>
      </c>
      <c r="AF7" s="181">
        <f t="shared" si="22"/>
        <v>0</v>
      </c>
      <c r="AG7" s="181">
        <f t="shared" si="23"/>
        <v>0</v>
      </c>
      <c r="AH7" s="181" t="e">
        <f>IF(AND(I7="NO",AC7&gt;0),VLOOKUP(K7,'PAINT LABOR COSTS'!$B$27:$N$67,12,0)*AC7*J7,VLOOKUP(K7,'PAINT LABOR COSTS'!$B$27:$N$67,12,0)*AC7*J7*4)</f>
        <v>#N/A</v>
      </c>
      <c r="AI7" s="181">
        <f t="shared" si="24"/>
        <v>0</v>
      </c>
      <c r="AJ7" s="104">
        <f t="shared" si="25"/>
        <v>0</v>
      </c>
      <c r="AM7" t="s">
        <v>553</v>
      </c>
      <c r="AN7" s="2">
        <v>3013</v>
      </c>
      <c r="AO7" s="30">
        <f>Parts!M86</f>
        <v>1.1209</v>
      </c>
      <c r="AQ7">
        <v>-3</v>
      </c>
      <c r="AR7">
        <v>-6.25E-2</v>
      </c>
      <c r="AS7" s="30">
        <v>20</v>
      </c>
      <c r="AT7" s="73">
        <v>19.079999999999998</v>
      </c>
      <c r="AU7" s="73">
        <f t="shared" si="1"/>
        <v>22.895999999999997</v>
      </c>
      <c r="AV7" s="73">
        <f t="shared" si="2"/>
        <v>1.1447999999999998</v>
      </c>
      <c r="AW7" s="73">
        <f t="shared" si="26"/>
        <v>9.5399999999999985E-2</v>
      </c>
      <c r="AX7" s="73" t="str">
        <f t="shared" si="3"/>
        <v/>
      </c>
    </row>
    <row r="8" spans="1:50">
      <c r="A8" s="75">
        <v>3</v>
      </c>
      <c r="B8" s="189" t="str">
        <f t="shared" si="4"/>
        <v/>
      </c>
      <c r="C8" s="189" t="str">
        <f t="shared" si="5"/>
        <v/>
      </c>
      <c r="D8" s="189" t="str">
        <f t="shared" si="6"/>
        <v/>
      </c>
      <c r="E8" s="2">
        <v>3</v>
      </c>
      <c r="F8" s="160"/>
      <c r="G8" s="160"/>
      <c r="H8" s="160"/>
      <c r="I8" s="160"/>
      <c r="J8" s="160"/>
      <c r="K8" s="160"/>
      <c r="L8" s="2" t="str">
        <f>IFERROR(VLOOKUP(K8,'PAINT LABOR COSTS'!$B$27:$C$58,2,FALSE),"Pick Color")</f>
        <v>Pick Color</v>
      </c>
      <c r="M8" s="160"/>
      <c r="N8" s="42" t="str">
        <f t="shared" si="7"/>
        <v/>
      </c>
      <c r="O8" s="42" t="str">
        <f t="shared" si="27"/>
        <v/>
      </c>
      <c r="P8" s="42" t="str">
        <f t="shared" si="8"/>
        <v/>
      </c>
      <c r="Q8" s="95" t="str">
        <f t="shared" si="9"/>
        <v/>
      </c>
      <c r="R8" s="95" t="str">
        <f t="shared" si="10"/>
        <v/>
      </c>
      <c r="S8" s="95" t="str">
        <f t="shared" si="11"/>
        <v/>
      </c>
      <c r="T8" s="183">
        <f t="shared" si="12"/>
        <v>0</v>
      </c>
      <c r="U8" s="94" t="str">
        <f t="shared" si="13"/>
        <v/>
      </c>
      <c r="V8" s="2" t="str">
        <f t="shared" si="14"/>
        <v/>
      </c>
      <c r="W8" s="31" t="str">
        <f t="shared" si="15"/>
        <v/>
      </c>
      <c r="X8" s="31" t="str">
        <f t="shared" si="16"/>
        <v/>
      </c>
      <c r="Y8" s="31"/>
      <c r="Z8" s="2" t="str">
        <f t="shared" si="17"/>
        <v/>
      </c>
      <c r="AA8" s="2"/>
      <c r="AB8" s="31">
        <f t="shared" si="18"/>
        <v>0</v>
      </c>
      <c r="AC8" s="31">
        <f t="shared" si="19"/>
        <v>0</v>
      </c>
      <c r="AD8" s="22">
        <f t="shared" si="20"/>
        <v>0</v>
      </c>
      <c r="AE8" s="181">
        <f t="shared" si="21"/>
        <v>0</v>
      </c>
      <c r="AF8" s="181">
        <f t="shared" si="22"/>
        <v>0</v>
      </c>
      <c r="AG8" s="181">
        <f t="shared" si="23"/>
        <v>0</v>
      </c>
      <c r="AH8" s="181" t="e">
        <f>IF(AND(I8="NO",AC8&gt;0),VLOOKUP(K8,'PAINT LABOR COSTS'!$B$27:$N$67,12,0)*AC8*J8,VLOOKUP(K8,'PAINT LABOR COSTS'!$B$27:$N$67,12,0)*AC8*J8*4)</f>
        <v>#N/A</v>
      </c>
      <c r="AI8" s="181">
        <f t="shared" si="24"/>
        <v>0</v>
      </c>
      <c r="AJ8" s="104">
        <f t="shared" si="25"/>
        <v>0</v>
      </c>
      <c r="AM8" t="s">
        <v>554</v>
      </c>
      <c r="AN8" s="2">
        <v>3053</v>
      </c>
      <c r="AO8" s="30">
        <f>Parts!M90</f>
        <v>0.82660000000000011</v>
      </c>
      <c r="AQ8">
        <v>-4</v>
      </c>
      <c r="AS8" s="30">
        <v>19</v>
      </c>
      <c r="AT8" s="73">
        <v>12.3</v>
      </c>
      <c r="AU8" s="73">
        <f t="shared" si="1"/>
        <v>14.76</v>
      </c>
      <c r="AV8" s="73">
        <f t="shared" si="2"/>
        <v>0.77684210526315789</v>
      </c>
      <c r="AW8" s="73">
        <f t="shared" si="26"/>
        <v>6.4736842105263162E-2</v>
      </c>
      <c r="AX8" s="73" t="str">
        <f t="shared" si="3"/>
        <v/>
      </c>
    </row>
    <row r="9" spans="1:50">
      <c r="A9" s="75">
        <v>4</v>
      </c>
      <c r="B9" s="189" t="str">
        <f t="shared" si="4"/>
        <v/>
      </c>
      <c r="C9" s="189" t="str">
        <f t="shared" si="5"/>
        <v/>
      </c>
      <c r="D9" s="189" t="str">
        <f t="shared" si="6"/>
        <v/>
      </c>
      <c r="E9" s="2">
        <v>4</v>
      </c>
      <c r="F9" s="160"/>
      <c r="G9" s="160"/>
      <c r="H9" s="160"/>
      <c r="I9" s="160"/>
      <c r="J9" s="160"/>
      <c r="K9" s="160"/>
      <c r="L9" s="2" t="str">
        <f>IFERROR(VLOOKUP(K9,'PAINT LABOR COSTS'!$B$27:$C$58,2,FALSE),"Pick Color")</f>
        <v>Pick Color</v>
      </c>
      <c r="M9" s="160"/>
      <c r="N9" s="42" t="str">
        <f t="shared" si="7"/>
        <v/>
      </c>
      <c r="O9" s="42" t="str">
        <f t="shared" si="27"/>
        <v/>
      </c>
      <c r="P9" s="42" t="str">
        <f t="shared" si="8"/>
        <v/>
      </c>
      <c r="Q9" s="95" t="str">
        <f t="shared" si="9"/>
        <v/>
      </c>
      <c r="R9" s="95" t="str">
        <f t="shared" si="10"/>
        <v/>
      </c>
      <c r="S9" s="95" t="str">
        <f t="shared" si="11"/>
        <v/>
      </c>
      <c r="T9" s="183">
        <f t="shared" si="12"/>
        <v>0</v>
      </c>
      <c r="U9" s="94" t="str">
        <f t="shared" si="13"/>
        <v/>
      </c>
      <c r="V9" s="2" t="str">
        <f t="shared" si="14"/>
        <v/>
      </c>
      <c r="W9" s="31" t="str">
        <f t="shared" si="15"/>
        <v/>
      </c>
      <c r="X9" s="31" t="str">
        <f t="shared" si="16"/>
        <v/>
      </c>
      <c r="Y9" s="31"/>
      <c r="Z9" s="2" t="str">
        <f t="shared" si="17"/>
        <v/>
      </c>
      <c r="AA9" s="2"/>
      <c r="AB9" s="31">
        <f t="shared" si="18"/>
        <v>0</v>
      </c>
      <c r="AC9" s="31">
        <f t="shared" si="19"/>
        <v>0</v>
      </c>
      <c r="AD9" s="22">
        <f t="shared" si="20"/>
        <v>0</v>
      </c>
      <c r="AE9" s="181">
        <f t="shared" si="21"/>
        <v>0</v>
      </c>
      <c r="AF9" s="181">
        <f t="shared" si="22"/>
        <v>0</v>
      </c>
      <c r="AG9" s="181">
        <f t="shared" si="23"/>
        <v>0</v>
      </c>
      <c r="AH9" s="181" t="e">
        <f>IF(AND(I9="NO",AC9&gt;0),VLOOKUP(K9,'PAINT LABOR COSTS'!$B$27:$N$67,12,0)*AC9*J9,VLOOKUP(K9,'PAINT LABOR COSTS'!$B$27:$N$67,12,0)*AC9*J9*4)</f>
        <v>#N/A</v>
      </c>
      <c r="AI9" s="181">
        <f t="shared" si="24"/>
        <v>0</v>
      </c>
      <c r="AJ9" s="104">
        <f t="shared" si="25"/>
        <v>0</v>
      </c>
      <c r="AM9" t="s">
        <v>555</v>
      </c>
      <c r="AN9" s="2">
        <v>3009</v>
      </c>
      <c r="AO9" s="30">
        <f>Parts!M91</f>
        <v>2.2545000000000002</v>
      </c>
      <c r="AS9" s="30">
        <v>20</v>
      </c>
      <c r="AT9" s="73">
        <v>39.1</v>
      </c>
      <c r="AU9" s="73">
        <f t="shared" si="1"/>
        <v>46.92</v>
      </c>
      <c r="AV9" s="73">
        <f t="shared" si="2"/>
        <v>2.3460000000000001</v>
      </c>
      <c r="AW9" s="73">
        <f t="shared" si="26"/>
        <v>0.19550000000000001</v>
      </c>
      <c r="AX9" s="73" t="str">
        <f t="shared" si="3"/>
        <v/>
      </c>
    </row>
    <row r="10" spans="1:50">
      <c r="A10" s="75">
        <v>5</v>
      </c>
      <c r="B10" s="189" t="str">
        <f t="shared" si="4"/>
        <v/>
      </c>
      <c r="C10" s="189" t="str">
        <f t="shared" si="5"/>
        <v/>
      </c>
      <c r="D10" s="189" t="str">
        <f t="shared" si="6"/>
        <v/>
      </c>
      <c r="E10" s="2">
        <v>5</v>
      </c>
      <c r="F10" s="160"/>
      <c r="G10" s="160"/>
      <c r="H10" s="160"/>
      <c r="I10" s="160"/>
      <c r="J10" s="160"/>
      <c r="K10" s="160"/>
      <c r="L10" s="2" t="str">
        <f>IFERROR(VLOOKUP(K10,'PAINT LABOR COSTS'!$B$27:$C$58,2,FALSE),"Pick Color")</f>
        <v>Pick Color</v>
      </c>
      <c r="M10" s="160"/>
      <c r="N10" s="42" t="str">
        <f t="shared" si="7"/>
        <v/>
      </c>
      <c r="O10" s="42" t="str">
        <f t="shared" si="27"/>
        <v/>
      </c>
      <c r="P10" s="42" t="str">
        <f t="shared" si="8"/>
        <v/>
      </c>
      <c r="Q10" s="95" t="str">
        <f t="shared" si="9"/>
        <v/>
      </c>
      <c r="R10" s="95" t="str">
        <f t="shared" si="10"/>
        <v/>
      </c>
      <c r="S10" s="95" t="str">
        <f t="shared" si="11"/>
        <v/>
      </c>
      <c r="T10" s="183">
        <f t="shared" si="12"/>
        <v>0</v>
      </c>
      <c r="U10" s="94" t="str">
        <f t="shared" si="13"/>
        <v/>
      </c>
      <c r="V10" s="2" t="str">
        <f t="shared" si="14"/>
        <v/>
      </c>
      <c r="W10" s="31" t="str">
        <f t="shared" si="15"/>
        <v/>
      </c>
      <c r="X10" s="31" t="str">
        <f t="shared" si="16"/>
        <v/>
      </c>
      <c r="Y10" s="31"/>
      <c r="Z10" s="2" t="str">
        <f t="shared" si="17"/>
        <v/>
      </c>
      <c r="AA10" s="2"/>
      <c r="AB10" s="31">
        <f t="shared" si="18"/>
        <v>0</v>
      </c>
      <c r="AC10" s="31">
        <f t="shared" si="19"/>
        <v>0</v>
      </c>
      <c r="AD10" s="22">
        <f t="shared" si="20"/>
        <v>0</v>
      </c>
      <c r="AE10" s="181">
        <f t="shared" si="21"/>
        <v>0</v>
      </c>
      <c r="AF10" s="181">
        <f t="shared" si="22"/>
        <v>0</v>
      </c>
      <c r="AG10" s="181">
        <f t="shared" si="23"/>
        <v>0</v>
      </c>
      <c r="AH10" s="181" t="e">
        <f>IF(AND(I10="NO",AC10&gt;0),VLOOKUP(K10,'PAINT LABOR COSTS'!$B$27:$N$67,12,0)*AC10*J10,VLOOKUP(K10,'PAINT LABOR COSTS'!$B$27:$N$67,12,0)*AC10*J10*4)</f>
        <v>#N/A</v>
      </c>
      <c r="AI10" s="181">
        <f t="shared" si="24"/>
        <v>0</v>
      </c>
      <c r="AJ10" s="104">
        <f t="shared" si="25"/>
        <v>0</v>
      </c>
      <c r="AM10" t="s">
        <v>556</v>
      </c>
      <c r="AN10" s="2">
        <v>3030</v>
      </c>
      <c r="AO10" s="30">
        <f>Parts!M96</f>
        <v>0.67400000000000004</v>
      </c>
      <c r="AQ10">
        <f>1.477*2</f>
        <v>2.9540000000000002</v>
      </c>
      <c r="AS10" s="30">
        <v>20</v>
      </c>
      <c r="AT10" s="73">
        <v>49.2</v>
      </c>
      <c r="AU10" s="73">
        <f t="shared" si="1"/>
        <v>59.04</v>
      </c>
      <c r="AV10" s="73">
        <f t="shared" si="2"/>
        <v>2.952</v>
      </c>
      <c r="AW10" s="73">
        <f t="shared" si="26"/>
        <v>0.246</v>
      </c>
      <c r="AX10" s="73" t="str">
        <f t="shared" si="3"/>
        <v/>
      </c>
    </row>
    <row r="11" spans="1:50">
      <c r="A11" s="75">
        <v>6</v>
      </c>
      <c r="B11" s="189" t="str">
        <f t="shared" si="4"/>
        <v/>
      </c>
      <c r="C11" s="189" t="str">
        <f t="shared" si="5"/>
        <v/>
      </c>
      <c r="D11" s="189" t="str">
        <f t="shared" si="6"/>
        <v/>
      </c>
      <c r="E11" s="2">
        <v>6</v>
      </c>
      <c r="F11" s="160"/>
      <c r="G11" s="160"/>
      <c r="H11" s="160"/>
      <c r="I11" s="160"/>
      <c r="J11" s="160"/>
      <c r="K11" s="160"/>
      <c r="L11" s="2" t="str">
        <f>IFERROR(VLOOKUP(K11,'PAINT LABOR COSTS'!$B$27:$C$58,2,FALSE),"Pick Color")</f>
        <v>Pick Color</v>
      </c>
      <c r="M11" s="160"/>
      <c r="N11" s="42" t="str">
        <f t="shared" si="7"/>
        <v/>
      </c>
      <c r="O11" s="42" t="str">
        <f t="shared" si="27"/>
        <v/>
      </c>
      <c r="P11" s="42" t="str">
        <f t="shared" si="8"/>
        <v/>
      </c>
      <c r="Q11" s="95" t="str">
        <f t="shared" si="9"/>
        <v/>
      </c>
      <c r="R11" s="95" t="str">
        <f t="shared" si="10"/>
        <v/>
      </c>
      <c r="S11" s="95" t="str">
        <f t="shared" si="11"/>
        <v/>
      </c>
      <c r="T11" s="183">
        <f t="shared" si="12"/>
        <v>0</v>
      </c>
      <c r="U11" s="94" t="str">
        <f t="shared" si="13"/>
        <v/>
      </c>
      <c r="V11" s="2" t="str">
        <f t="shared" si="14"/>
        <v/>
      </c>
      <c r="W11" s="31" t="str">
        <f t="shared" si="15"/>
        <v/>
      </c>
      <c r="X11" s="31" t="str">
        <f t="shared" si="16"/>
        <v/>
      </c>
      <c r="Y11" s="31"/>
      <c r="Z11" s="2" t="str">
        <f t="shared" si="17"/>
        <v/>
      </c>
      <c r="AA11" s="2"/>
      <c r="AB11" s="31">
        <f t="shared" si="18"/>
        <v>0</v>
      </c>
      <c r="AC11" s="31">
        <f t="shared" si="19"/>
        <v>0</v>
      </c>
      <c r="AD11" s="22">
        <f t="shared" si="20"/>
        <v>0</v>
      </c>
      <c r="AE11" s="181">
        <f t="shared" si="21"/>
        <v>0</v>
      </c>
      <c r="AF11" s="181">
        <f t="shared" si="22"/>
        <v>0</v>
      </c>
      <c r="AG11" s="181">
        <f t="shared" si="23"/>
        <v>0</v>
      </c>
      <c r="AH11" s="181" t="e">
        <f>IF(AND(I11="NO",AC11&gt;0),VLOOKUP(K11,'PAINT LABOR COSTS'!$B$27:$N$67,12,0)*AC11*J11,VLOOKUP(K11,'PAINT LABOR COSTS'!$B$27:$N$67,12,0)*AC11*J11*4)</f>
        <v>#N/A</v>
      </c>
      <c r="AI11" s="181">
        <f t="shared" si="24"/>
        <v>0</v>
      </c>
      <c r="AJ11" s="104">
        <f t="shared" si="25"/>
        <v>0</v>
      </c>
      <c r="AM11" t="s">
        <v>557</v>
      </c>
      <c r="AN11" s="2">
        <v>5001</v>
      </c>
      <c r="AO11" s="30">
        <f>Parts!M97</f>
        <v>1.8076000000000001</v>
      </c>
      <c r="AQ11">
        <v>4</v>
      </c>
      <c r="AS11" s="30">
        <v>20</v>
      </c>
      <c r="AT11" s="73">
        <v>34.200000000000003</v>
      </c>
      <c r="AU11" s="73">
        <f t="shared" si="1"/>
        <v>41.04</v>
      </c>
      <c r="AV11" s="73">
        <f t="shared" si="2"/>
        <v>2.052</v>
      </c>
      <c r="AW11" s="73">
        <f t="shared" si="26"/>
        <v>0.17100000000000001</v>
      </c>
      <c r="AX11" s="73" t="str">
        <f t="shared" si="3"/>
        <v/>
      </c>
    </row>
    <row r="12" spans="1:50">
      <c r="A12" s="75">
        <v>7</v>
      </c>
      <c r="B12" s="189" t="str">
        <f t="shared" si="4"/>
        <v/>
      </c>
      <c r="C12" s="189" t="str">
        <f t="shared" si="5"/>
        <v/>
      </c>
      <c r="D12" s="189" t="str">
        <f t="shared" si="6"/>
        <v/>
      </c>
      <c r="E12" s="2">
        <v>7</v>
      </c>
      <c r="F12" s="160"/>
      <c r="G12" s="284"/>
      <c r="H12" s="160"/>
      <c r="I12" s="160"/>
      <c r="J12" s="160"/>
      <c r="K12" s="160"/>
      <c r="L12" s="2" t="str">
        <f>IFERROR(VLOOKUP(K12,'PAINT LABOR COSTS'!$B$27:$C$58,2,FALSE),"Pick Color")</f>
        <v>Pick Color</v>
      </c>
      <c r="M12" s="160"/>
      <c r="N12" s="42" t="str">
        <f t="shared" si="7"/>
        <v/>
      </c>
      <c r="O12" s="42" t="str">
        <f t="shared" si="27"/>
        <v/>
      </c>
      <c r="P12" s="42" t="str">
        <f t="shared" si="8"/>
        <v/>
      </c>
      <c r="Q12" s="95" t="str">
        <f t="shared" si="9"/>
        <v/>
      </c>
      <c r="R12" s="95" t="str">
        <f t="shared" si="10"/>
        <v/>
      </c>
      <c r="S12" s="95" t="str">
        <f t="shared" si="11"/>
        <v/>
      </c>
      <c r="T12" s="183">
        <f t="shared" si="12"/>
        <v>0</v>
      </c>
      <c r="U12" s="94" t="str">
        <f t="shared" si="13"/>
        <v/>
      </c>
      <c r="V12" s="2" t="str">
        <f t="shared" si="14"/>
        <v/>
      </c>
      <c r="W12" s="31" t="str">
        <f t="shared" si="15"/>
        <v/>
      </c>
      <c r="X12" s="31" t="str">
        <f t="shared" si="16"/>
        <v/>
      </c>
      <c r="Y12" s="31"/>
      <c r="Z12" s="2" t="str">
        <f t="shared" si="17"/>
        <v/>
      </c>
      <c r="AA12" s="2"/>
      <c r="AB12" s="31">
        <f t="shared" si="18"/>
        <v>0</v>
      </c>
      <c r="AC12" s="31">
        <f t="shared" si="19"/>
        <v>0</v>
      </c>
      <c r="AD12" s="22">
        <f t="shared" si="20"/>
        <v>0</v>
      </c>
      <c r="AE12" s="181">
        <f t="shared" si="21"/>
        <v>0</v>
      </c>
      <c r="AF12" s="181">
        <f t="shared" si="22"/>
        <v>0</v>
      </c>
      <c r="AG12" s="181">
        <f t="shared" si="23"/>
        <v>0</v>
      </c>
      <c r="AH12" s="181" t="e">
        <f>IF(AND(I12="NO",AC12&gt;0),VLOOKUP(K12,'PAINT LABOR COSTS'!$B$27:$N$67,12,0)*AC12*J12,VLOOKUP(K12,'PAINT LABOR COSTS'!$B$27:$N$67,12,0)*AC12*J12*4)</f>
        <v>#N/A</v>
      </c>
      <c r="AI12" s="181">
        <f t="shared" si="24"/>
        <v>0</v>
      </c>
      <c r="AJ12" s="104">
        <f t="shared" si="25"/>
        <v>0</v>
      </c>
      <c r="AM12" t="s">
        <v>558</v>
      </c>
      <c r="AN12" s="2" t="s">
        <v>559</v>
      </c>
      <c r="AO12" s="30">
        <f>Parts!M94</f>
        <v>1.8839000000000001</v>
      </c>
      <c r="AS12" s="30">
        <v>1</v>
      </c>
      <c r="AT12" s="73">
        <v>1.5</v>
      </c>
      <c r="AU12" s="73">
        <f t="shared" si="1"/>
        <v>1.7999999999999998</v>
      </c>
      <c r="AV12" s="73">
        <f t="shared" si="2"/>
        <v>1.7999999999999998</v>
      </c>
      <c r="AW12" s="73" t="str">
        <f t="shared" si="26"/>
        <v/>
      </c>
      <c r="AX12" s="73">
        <f>IF(AS12=1,AU12,"")</f>
        <v>1.7999999999999998</v>
      </c>
    </row>
    <row r="13" spans="1:50">
      <c r="A13" s="75">
        <v>8</v>
      </c>
      <c r="B13" s="189" t="str">
        <f t="shared" si="4"/>
        <v/>
      </c>
      <c r="C13" s="189" t="str">
        <f t="shared" si="5"/>
        <v/>
      </c>
      <c r="D13" s="189" t="str">
        <f t="shared" si="6"/>
        <v/>
      </c>
      <c r="E13" s="2">
        <v>8</v>
      </c>
      <c r="F13" s="160"/>
      <c r="G13" s="160"/>
      <c r="H13" s="160"/>
      <c r="I13" s="160"/>
      <c r="J13" s="160"/>
      <c r="K13" s="160"/>
      <c r="L13" s="2" t="str">
        <f>IFERROR(VLOOKUP(K13,'PAINT LABOR COSTS'!$B$27:$C$58,2,FALSE),"Pick Color")</f>
        <v>Pick Color</v>
      </c>
      <c r="M13" s="160"/>
      <c r="N13" s="42" t="str">
        <f t="shared" si="7"/>
        <v/>
      </c>
      <c r="O13" s="42" t="str">
        <f t="shared" si="27"/>
        <v/>
      </c>
      <c r="P13" s="42" t="str">
        <f t="shared" si="8"/>
        <v/>
      </c>
      <c r="Q13" s="95" t="str">
        <f t="shared" si="9"/>
        <v/>
      </c>
      <c r="R13" s="95" t="str">
        <f t="shared" si="10"/>
        <v/>
      </c>
      <c r="S13" s="95" t="str">
        <f t="shared" si="11"/>
        <v/>
      </c>
      <c r="T13" s="183">
        <f t="shared" si="12"/>
        <v>0</v>
      </c>
      <c r="U13" s="94" t="str">
        <f t="shared" si="13"/>
        <v/>
      </c>
      <c r="V13" s="2" t="str">
        <f t="shared" si="14"/>
        <v/>
      </c>
      <c r="W13" s="31" t="str">
        <f t="shared" si="15"/>
        <v/>
      </c>
      <c r="X13" s="31" t="str">
        <f t="shared" si="16"/>
        <v/>
      </c>
      <c r="Y13" s="31"/>
      <c r="Z13" s="2" t="str">
        <f t="shared" si="17"/>
        <v/>
      </c>
      <c r="AA13" s="2"/>
      <c r="AB13" s="31">
        <f t="shared" si="18"/>
        <v>0</v>
      </c>
      <c r="AC13" s="31">
        <f t="shared" si="19"/>
        <v>0</v>
      </c>
      <c r="AD13" s="22">
        <f t="shared" si="20"/>
        <v>0</v>
      </c>
      <c r="AE13" s="181">
        <f t="shared" si="21"/>
        <v>0</v>
      </c>
      <c r="AF13" s="181">
        <f t="shared" si="22"/>
        <v>0</v>
      </c>
      <c r="AG13" s="181">
        <f t="shared" si="23"/>
        <v>0</v>
      </c>
      <c r="AH13" s="181" t="e">
        <f>IF(AND(I13="NO",AC13&gt;0),VLOOKUP(K13,'PAINT LABOR COSTS'!$B$27:$N$67,12,0)*AC13*J13,VLOOKUP(K13,'PAINT LABOR COSTS'!$B$27:$N$67,12,0)*AC13*J13*4)</f>
        <v>#N/A</v>
      </c>
      <c r="AI13" s="181">
        <f t="shared" si="24"/>
        <v>0</v>
      </c>
      <c r="AJ13" s="104">
        <f t="shared" si="25"/>
        <v>0</v>
      </c>
      <c r="AM13" t="s">
        <v>560</v>
      </c>
      <c r="AN13" s="2" t="s">
        <v>561</v>
      </c>
      <c r="AO13" s="30">
        <f>Parts!M95</f>
        <v>0.81570000000000009</v>
      </c>
      <c r="AS13" s="30">
        <v>1</v>
      </c>
      <c r="AT13" s="73">
        <v>1.99</v>
      </c>
      <c r="AU13" s="73">
        <f t="shared" si="1"/>
        <v>2.3879999999999999</v>
      </c>
      <c r="AV13" s="73">
        <f t="shared" si="2"/>
        <v>2.3879999999999999</v>
      </c>
      <c r="AW13" s="73" t="str">
        <f t="shared" si="26"/>
        <v/>
      </c>
      <c r="AX13" s="73">
        <f>IF(AS13=1,AU13,"")</f>
        <v>2.3879999999999999</v>
      </c>
    </row>
    <row r="14" spans="1:50">
      <c r="A14" s="75">
        <v>9</v>
      </c>
      <c r="B14" s="189" t="str">
        <f t="shared" si="4"/>
        <v/>
      </c>
      <c r="C14" s="189" t="str">
        <f t="shared" si="5"/>
        <v/>
      </c>
      <c r="D14" s="189" t="str">
        <f t="shared" si="6"/>
        <v/>
      </c>
      <c r="E14" s="2">
        <v>9</v>
      </c>
      <c r="F14" s="160"/>
      <c r="G14" s="160"/>
      <c r="H14" s="160"/>
      <c r="I14" s="160"/>
      <c r="J14" s="160"/>
      <c r="K14" s="160"/>
      <c r="L14" s="2" t="str">
        <f>IFERROR(VLOOKUP(K14,'PAINT LABOR COSTS'!$B$27:$C$58,2,FALSE),"Pick Color")</f>
        <v>Pick Color</v>
      </c>
      <c r="M14" s="160"/>
      <c r="N14" s="42" t="str">
        <f t="shared" si="7"/>
        <v/>
      </c>
      <c r="O14" s="42" t="str">
        <f t="shared" si="27"/>
        <v/>
      </c>
      <c r="P14" s="42" t="str">
        <f t="shared" si="8"/>
        <v/>
      </c>
      <c r="Q14" s="95" t="str">
        <f t="shared" si="9"/>
        <v/>
      </c>
      <c r="R14" s="95" t="str">
        <f t="shared" si="10"/>
        <v/>
      </c>
      <c r="S14" s="95" t="str">
        <f t="shared" si="11"/>
        <v/>
      </c>
      <c r="T14" s="183">
        <f t="shared" si="12"/>
        <v>0</v>
      </c>
      <c r="U14" s="94" t="str">
        <f t="shared" si="13"/>
        <v/>
      </c>
      <c r="V14" s="2" t="str">
        <f t="shared" si="14"/>
        <v/>
      </c>
      <c r="W14" s="31" t="str">
        <f t="shared" si="15"/>
        <v/>
      </c>
      <c r="X14" s="31" t="str">
        <f t="shared" si="16"/>
        <v/>
      </c>
      <c r="Y14" s="31"/>
      <c r="Z14" s="2" t="str">
        <f t="shared" si="17"/>
        <v/>
      </c>
      <c r="AA14" s="2"/>
      <c r="AB14" s="31">
        <f t="shared" si="18"/>
        <v>0</v>
      </c>
      <c r="AC14" s="31">
        <f t="shared" si="19"/>
        <v>0</v>
      </c>
      <c r="AD14" s="22">
        <f t="shared" si="20"/>
        <v>0</v>
      </c>
      <c r="AE14" s="181">
        <f t="shared" si="21"/>
        <v>0</v>
      </c>
      <c r="AF14" s="181">
        <f t="shared" si="22"/>
        <v>0</v>
      </c>
      <c r="AG14" s="181">
        <f t="shared" si="23"/>
        <v>0</v>
      </c>
      <c r="AH14" s="181" t="e">
        <f>IF(AND(I14="NO",AC14&gt;0),VLOOKUP(K14,'PAINT LABOR COSTS'!$B$27:$N$67,12,0)*AC14*J14,VLOOKUP(K14,'PAINT LABOR COSTS'!$B$27:$N$67,12,0)*AC14*J14*4)</f>
        <v>#N/A</v>
      </c>
      <c r="AI14" s="181">
        <f t="shared" si="24"/>
        <v>0</v>
      </c>
      <c r="AJ14" s="104">
        <f t="shared" si="25"/>
        <v>0</v>
      </c>
      <c r="AM14" t="s">
        <v>562</v>
      </c>
      <c r="AN14" s="2"/>
      <c r="AO14" s="30">
        <f>Parts!M149</f>
        <v>9.4282000000000005E-2</v>
      </c>
      <c r="AS14" s="30">
        <v>1</v>
      </c>
      <c r="AT14" s="73">
        <v>1.91</v>
      </c>
      <c r="AU14" s="73">
        <f t="shared" si="1"/>
        <v>2.2919999999999998</v>
      </c>
      <c r="AV14" s="73">
        <f t="shared" si="2"/>
        <v>2.2919999999999998</v>
      </c>
      <c r="AW14" s="73" t="str">
        <f t="shared" si="26"/>
        <v/>
      </c>
      <c r="AX14" s="73">
        <f>IF(AS14=1,AU14,"")</f>
        <v>2.2919999999999998</v>
      </c>
    </row>
    <row r="15" spans="1:50">
      <c r="A15" s="75">
        <v>10</v>
      </c>
      <c r="B15" s="189" t="str">
        <f t="shared" si="4"/>
        <v/>
      </c>
      <c r="C15" s="189" t="str">
        <f t="shared" si="5"/>
        <v/>
      </c>
      <c r="D15" s="189" t="str">
        <f t="shared" si="6"/>
        <v/>
      </c>
      <c r="E15" s="2">
        <v>10</v>
      </c>
      <c r="F15" s="160"/>
      <c r="G15" s="160"/>
      <c r="H15" s="160"/>
      <c r="I15" s="160"/>
      <c r="J15" s="160"/>
      <c r="K15" s="160"/>
      <c r="L15" s="2" t="str">
        <f>IFERROR(VLOOKUP(K15,'PAINT LABOR COSTS'!$B$27:$C$58,2,FALSE),"Pick Color")</f>
        <v>Pick Color</v>
      </c>
      <c r="M15" s="160"/>
      <c r="N15" s="42" t="str">
        <f t="shared" si="7"/>
        <v/>
      </c>
      <c r="O15" s="42" t="str">
        <f t="shared" si="27"/>
        <v/>
      </c>
      <c r="P15" s="42" t="str">
        <f t="shared" si="8"/>
        <v/>
      </c>
      <c r="Q15" s="95" t="str">
        <f t="shared" si="9"/>
        <v/>
      </c>
      <c r="R15" s="95" t="str">
        <f t="shared" si="10"/>
        <v/>
      </c>
      <c r="S15" s="95" t="str">
        <f t="shared" si="11"/>
        <v/>
      </c>
      <c r="T15" s="183">
        <f t="shared" si="12"/>
        <v>0</v>
      </c>
      <c r="U15" s="94" t="str">
        <f t="shared" si="13"/>
        <v/>
      </c>
      <c r="V15" s="2" t="str">
        <f t="shared" si="14"/>
        <v/>
      </c>
      <c r="W15" s="31" t="str">
        <f t="shared" si="15"/>
        <v/>
      </c>
      <c r="X15" s="31" t="str">
        <f t="shared" si="16"/>
        <v/>
      </c>
      <c r="Y15" s="31"/>
      <c r="Z15" s="2" t="str">
        <f t="shared" si="17"/>
        <v/>
      </c>
      <c r="AA15" s="2"/>
      <c r="AB15" s="31">
        <f t="shared" si="18"/>
        <v>0</v>
      </c>
      <c r="AC15" s="31">
        <f t="shared" si="19"/>
        <v>0</v>
      </c>
      <c r="AD15" s="22">
        <f t="shared" si="20"/>
        <v>0</v>
      </c>
      <c r="AE15" s="181">
        <f t="shared" si="21"/>
        <v>0</v>
      </c>
      <c r="AF15" s="181">
        <f t="shared" si="22"/>
        <v>0</v>
      </c>
      <c r="AG15" s="181">
        <f t="shared" si="23"/>
        <v>0</v>
      </c>
      <c r="AH15" s="181" t="e">
        <f>IF(AND(I15="NO",AC15&gt;0),VLOOKUP(K15,'PAINT LABOR COSTS'!$B$27:$N$67,12,0)*AC15*J15,VLOOKUP(K15,'PAINT LABOR COSTS'!$B$27:$N$67,12,0)*AC15*J15*4)</f>
        <v>#N/A</v>
      </c>
      <c r="AI15" s="181">
        <f t="shared" si="24"/>
        <v>0</v>
      </c>
      <c r="AJ15" s="104">
        <f t="shared" si="25"/>
        <v>0</v>
      </c>
      <c r="AM15" t="s">
        <v>563</v>
      </c>
      <c r="AN15" s="2">
        <v>3008</v>
      </c>
      <c r="AO15" s="30">
        <f>Parts!M92</f>
        <v>3.2900000000000005</v>
      </c>
      <c r="AS15" s="30">
        <v>1</v>
      </c>
      <c r="AT15" s="73">
        <v>0.75</v>
      </c>
      <c r="AU15" s="73">
        <f t="shared" si="1"/>
        <v>0.89999999999999991</v>
      </c>
      <c r="AV15" s="73">
        <f t="shared" si="2"/>
        <v>0.89999999999999991</v>
      </c>
      <c r="AW15" s="73" t="str">
        <f t="shared" si="26"/>
        <v/>
      </c>
      <c r="AX15" s="73">
        <f>IF(AS15=1,AU15,"")</f>
        <v>0.89999999999999991</v>
      </c>
    </row>
    <row r="16" spans="1:50">
      <c r="AM16" t="s">
        <v>415</v>
      </c>
      <c r="AN16" s="2" t="s">
        <v>403</v>
      </c>
      <c r="AO16" s="30">
        <f>Parts!M116</f>
        <v>2.3273999999999999</v>
      </c>
    </row>
    <row r="17" spans="1:41">
      <c r="H17" s="403" t="s">
        <v>564</v>
      </c>
      <c r="I17" s="403"/>
      <c r="J17" s="93">
        <f>SUM(J20:J29)</f>
        <v>3556.4632773439362</v>
      </c>
      <c r="AM17" t="s">
        <v>417</v>
      </c>
      <c r="AO17" s="30">
        <f>Parts!M132+Parts!M133*1.2</f>
        <v>1.8195600000000001</v>
      </c>
    </row>
    <row r="18" spans="1:41">
      <c r="B18" s="303"/>
      <c r="C18" s="303"/>
      <c r="D18" s="303"/>
    </row>
    <row r="19" spans="1:41">
      <c r="B19" s="190">
        <f>IF(J6="","",1-J20/B6)</f>
        <v>0.20000000000000007</v>
      </c>
      <c r="C19" s="190">
        <f>IF(J6="","",1-J20/C6)</f>
        <v>0.2592592592592593</v>
      </c>
      <c r="D19" s="190">
        <f>IF(J6="","",1-J20/D6)</f>
        <v>0.33333333333333326</v>
      </c>
      <c r="G19" s="280" t="s">
        <v>418</v>
      </c>
      <c r="J19" s="280" t="s">
        <v>177</v>
      </c>
    </row>
    <row r="20" spans="1:41">
      <c r="A20" s="188">
        <v>1</v>
      </c>
      <c r="B20" s="191">
        <f>IF(J6&lt;&gt;"",B6/(F6*G6*J6/144),"")</f>
        <v>51.034450616594604</v>
      </c>
      <c r="C20" s="191">
        <f>IF(J6&lt;&gt;"",C6/(F6*G6*J6/144),"")</f>
        <v>55.117206665922168</v>
      </c>
      <c r="D20" s="191">
        <f>IF(J6&lt;&gt;"",D6/(F6*G6*J6/144),"")</f>
        <v>61.241340739913511</v>
      </c>
      <c r="E20" s="2">
        <v>1</v>
      </c>
      <c r="G20" s="192">
        <f>IF(F6&lt;&gt;"",J20/((F6*G6/144)*J6),"")</f>
        <v>40.827560493275676</v>
      </c>
      <c r="H20" s="31"/>
      <c r="I20" s="31"/>
      <c r="J20" s="192">
        <f t="shared" ref="J20:J29" si="28">IF(J6&lt;&gt;"",SUM(N20:AA20)+SUM(AD6:AJ6)-V20,"")</f>
        <v>3556.4632773439362</v>
      </c>
      <c r="K20" s="31"/>
      <c r="L20" s="31"/>
      <c r="M20" s="31"/>
      <c r="N20" s="30" t="str">
        <f t="shared" ref="N20:N29" si="29">IF(N6&lt;&gt;"",(N6/12)*$AO$9*J6+((N6-$AQ$8)/12)*J6*$AO$8,"")</f>
        <v/>
      </c>
      <c r="O20" s="30">
        <f>IF(O6&lt;&gt;"",(O6/12)*($AO$15+$AO$16)*J6+((O6-4)/12)*J6*$AO$8,"")</f>
        <v>191.66679999999999</v>
      </c>
      <c r="P20" s="30">
        <f t="shared" ref="P20:P29" si="30">IF(F6&lt;&gt;"",((P6/12)*J6)*$AO$9+((P6-4)/12)*$AO$8*J6,"")</f>
        <v>44.563300000000005</v>
      </c>
      <c r="Q20" s="30">
        <f t="shared" ref="Q20:Q29" si="31">IF(J6&lt;&gt;"",(J6*Q6/12)*$AO$9+((Q6-4)/12)*$AO$5*J6,"")</f>
        <v>174.64653947368419</v>
      </c>
      <c r="R20" s="30">
        <f t="shared" ref="R20:R29" si="32">IF(J6&lt;&gt;"",(J6*R6/12)*$AO$9+((R6-4)/12)*$AO$5*J6,"")</f>
        <v>174.64653947368419</v>
      </c>
      <c r="S20" s="30">
        <f t="shared" ref="S20:S29" si="33">IF(S6="","",(S6*T6/12)*$AO$10+(((R6-4)/12)*J6*$AO$5*2))</f>
        <v>195.93080844736841</v>
      </c>
      <c r="T20" s="182"/>
      <c r="U20" s="30">
        <f t="shared" ref="U20:U29" si="34">IF(F6&lt;&gt;"",(U6*V6/12)*$AO$7*J6,"")</f>
        <v>556.38673750000009</v>
      </c>
      <c r="V20" s="182">
        <f t="shared" ref="V20:V29" si="35">IF(V6&lt;&gt;"",V6*J6,"")</f>
        <v>456</v>
      </c>
      <c r="W20" s="31" t="str">
        <f t="shared" ref="W20:W29" si="36">IF(H6="","",IF(H6="COL",W6*$AO$12,IF(H6="BAH","","")))</f>
        <v/>
      </c>
      <c r="X20" s="31">
        <f>IF(X6&lt;&gt;"",X6*AO17,"")</f>
        <v>76.080352500000004</v>
      </c>
      <c r="Y20" s="31"/>
      <c r="Z20" s="30">
        <f t="shared" ref="Z20:Z29" si="37">IF(J6="","",Z6*$AO$14)</f>
        <v>9.0510720000000013</v>
      </c>
      <c r="AA20" s="30"/>
      <c r="AB20" s="30"/>
      <c r="AC20" s="30"/>
      <c r="AD20" s="30"/>
      <c r="AE20" s="30"/>
      <c r="AF20" s="30"/>
      <c r="AG20" s="30"/>
      <c r="AH20" s="30"/>
      <c r="AI20" s="30"/>
      <c r="AJ20" s="30"/>
    </row>
    <row r="21" spans="1:41">
      <c r="A21" s="188">
        <v>2</v>
      </c>
      <c r="B21" s="191" t="str">
        <f t="shared" ref="B21:B29" si="38">IF(J7&lt;&gt;"",B7/(F7*G7*J7/144),"")</f>
        <v/>
      </c>
      <c r="C21" s="191" t="str">
        <f t="shared" ref="C21:C29" si="39">IF(J7&lt;&gt;"",C7/(F7*G7*J7/144),"")</f>
        <v/>
      </c>
      <c r="D21" s="191" t="str">
        <f t="shared" ref="D21:D29" si="40">IF(J7&lt;&gt;"",D7/(F7*G7*J7/144),"")</f>
        <v/>
      </c>
      <c r="E21" s="2">
        <v>2</v>
      </c>
      <c r="G21" s="192" t="str">
        <f t="shared" ref="G21:G29" si="41">IF(F7&lt;&gt;"",J21/((F7*G7/144)*J7),"")</f>
        <v/>
      </c>
      <c r="H21" s="31"/>
      <c r="I21" s="31"/>
      <c r="J21" s="192" t="str">
        <f t="shared" si="28"/>
        <v/>
      </c>
      <c r="K21" s="31"/>
      <c r="L21" s="31"/>
      <c r="M21" s="31"/>
      <c r="N21" s="30" t="str">
        <f t="shared" si="29"/>
        <v/>
      </c>
      <c r="O21" s="30" t="str">
        <f t="shared" ref="O21:O29" si="42">IF(O7&lt;&gt;"",(O7/12)*$AO$15*J7+((O7-4)/12)*J7*$AO$8,"")</f>
        <v/>
      </c>
      <c r="P21" s="30" t="str">
        <f t="shared" si="30"/>
        <v/>
      </c>
      <c r="Q21" s="30" t="str">
        <f t="shared" si="31"/>
        <v/>
      </c>
      <c r="R21" s="30" t="str">
        <f t="shared" si="32"/>
        <v/>
      </c>
      <c r="S21" s="30" t="str">
        <f t="shared" si="33"/>
        <v/>
      </c>
      <c r="T21" s="182"/>
      <c r="U21" s="30" t="str">
        <f t="shared" si="34"/>
        <v/>
      </c>
      <c r="V21" s="182" t="str">
        <f t="shared" si="35"/>
        <v/>
      </c>
      <c r="W21" s="31" t="str">
        <f t="shared" si="36"/>
        <v/>
      </c>
      <c r="X21" s="31" t="str">
        <f t="shared" ref="X21:X29" si="43">IF(X7&lt;&gt;"",X7*AO18,"")</f>
        <v/>
      </c>
      <c r="Y21" s="31"/>
      <c r="Z21" s="30" t="str">
        <f t="shared" si="37"/>
        <v/>
      </c>
      <c r="AA21" s="30"/>
      <c r="AB21" s="30"/>
      <c r="AC21" s="30"/>
      <c r="AD21" s="30"/>
      <c r="AE21" s="30"/>
      <c r="AF21" s="30"/>
      <c r="AG21" s="30"/>
      <c r="AH21" s="30"/>
      <c r="AI21" s="30"/>
      <c r="AJ21" s="30"/>
    </row>
    <row r="22" spans="1:41">
      <c r="A22" s="188">
        <v>3</v>
      </c>
      <c r="B22" s="191" t="str">
        <f t="shared" si="38"/>
        <v/>
      </c>
      <c r="C22" s="191" t="str">
        <f t="shared" si="39"/>
        <v/>
      </c>
      <c r="D22" s="191" t="str">
        <f t="shared" si="40"/>
        <v/>
      </c>
      <c r="E22" s="2">
        <v>3</v>
      </c>
      <c r="G22" s="192" t="str">
        <f t="shared" si="41"/>
        <v/>
      </c>
      <c r="H22" s="31"/>
      <c r="I22" s="31"/>
      <c r="J22" s="192" t="str">
        <f t="shared" si="28"/>
        <v/>
      </c>
      <c r="K22" s="31"/>
      <c r="L22" s="31"/>
      <c r="M22" s="31"/>
      <c r="N22" s="30" t="str">
        <f t="shared" si="29"/>
        <v/>
      </c>
      <c r="O22" s="30" t="str">
        <f t="shared" si="42"/>
        <v/>
      </c>
      <c r="P22" s="30" t="str">
        <f t="shared" si="30"/>
        <v/>
      </c>
      <c r="Q22" s="30" t="str">
        <f t="shared" si="31"/>
        <v/>
      </c>
      <c r="R22" s="30" t="str">
        <f t="shared" si="32"/>
        <v/>
      </c>
      <c r="S22" s="30" t="str">
        <f t="shared" si="33"/>
        <v/>
      </c>
      <c r="T22" s="182"/>
      <c r="U22" s="30" t="str">
        <f t="shared" si="34"/>
        <v/>
      </c>
      <c r="V22" s="182" t="str">
        <f t="shared" si="35"/>
        <v/>
      </c>
      <c r="W22" s="31" t="str">
        <f t="shared" si="36"/>
        <v/>
      </c>
      <c r="X22" s="31" t="str">
        <f t="shared" si="43"/>
        <v/>
      </c>
      <c r="Y22" s="31"/>
      <c r="Z22" s="30" t="str">
        <f t="shared" si="37"/>
        <v/>
      </c>
      <c r="AA22" s="30"/>
      <c r="AB22" s="30"/>
      <c r="AC22" s="30"/>
      <c r="AD22" s="30"/>
      <c r="AE22" s="30"/>
      <c r="AF22" s="30"/>
      <c r="AG22" s="30"/>
      <c r="AH22" s="30"/>
      <c r="AI22" s="30"/>
      <c r="AJ22" s="30"/>
    </row>
    <row r="23" spans="1:41">
      <c r="A23" s="188">
        <v>4</v>
      </c>
      <c r="B23" s="191" t="str">
        <f t="shared" si="38"/>
        <v/>
      </c>
      <c r="C23" s="191" t="str">
        <f t="shared" si="39"/>
        <v/>
      </c>
      <c r="D23" s="191" t="str">
        <f t="shared" si="40"/>
        <v/>
      </c>
      <c r="E23" s="2">
        <v>4</v>
      </c>
      <c r="G23" s="192" t="str">
        <f t="shared" si="41"/>
        <v/>
      </c>
      <c r="H23" s="31"/>
      <c r="I23" s="31"/>
      <c r="J23" s="192" t="str">
        <f t="shared" si="28"/>
        <v/>
      </c>
      <c r="K23" s="31"/>
      <c r="L23" s="31"/>
      <c r="M23" s="31"/>
      <c r="N23" s="30" t="str">
        <f t="shared" si="29"/>
        <v/>
      </c>
      <c r="O23" s="30" t="str">
        <f t="shared" si="42"/>
        <v/>
      </c>
      <c r="P23" s="30" t="str">
        <f t="shared" si="30"/>
        <v/>
      </c>
      <c r="Q23" s="30" t="str">
        <f t="shared" si="31"/>
        <v/>
      </c>
      <c r="R23" s="30" t="str">
        <f t="shared" si="32"/>
        <v/>
      </c>
      <c r="S23" s="30" t="str">
        <f t="shared" si="33"/>
        <v/>
      </c>
      <c r="T23" s="182"/>
      <c r="U23" s="30" t="str">
        <f t="shared" si="34"/>
        <v/>
      </c>
      <c r="V23" s="182" t="str">
        <f t="shared" si="35"/>
        <v/>
      </c>
      <c r="W23" s="31" t="str">
        <f t="shared" si="36"/>
        <v/>
      </c>
      <c r="X23" s="31" t="str">
        <f t="shared" si="43"/>
        <v/>
      </c>
      <c r="Y23" s="31"/>
      <c r="Z23" s="30" t="str">
        <f t="shared" si="37"/>
        <v/>
      </c>
      <c r="AA23" s="30"/>
      <c r="AB23" s="30"/>
      <c r="AC23" s="30"/>
      <c r="AD23" s="30"/>
      <c r="AE23" s="30"/>
      <c r="AF23" s="30"/>
      <c r="AG23" s="30"/>
      <c r="AH23" s="30"/>
      <c r="AI23" s="30"/>
      <c r="AJ23" s="30"/>
    </row>
    <row r="24" spans="1:41">
      <c r="A24" s="188">
        <v>5</v>
      </c>
      <c r="B24" s="191" t="str">
        <f t="shared" si="38"/>
        <v/>
      </c>
      <c r="C24" s="191" t="str">
        <f t="shared" si="39"/>
        <v/>
      </c>
      <c r="D24" s="191" t="str">
        <f t="shared" si="40"/>
        <v/>
      </c>
      <c r="E24" s="2">
        <v>5</v>
      </c>
      <c r="G24" s="192" t="str">
        <f t="shared" si="41"/>
        <v/>
      </c>
      <c r="H24" s="31"/>
      <c r="I24" s="31"/>
      <c r="J24" s="192" t="str">
        <f t="shared" si="28"/>
        <v/>
      </c>
      <c r="K24" s="31"/>
      <c r="L24" s="31"/>
      <c r="M24" s="31"/>
      <c r="N24" s="30" t="str">
        <f t="shared" si="29"/>
        <v/>
      </c>
      <c r="O24" s="30" t="str">
        <f t="shared" si="42"/>
        <v/>
      </c>
      <c r="P24" s="30" t="str">
        <f t="shared" si="30"/>
        <v/>
      </c>
      <c r="Q24" s="30" t="str">
        <f t="shared" si="31"/>
        <v/>
      </c>
      <c r="R24" s="30" t="str">
        <f t="shared" si="32"/>
        <v/>
      </c>
      <c r="S24" s="30" t="str">
        <f t="shared" si="33"/>
        <v/>
      </c>
      <c r="T24" s="182"/>
      <c r="U24" s="30" t="str">
        <f t="shared" si="34"/>
        <v/>
      </c>
      <c r="V24" s="182" t="str">
        <f t="shared" si="35"/>
        <v/>
      </c>
      <c r="W24" s="31" t="str">
        <f t="shared" si="36"/>
        <v/>
      </c>
      <c r="X24" s="31" t="str">
        <f t="shared" si="43"/>
        <v/>
      </c>
      <c r="Y24" s="31"/>
      <c r="Z24" s="30" t="str">
        <f t="shared" si="37"/>
        <v/>
      </c>
      <c r="AA24" s="30"/>
      <c r="AB24" s="30"/>
      <c r="AC24" s="30"/>
      <c r="AD24" s="30"/>
      <c r="AE24" s="30"/>
      <c r="AF24" s="30"/>
      <c r="AG24" s="30"/>
      <c r="AH24" s="30"/>
      <c r="AI24" s="30"/>
      <c r="AJ24" s="30"/>
    </row>
    <row r="25" spans="1:41">
      <c r="A25" s="188">
        <v>6</v>
      </c>
      <c r="B25" s="191" t="str">
        <f t="shared" si="38"/>
        <v/>
      </c>
      <c r="C25" s="191" t="str">
        <f t="shared" si="39"/>
        <v/>
      </c>
      <c r="D25" s="191" t="str">
        <f t="shared" si="40"/>
        <v/>
      </c>
      <c r="E25" s="2">
        <v>6</v>
      </c>
      <c r="G25" s="192" t="str">
        <f t="shared" si="41"/>
        <v/>
      </c>
      <c r="H25" s="31"/>
      <c r="I25" s="31"/>
      <c r="J25" s="192" t="str">
        <f t="shared" si="28"/>
        <v/>
      </c>
      <c r="K25" s="31"/>
      <c r="L25" s="31"/>
      <c r="M25" s="31"/>
      <c r="N25" s="30" t="str">
        <f t="shared" si="29"/>
        <v/>
      </c>
      <c r="O25" s="30" t="str">
        <f t="shared" si="42"/>
        <v/>
      </c>
      <c r="P25" s="30" t="str">
        <f t="shared" si="30"/>
        <v/>
      </c>
      <c r="Q25" s="30" t="str">
        <f t="shared" si="31"/>
        <v/>
      </c>
      <c r="R25" s="30" t="str">
        <f t="shared" si="32"/>
        <v/>
      </c>
      <c r="S25" s="30" t="str">
        <f t="shared" si="33"/>
        <v/>
      </c>
      <c r="T25" s="182"/>
      <c r="U25" s="30" t="str">
        <f t="shared" si="34"/>
        <v/>
      </c>
      <c r="V25" s="182" t="str">
        <f t="shared" si="35"/>
        <v/>
      </c>
      <c r="W25" s="31" t="str">
        <f t="shared" si="36"/>
        <v/>
      </c>
      <c r="X25" s="31" t="str">
        <f t="shared" si="43"/>
        <v/>
      </c>
      <c r="Y25" s="31"/>
      <c r="Z25" s="30" t="str">
        <f t="shared" si="37"/>
        <v/>
      </c>
      <c r="AA25" s="30"/>
      <c r="AB25" s="30"/>
      <c r="AC25" s="30"/>
      <c r="AD25" s="30"/>
      <c r="AE25" s="30"/>
      <c r="AF25" s="30"/>
      <c r="AG25" s="30"/>
      <c r="AH25" s="30"/>
      <c r="AI25" s="30"/>
      <c r="AJ25" s="30"/>
    </row>
    <row r="26" spans="1:41">
      <c r="A26" s="188">
        <v>7</v>
      </c>
      <c r="B26" s="191" t="str">
        <f t="shared" si="38"/>
        <v/>
      </c>
      <c r="C26" s="191" t="str">
        <f t="shared" si="39"/>
        <v/>
      </c>
      <c r="D26" s="191" t="str">
        <f t="shared" si="40"/>
        <v/>
      </c>
      <c r="E26" s="2">
        <v>7</v>
      </c>
      <c r="G26" s="192" t="str">
        <f t="shared" si="41"/>
        <v/>
      </c>
      <c r="H26" s="31"/>
      <c r="I26" s="31"/>
      <c r="J26" s="192" t="str">
        <f t="shared" si="28"/>
        <v/>
      </c>
      <c r="K26" s="31"/>
      <c r="L26" s="31"/>
      <c r="M26" s="31"/>
      <c r="N26" s="30" t="str">
        <f t="shared" si="29"/>
        <v/>
      </c>
      <c r="O26" s="30" t="str">
        <f t="shared" si="42"/>
        <v/>
      </c>
      <c r="P26" s="30" t="str">
        <f t="shared" si="30"/>
        <v/>
      </c>
      <c r="Q26" s="30" t="str">
        <f t="shared" si="31"/>
        <v/>
      </c>
      <c r="R26" s="30" t="str">
        <f t="shared" si="32"/>
        <v/>
      </c>
      <c r="S26" s="30" t="str">
        <f t="shared" si="33"/>
        <v/>
      </c>
      <c r="T26" s="182"/>
      <c r="U26" s="30" t="str">
        <f t="shared" si="34"/>
        <v/>
      </c>
      <c r="V26" s="182" t="str">
        <f t="shared" si="35"/>
        <v/>
      </c>
      <c r="W26" s="31" t="str">
        <f t="shared" si="36"/>
        <v/>
      </c>
      <c r="X26" s="31" t="str">
        <f t="shared" si="43"/>
        <v/>
      </c>
      <c r="Y26" s="31"/>
      <c r="Z26" s="30" t="str">
        <f t="shared" si="37"/>
        <v/>
      </c>
      <c r="AA26" s="30"/>
      <c r="AB26" s="30"/>
      <c r="AC26" s="30"/>
      <c r="AD26" s="30"/>
      <c r="AE26" s="30"/>
      <c r="AF26" s="30"/>
      <c r="AG26" s="30"/>
      <c r="AH26" s="30"/>
      <c r="AI26" s="30"/>
      <c r="AJ26" s="30"/>
    </row>
    <row r="27" spans="1:41">
      <c r="A27" s="188">
        <v>8</v>
      </c>
      <c r="B27" s="191" t="str">
        <f t="shared" si="38"/>
        <v/>
      </c>
      <c r="C27" s="191" t="str">
        <f t="shared" si="39"/>
        <v/>
      </c>
      <c r="D27" s="191" t="str">
        <f t="shared" si="40"/>
        <v/>
      </c>
      <c r="E27" s="2">
        <v>8</v>
      </c>
      <c r="G27" s="192" t="str">
        <f t="shared" si="41"/>
        <v/>
      </c>
      <c r="H27" s="31"/>
      <c r="I27" s="31"/>
      <c r="J27" s="192" t="str">
        <f t="shared" si="28"/>
        <v/>
      </c>
      <c r="K27" s="31"/>
      <c r="L27" s="31"/>
      <c r="M27" s="31"/>
      <c r="N27" s="30" t="str">
        <f t="shared" si="29"/>
        <v/>
      </c>
      <c r="O27" s="30" t="str">
        <f t="shared" si="42"/>
        <v/>
      </c>
      <c r="P27" s="30" t="str">
        <f t="shared" si="30"/>
        <v/>
      </c>
      <c r="Q27" s="30" t="str">
        <f t="shared" si="31"/>
        <v/>
      </c>
      <c r="R27" s="30" t="str">
        <f t="shared" si="32"/>
        <v/>
      </c>
      <c r="S27" s="30" t="str">
        <f t="shared" si="33"/>
        <v/>
      </c>
      <c r="T27" s="182"/>
      <c r="U27" s="30" t="str">
        <f t="shared" si="34"/>
        <v/>
      </c>
      <c r="V27" s="182" t="str">
        <f t="shared" si="35"/>
        <v/>
      </c>
      <c r="W27" s="31" t="str">
        <f t="shared" si="36"/>
        <v/>
      </c>
      <c r="X27" s="31" t="str">
        <f t="shared" si="43"/>
        <v/>
      </c>
      <c r="Y27" s="31"/>
      <c r="Z27" s="30" t="str">
        <f t="shared" si="37"/>
        <v/>
      </c>
      <c r="AA27" s="30"/>
      <c r="AB27" s="30"/>
      <c r="AC27" s="30"/>
      <c r="AD27" s="30"/>
      <c r="AE27" s="30"/>
      <c r="AF27" s="30"/>
      <c r="AG27" s="30"/>
      <c r="AH27" s="30"/>
      <c r="AI27" s="30"/>
      <c r="AJ27" s="30"/>
    </row>
    <row r="28" spans="1:41">
      <c r="A28" s="188">
        <v>9</v>
      </c>
      <c r="B28" s="191" t="str">
        <f t="shared" si="38"/>
        <v/>
      </c>
      <c r="C28" s="191" t="str">
        <f t="shared" si="39"/>
        <v/>
      </c>
      <c r="D28" s="191" t="str">
        <f t="shared" si="40"/>
        <v/>
      </c>
      <c r="E28" s="2">
        <v>9</v>
      </c>
      <c r="G28" s="192" t="str">
        <f t="shared" si="41"/>
        <v/>
      </c>
      <c r="H28" s="31"/>
      <c r="I28" s="31"/>
      <c r="J28" s="192" t="str">
        <f t="shared" si="28"/>
        <v/>
      </c>
      <c r="K28" s="31"/>
      <c r="L28" s="31"/>
      <c r="M28" s="31"/>
      <c r="N28" s="30" t="str">
        <f t="shared" si="29"/>
        <v/>
      </c>
      <c r="O28" s="30" t="str">
        <f t="shared" si="42"/>
        <v/>
      </c>
      <c r="P28" s="30" t="str">
        <f t="shared" si="30"/>
        <v/>
      </c>
      <c r="Q28" s="30" t="str">
        <f t="shared" si="31"/>
        <v/>
      </c>
      <c r="R28" s="30" t="str">
        <f t="shared" si="32"/>
        <v/>
      </c>
      <c r="S28" s="30" t="str">
        <f t="shared" si="33"/>
        <v/>
      </c>
      <c r="T28" s="182"/>
      <c r="U28" s="30" t="str">
        <f t="shared" si="34"/>
        <v/>
      </c>
      <c r="V28" s="182" t="str">
        <f t="shared" si="35"/>
        <v/>
      </c>
      <c r="W28" s="31" t="str">
        <f t="shared" si="36"/>
        <v/>
      </c>
      <c r="X28" s="31" t="str">
        <f t="shared" si="43"/>
        <v/>
      </c>
      <c r="Y28" s="31"/>
      <c r="Z28" s="30" t="str">
        <f t="shared" si="37"/>
        <v/>
      </c>
      <c r="AA28" s="30"/>
      <c r="AB28" s="30"/>
      <c r="AC28" s="30"/>
      <c r="AD28" s="30"/>
      <c r="AE28" s="30"/>
      <c r="AF28" s="30"/>
      <c r="AG28" s="30"/>
      <c r="AH28" s="30"/>
      <c r="AI28" s="30"/>
      <c r="AJ28" s="30"/>
    </row>
    <row r="29" spans="1:41">
      <c r="A29" s="188">
        <v>10</v>
      </c>
      <c r="B29" s="191" t="str">
        <f t="shared" si="38"/>
        <v/>
      </c>
      <c r="C29" s="191" t="str">
        <f t="shared" si="39"/>
        <v/>
      </c>
      <c r="D29" s="191" t="str">
        <f t="shared" si="40"/>
        <v/>
      </c>
      <c r="E29" s="2">
        <v>10</v>
      </c>
      <c r="G29" s="192" t="str">
        <f t="shared" si="41"/>
        <v/>
      </c>
      <c r="H29" s="31"/>
      <c r="I29" s="31"/>
      <c r="J29" s="192" t="str">
        <f t="shared" si="28"/>
        <v/>
      </c>
      <c r="K29" s="31"/>
      <c r="L29" s="31"/>
      <c r="M29" s="31"/>
      <c r="N29" s="30" t="str">
        <f t="shared" si="29"/>
        <v/>
      </c>
      <c r="O29" s="30" t="str">
        <f t="shared" si="42"/>
        <v/>
      </c>
      <c r="P29" s="30" t="str">
        <f t="shared" si="30"/>
        <v/>
      </c>
      <c r="Q29" s="30" t="str">
        <f t="shared" si="31"/>
        <v/>
      </c>
      <c r="R29" s="30" t="str">
        <f t="shared" si="32"/>
        <v/>
      </c>
      <c r="S29" s="30" t="str">
        <f t="shared" si="33"/>
        <v/>
      </c>
      <c r="T29" s="182"/>
      <c r="U29" s="30" t="str">
        <f t="shared" si="34"/>
        <v/>
      </c>
      <c r="V29" s="182" t="str">
        <f t="shared" si="35"/>
        <v/>
      </c>
      <c r="W29" s="31" t="str">
        <f t="shared" si="36"/>
        <v/>
      </c>
      <c r="X29" s="31" t="str">
        <f t="shared" si="43"/>
        <v/>
      </c>
      <c r="Y29" s="31"/>
      <c r="Z29" s="30" t="str">
        <f t="shared" si="37"/>
        <v/>
      </c>
      <c r="AA29" s="30"/>
      <c r="AB29" s="30"/>
      <c r="AC29" s="30"/>
      <c r="AD29" s="30"/>
      <c r="AE29" s="30"/>
      <c r="AF29" s="30"/>
      <c r="AG29" s="30"/>
      <c r="AH29" s="30"/>
      <c r="AI29" s="30"/>
      <c r="AJ29" s="30"/>
    </row>
    <row r="30" spans="1:41">
      <c r="J30" s="31">
        <f>SUM(J20:J29)</f>
        <v>3556.4632773439362</v>
      </c>
    </row>
    <row r="60" spans="9:9">
      <c r="I60" s="2">
        <v>13.5625</v>
      </c>
    </row>
    <row r="61" spans="9:9">
      <c r="I61" s="2">
        <v>11.75</v>
      </c>
    </row>
    <row r="62" spans="9:9">
      <c r="I62" s="2">
        <f>I60-I61</f>
        <v>1.8125</v>
      </c>
    </row>
    <row r="65" spans="5:13">
      <c r="E65" s="2">
        <v>4</v>
      </c>
      <c r="F65" s="2">
        <v>6</v>
      </c>
      <c r="G65" s="95">
        <v>11.75</v>
      </c>
      <c r="H65" s="95" t="s">
        <v>419</v>
      </c>
      <c r="I65" s="95">
        <f>G66-G65</f>
        <v>1.8125</v>
      </c>
      <c r="M65" s="36" t="s">
        <v>420</v>
      </c>
    </row>
    <row r="66" spans="5:13">
      <c r="E66" s="2">
        <v>5</v>
      </c>
      <c r="F66" s="2">
        <v>7</v>
      </c>
      <c r="G66" s="95">
        <v>13.5625</v>
      </c>
      <c r="H66" s="95" t="s">
        <v>394</v>
      </c>
      <c r="I66" s="95">
        <f t="shared" ref="I66:I98" si="44">G67-G66</f>
        <v>1.8125</v>
      </c>
      <c r="M66" s="36" t="s">
        <v>421</v>
      </c>
    </row>
    <row r="67" spans="5:13">
      <c r="E67" s="2">
        <v>6</v>
      </c>
      <c r="F67" s="2">
        <v>8</v>
      </c>
      <c r="G67" s="95">
        <v>15.375</v>
      </c>
      <c r="H67" s="95"/>
      <c r="I67" s="95">
        <f t="shared" si="44"/>
        <v>1.8125</v>
      </c>
      <c r="M67" s="36" t="s">
        <v>422</v>
      </c>
    </row>
    <row r="68" spans="5:13">
      <c r="E68" s="2">
        <v>7</v>
      </c>
      <c r="F68" s="2">
        <v>9</v>
      </c>
      <c r="G68" s="95">
        <v>17.1875</v>
      </c>
      <c r="H68" s="95" t="s">
        <v>565</v>
      </c>
      <c r="I68" s="95">
        <f t="shared" si="44"/>
        <v>1.8125</v>
      </c>
      <c r="M68" s="36" t="s">
        <v>396</v>
      </c>
    </row>
    <row r="69" spans="5:13">
      <c r="E69" s="2">
        <v>8</v>
      </c>
      <c r="F69" s="2">
        <v>10</v>
      </c>
      <c r="G69" s="95">
        <v>19</v>
      </c>
      <c r="H69" s="95" t="s">
        <v>551</v>
      </c>
      <c r="I69" s="95">
        <f t="shared" si="44"/>
        <v>1.8125</v>
      </c>
      <c r="M69" s="36" t="s">
        <v>423</v>
      </c>
    </row>
    <row r="70" spans="5:13">
      <c r="E70" s="2">
        <v>9</v>
      </c>
      <c r="F70" s="2">
        <v>11</v>
      </c>
      <c r="G70" s="95">
        <v>20.8125</v>
      </c>
      <c r="H70" s="95"/>
      <c r="I70" s="95">
        <f t="shared" si="44"/>
        <v>1.8125</v>
      </c>
    </row>
    <row r="71" spans="5:13">
      <c r="E71" s="2">
        <v>10</v>
      </c>
      <c r="F71" s="2">
        <v>12</v>
      </c>
      <c r="G71" s="95">
        <v>22.625</v>
      </c>
      <c r="H71" s="95"/>
      <c r="I71" s="95">
        <f t="shared" si="44"/>
        <v>1.8125</v>
      </c>
    </row>
    <row r="72" spans="5:13">
      <c r="E72" s="2">
        <v>11</v>
      </c>
      <c r="F72" s="2">
        <v>13</v>
      </c>
      <c r="G72" s="95">
        <v>24.4375</v>
      </c>
      <c r="H72" s="95"/>
      <c r="I72" s="95">
        <f t="shared" si="44"/>
        <v>1.8125</v>
      </c>
      <c r="M72" t="s">
        <v>420</v>
      </c>
    </row>
    <row r="73" spans="5:13">
      <c r="E73" s="2">
        <v>12</v>
      </c>
      <c r="F73" s="2">
        <v>14</v>
      </c>
      <c r="G73" s="95">
        <v>26.25</v>
      </c>
      <c r="H73" s="95"/>
      <c r="I73" s="95">
        <f t="shared" si="44"/>
        <v>1.75</v>
      </c>
      <c r="M73" s="104">
        <v>15</v>
      </c>
    </row>
    <row r="74" spans="5:13">
      <c r="E74" s="2">
        <v>13</v>
      </c>
      <c r="F74" s="2">
        <v>15</v>
      </c>
      <c r="G74" s="95">
        <v>28</v>
      </c>
      <c r="H74" s="95"/>
      <c r="I74" s="95">
        <f t="shared" si="44"/>
        <v>1.8125</v>
      </c>
      <c r="M74" t="s">
        <v>421</v>
      </c>
    </row>
    <row r="75" spans="5:13">
      <c r="E75" s="2">
        <v>14</v>
      </c>
      <c r="F75" s="2">
        <v>16</v>
      </c>
      <c r="G75" s="95">
        <v>29.8125</v>
      </c>
      <c r="H75" s="95"/>
      <c r="I75" s="95">
        <f t="shared" si="44"/>
        <v>1.8125</v>
      </c>
      <c r="M75" s="104">
        <v>50</v>
      </c>
    </row>
    <row r="76" spans="5:13">
      <c r="E76" s="2">
        <v>15</v>
      </c>
      <c r="F76" s="2">
        <v>17</v>
      </c>
      <c r="G76" s="95">
        <v>31.625</v>
      </c>
      <c r="H76" s="95"/>
      <c r="I76" s="95">
        <f t="shared" si="44"/>
        <v>1.8125</v>
      </c>
      <c r="M76" t="s">
        <v>422</v>
      </c>
    </row>
    <row r="77" spans="5:13">
      <c r="E77" s="2">
        <v>16</v>
      </c>
      <c r="F77" s="2">
        <v>18</v>
      </c>
      <c r="G77" s="95">
        <v>33.4375</v>
      </c>
      <c r="H77" s="95"/>
      <c r="I77" s="95">
        <f t="shared" si="44"/>
        <v>1.8125</v>
      </c>
      <c r="M77" s="104">
        <v>30</v>
      </c>
    </row>
    <row r="78" spans="5:13">
      <c r="E78" s="2">
        <v>17</v>
      </c>
      <c r="F78" s="2">
        <v>19</v>
      </c>
      <c r="G78" s="95">
        <v>35.25</v>
      </c>
      <c r="H78" s="95"/>
      <c r="I78" s="95">
        <f t="shared" si="44"/>
        <v>1.8125</v>
      </c>
      <c r="M78" t="s">
        <v>396</v>
      </c>
    </row>
    <row r="79" spans="5:13">
      <c r="E79" s="2">
        <v>18</v>
      </c>
      <c r="F79" s="2">
        <v>20</v>
      </c>
      <c r="G79" s="95">
        <v>37.0625</v>
      </c>
      <c r="H79" s="95"/>
      <c r="I79" s="95">
        <f t="shared" si="44"/>
        <v>1.8125</v>
      </c>
      <c r="M79" s="104">
        <v>60</v>
      </c>
    </row>
    <row r="80" spans="5:13">
      <c r="E80" s="2">
        <v>19</v>
      </c>
      <c r="F80" s="2">
        <v>21</v>
      </c>
      <c r="G80" s="95">
        <v>38.875</v>
      </c>
      <c r="H80" s="95"/>
      <c r="I80" s="95">
        <f t="shared" si="44"/>
        <v>1.8125</v>
      </c>
      <c r="M80" t="s">
        <v>423</v>
      </c>
    </row>
    <row r="81" spans="5:13">
      <c r="E81" s="2">
        <v>20</v>
      </c>
      <c r="F81" s="2">
        <v>22</v>
      </c>
      <c r="G81" s="95">
        <v>40.6875</v>
      </c>
      <c r="H81" s="95"/>
      <c r="I81" s="95">
        <f t="shared" si="44"/>
        <v>1.8125</v>
      </c>
      <c r="M81" s="104">
        <v>5</v>
      </c>
    </row>
    <row r="82" spans="5:13">
      <c r="E82" s="2">
        <v>21</v>
      </c>
      <c r="F82" s="2">
        <v>23</v>
      </c>
      <c r="G82" s="95">
        <v>42.5</v>
      </c>
      <c r="H82" s="95"/>
      <c r="I82" s="95">
        <f t="shared" si="44"/>
        <v>1.8125</v>
      </c>
    </row>
    <row r="83" spans="5:13">
      <c r="E83" s="2">
        <v>22</v>
      </c>
      <c r="F83" s="2">
        <v>24</v>
      </c>
      <c r="G83" s="95">
        <v>44.3125</v>
      </c>
      <c r="H83" s="95"/>
      <c r="I83" s="95">
        <f t="shared" si="44"/>
        <v>1.8125</v>
      </c>
    </row>
    <row r="84" spans="5:13">
      <c r="E84" s="2">
        <v>23</v>
      </c>
      <c r="F84" s="2">
        <v>25</v>
      </c>
      <c r="G84" s="95">
        <v>46.125</v>
      </c>
      <c r="H84" s="95"/>
      <c r="I84" s="95">
        <f t="shared" si="44"/>
        <v>1.8125</v>
      </c>
    </row>
    <row r="85" spans="5:13">
      <c r="E85" s="2">
        <v>24</v>
      </c>
      <c r="F85" s="2">
        <v>26</v>
      </c>
      <c r="G85" s="95">
        <v>47.9375</v>
      </c>
      <c r="H85" s="95"/>
      <c r="I85" s="95">
        <f t="shared" si="44"/>
        <v>1.8125</v>
      </c>
    </row>
    <row r="86" spans="5:13">
      <c r="E86" s="2">
        <v>25</v>
      </c>
      <c r="F86" s="2">
        <v>27</v>
      </c>
      <c r="G86" s="95">
        <v>49.75</v>
      </c>
      <c r="H86" s="95"/>
      <c r="I86" s="95">
        <f t="shared" si="44"/>
        <v>1.8125</v>
      </c>
    </row>
    <row r="87" spans="5:13">
      <c r="E87" s="2">
        <v>26</v>
      </c>
      <c r="F87" s="2">
        <v>28</v>
      </c>
      <c r="G87" s="95">
        <v>51.5625</v>
      </c>
      <c r="H87" s="95"/>
      <c r="I87" s="95">
        <f t="shared" si="44"/>
        <v>1.8125</v>
      </c>
    </row>
    <row r="88" spans="5:13">
      <c r="E88" s="2">
        <v>27</v>
      </c>
      <c r="F88" s="2">
        <v>29</v>
      </c>
      <c r="G88" s="95">
        <v>53.375</v>
      </c>
      <c r="H88" s="95"/>
      <c r="I88" s="95">
        <f>G89-G88</f>
        <v>1.8125</v>
      </c>
    </row>
    <row r="89" spans="5:13">
      <c r="E89" s="2">
        <v>28</v>
      </c>
      <c r="F89" s="2">
        <v>30</v>
      </c>
      <c r="G89" s="95">
        <v>55.1875</v>
      </c>
      <c r="H89" s="95"/>
      <c r="I89" s="95">
        <f t="shared" si="44"/>
        <v>1.8125</v>
      </c>
    </row>
    <row r="90" spans="5:13">
      <c r="E90" s="2">
        <v>29</v>
      </c>
      <c r="F90" s="2">
        <v>31</v>
      </c>
      <c r="G90" s="95">
        <v>57</v>
      </c>
      <c r="H90" s="95"/>
      <c r="I90" s="95">
        <f t="shared" si="44"/>
        <v>1.8125</v>
      </c>
    </row>
    <row r="91" spans="5:13">
      <c r="E91" s="2">
        <v>30</v>
      </c>
      <c r="F91" s="2">
        <v>32</v>
      </c>
      <c r="G91" s="95">
        <v>58.8125</v>
      </c>
      <c r="H91" s="95"/>
      <c r="I91" s="95">
        <f t="shared" si="44"/>
        <v>1.8125</v>
      </c>
    </row>
    <row r="92" spans="5:13">
      <c r="E92" s="2">
        <v>31</v>
      </c>
      <c r="F92" s="2">
        <v>33</v>
      </c>
      <c r="G92" s="95">
        <v>60.625</v>
      </c>
      <c r="H92" s="95"/>
      <c r="I92" s="95">
        <f t="shared" si="44"/>
        <v>1.8125</v>
      </c>
    </row>
    <row r="93" spans="5:13">
      <c r="E93" s="2">
        <v>32</v>
      </c>
      <c r="F93" s="2">
        <v>34</v>
      </c>
      <c r="G93" s="95">
        <v>62.4375</v>
      </c>
      <c r="H93" s="95"/>
      <c r="I93" s="95">
        <f t="shared" si="44"/>
        <v>1.8125</v>
      </c>
    </row>
    <row r="94" spans="5:13">
      <c r="E94" s="2">
        <v>33</v>
      </c>
      <c r="F94" s="2">
        <v>35</v>
      </c>
      <c r="G94" s="95">
        <v>64.25</v>
      </c>
      <c r="H94" s="95"/>
      <c r="I94" s="95">
        <f t="shared" si="44"/>
        <v>1.8125</v>
      </c>
    </row>
    <row r="95" spans="5:13">
      <c r="E95" s="2">
        <v>34</v>
      </c>
      <c r="F95" s="2">
        <v>36</v>
      </c>
      <c r="G95" s="95">
        <v>66.0625</v>
      </c>
      <c r="H95" s="95"/>
      <c r="I95" s="95">
        <f t="shared" si="44"/>
        <v>1.8125</v>
      </c>
    </row>
    <row r="96" spans="5:13">
      <c r="E96" s="2">
        <v>35</v>
      </c>
      <c r="F96" s="2">
        <v>37</v>
      </c>
      <c r="G96" s="95">
        <v>67.875</v>
      </c>
      <c r="H96" s="95"/>
      <c r="I96" s="95">
        <f t="shared" si="44"/>
        <v>1.8125</v>
      </c>
    </row>
    <row r="97" spans="5:9">
      <c r="E97" s="2">
        <v>36</v>
      </c>
      <c r="F97" s="2">
        <v>38</v>
      </c>
      <c r="G97" s="95">
        <v>69.6875</v>
      </c>
      <c r="H97" s="95"/>
      <c r="I97" s="95">
        <f t="shared" si="44"/>
        <v>1.8125</v>
      </c>
    </row>
    <row r="98" spans="5:9">
      <c r="E98" s="2">
        <v>37</v>
      </c>
      <c r="F98" s="2">
        <v>39</v>
      </c>
      <c r="G98" s="95">
        <v>71.5</v>
      </c>
      <c r="H98" s="95"/>
      <c r="I98" s="95">
        <f t="shared" si="44"/>
        <v>1.75</v>
      </c>
    </row>
    <row r="99" spans="5:9">
      <c r="E99" s="2">
        <v>38</v>
      </c>
      <c r="F99" s="2">
        <v>40</v>
      </c>
      <c r="G99" s="95">
        <v>73.25</v>
      </c>
      <c r="H99" s="95"/>
      <c r="I99" s="95"/>
    </row>
    <row r="100" spans="5:9">
      <c r="E100" s="2">
        <v>39</v>
      </c>
      <c r="F100" s="2">
        <v>41</v>
      </c>
      <c r="G100" s="95">
        <v>75.0625</v>
      </c>
      <c r="H100" s="95"/>
      <c r="I100" s="95"/>
    </row>
    <row r="101" spans="5:9">
      <c r="E101" s="2">
        <v>40</v>
      </c>
      <c r="F101" s="2">
        <v>42</v>
      </c>
      <c r="G101" s="95">
        <v>76.875</v>
      </c>
      <c r="H101" s="95"/>
      <c r="I101" s="95"/>
    </row>
    <row r="102" spans="5:9">
      <c r="E102" s="2">
        <v>41</v>
      </c>
      <c r="F102" s="2">
        <v>43</v>
      </c>
      <c r="G102" s="95">
        <v>78.6875</v>
      </c>
      <c r="H102" s="95"/>
      <c r="I102" s="95"/>
    </row>
    <row r="103" spans="5:9">
      <c r="E103" s="2">
        <v>42</v>
      </c>
      <c r="F103" s="2">
        <v>44</v>
      </c>
      <c r="G103" s="95">
        <v>80.5</v>
      </c>
      <c r="H103" s="95"/>
      <c r="I103" s="95"/>
    </row>
    <row r="104" spans="5:9">
      <c r="E104" s="2">
        <v>43</v>
      </c>
      <c r="F104" s="2">
        <v>45</v>
      </c>
      <c r="G104" s="95">
        <v>82.3125</v>
      </c>
      <c r="H104" s="95"/>
      <c r="I104" s="95"/>
    </row>
    <row r="105" spans="5:9">
      <c r="E105" s="2">
        <v>44</v>
      </c>
      <c r="F105" s="2">
        <v>46</v>
      </c>
      <c r="G105" s="95">
        <v>84.125</v>
      </c>
      <c r="H105" s="95"/>
      <c r="I105" s="95"/>
    </row>
    <row r="106" spans="5:9">
      <c r="E106" s="2">
        <v>45</v>
      </c>
      <c r="F106" s="2">
        <v>47</v>
      </c>
      <c r="G106" s="95">
        <v>85.9375</v>
      </c>
      <c r="H106" s="95"/>
      <c r="I106" s="95"/>
    </row>
    <row r="107" spans="5:9">
      <c r="E107" s="2">
        <v>46</v>
      </c>
      <c r="F107" s="2">
        <v>48</v>
      </c>
      <c r="G107" s="95">
        <v>87.75</v>
      </c>
      <c r="H107" s="95"/>
      <c r="I107" s="95"/>
    </row>
    <row r="108" spans="5:9">
      <c r="E108" s="2">
        <v>47</v>
      </c>
      <c r="F108" s="2">
        <v>49</v>
      </c>
      <c r="G108" s="95">
        <v>89.5625</v>
      </c>
      <c r="H108" s="95"/>
      <c r="I108" s="95"/>
    </row>
    <row r="109" spans="5:9">
      <c r="E109" s="2">
        <v>48</v>
      </c>
      <c r="F109" s="2">
        <v>50</v>
      </c>
      <c r="G109" s="95">
        <v>91.375</v>
      </c>
      <c r="H109" s="95"/>
      <c r="I109" s="95"/>
    </row>
    <row r="110" spans="5:9">
      <c r="E110" s="2">
        <v>49</v>
      </c>
      <c r="F110" s="2">
        <v>51</v>
      </c>
      <c r="G110" s="95">
        <v>93.1875</v>
      </c>
      <c r="H110" s="95"/>
      <c r="I110" s="95"/>
    </row>
    <row r="111" spans="5:9">
      <c r="E111" s="2">
        <v>50</v>
      </c>
      <c r="F111" s="2">
        <v>52</v>
      </c>
      <c r="G111" s="95">
        <v>95</v>
      </c>
      <c r="H111" s="95"/>
      <c r="I111" s="95"/>
    </row>
    <row r="112" spans="5:9">
      <c r="E112" s="2">
        <v>51</v>
      </c>
      <c r="F112" s="2">
        <v>53</v>
      </c>
      <c r="G112" s="95">
        <v>96.8125</v>
      </c>
      <c r="H112" s="95"/>
      <c r="I112" s="95"/>
    </row>
    <row r="113" spans="5:9">
      <c r="E113" s="2">
        <v>52</v>
      </c>
      <c r="F113" s="2">
        <v>54</v>
      </c>
      <c r="G113" s="95">
        <v>98.625</v>
      </c>
      <c r="H113" s="95"/>
      <c r="I113" s="95"/>
    </row>
    <row r="114" spans="5:9">
      <c r="E114" s="2">
        <v>53</v>
      </c>
      <c r="F114" s="2">
        <v>55</v>
      </c>
      <c r="G114" s="95">
        <v>100.4375</v>
      </c>
      <c r="H114" s="95"/>
      <c r="I114" s="95"/>
    </row>
    <row r="115" spans="5:9">
      <c r="E115" s="2">
        <v>54</v>
      </c>
      <c r="F115" s="2">
        <v>56</v>
      </c>
      <c r="G115" s="95">
        <v>102.25</v>
      </c>
      <c r="H115" s="95"/>
      <c r="I115" s="95"/>
    </row>
    <row r="116" spans="5:9">
      <c r="E116" s="2">
        <v>55</v>
      </c>
      <c r="F116" s="2">
        <v>57</v>
      </c>
      <c r="G116" s="95">
        <v>104.0625</v>
      </c>
      <c r="H116" s="95"/>
      <c r="I116" s="95"/>
    </row>
    <row r="117" spans="5:9">
      <c r="E117" s="2">
        <v>56</v>
      </c>
      <c r="F117" s="2">
        <v>58</v>
      </c>
      <c r="G117" s="95">
        <v>105.875</v>
      </c>
      <c r="H117" s="95"/>
      <c r="I117" s="95"/>
    </row>
    <row r="118" spans="5:9">
      <c r="E118" s="2">
        <v>57</v>
      </c>
      <c r="F118" s="2">
        <v>59</v>
      </c>
      <c r="G118" s="95">
        <v>107.6875</v>
      </c>
    </row>
    <row r="119" spans="5:9">
      <c r="G119" s="95">
        <v>109.5</v>
      </c>
    </row>
    <row r="120" spans="5:9">
      <c r="G120" s="95">
        <v>111.3125</v>
      </c>
    </row>
    <row r="121" spans="5:9">
      <c r="G121" s="95">
        <v>113.125</v>
      </c>
    </row>
    <row r="122" spans="5:9">
      <c r="G122" s="95">
        <v>114.9375</v>
      </c>
    </row>
    <row r="123" spans="5:9">
      <c r="G123" s="95">
        <v>116.75</v>
      </c>
    </row>
    <row r="124" spans="5:9">
      <c r="G124" s="95">
        <v>118.5625</v>
      </c>
    </row>
    <row r="125" spans="5:9">
      <c r="G125" s="95">
        <v>120.375</v>
      </c>
    </row>
    <row r="126" spans="5:9">
      <c r="G126" s="95">
        <v>122.1875</v>
      </c>
    </row>
    <row r="127" spans="5:9">
      <c r="G127" s="95">
        <v>124</v>
      </c>
    </row>
  </sheetData>
  <sheetProtection algorithmName="SHA-512" hashValue="ZYVJOY0X5R3zy22w37H11BB9qvjqpOQHZIKVOvmwSFD2infjX9SmQLtcKrajvCk34UIqBxCWO8lHrq9G86JgsQ==" saltValue="ZxDYz+kIQLWcClj12TXy9g==" spinCount="100000" sheet="1" objects="1" scenarios="1"/>
  <mergeCells count="6">
    <mergeCell ref="B1:M1"/>
    <mergeCell ref="F4:G4"/>
    <mergeCell ref="S4:T4"/>
    <mergeCell ref="U4:V4"/>
    <mergeCell ref="B18:D18"/>
    <mergeCell ref="H17:I17"/>
  </mergeCells>
  <dataValidations count="4">
    <dataValidation type="list" allowBlank="1" showInputMessage="1" showErrorMessage="1" sqref="M6:M15" xr:uid="{9693C2C5-5983-41EB-A046-070279B4F86B}">
      <formula1>$M$65:$M$69</formula1>
    </dataValidation>
    <dataValidation type="list" allowBlank="1" showInputMessage="1" showErrorMessage="1" sqref="H6:H15" xr:uid="{0BEA6B6D-29B3-46A1-B5DF-D3568EC2AF34}">
      <formula1>$H$68:$H$69</formula1>
    </dataValidation>
    <dataValidation type="list" allowBlank="1" showInputMessage="1" showErrorMessage="1" sqref="G6:G15" xr:uid="{016EE801-2D8A-4EA1-8B48-8EAFE3A8FF3B}">
      <formula1>$G$65:$G$127</formula1>
    </dataValidation>
    <dataValidation type="list" allowBlank="1" showInputMessage="1" showErrorMessage="1" sqref="I6:I15" xr:uid="{DB2079C6-8360-4E50-9B25-925748F03792}">
      <formula1>$H$65:$H$66</formula1>
    </dataValidation>
  </dataValidations>
  <pageMargins left="0.7" right="0.7" top="0.75" bottom="0.75" header="0.3" footer="0.3"/>
  <pageSetup fitToWidth="2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F2B237-A417-4CC4-9B7B-8546BEB9B41A}">
          <x14:formula1>
            <xm:f>'PAINT LABOR COSTS'!$B$27:$B$58</xm:f>
          </x14:formula1>
          <xm:sqref>K6:K15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37B1A-CB14-41CF-AC11-C70B0B6CA43D}">
  <sheetPr codeName="Sheet3">
    <tabColor rgb="FFFFC000"/>
    <pageSetUpPr fitToPage="1"/>
  </sheetPr>
  <dimension ref="A1:AP186"/>
  <sheetViews>
    <sheetView tabSelected="1" workbookViewId="0">
      <pane xSplit="1" ySplit="3" topLeftCell="B13" activePane="bottomRight" state="frozen"/>
      <selection pane="bottomRight" activeCell="M1" sqref="L1:M1"/>
      <selection pane="bottomLeft" activeCell="J35" sqref="J35"/>
      <selection pane="topRight" activeCell="J35" sqref="J35"/>
    </sheetView>
  </sheetViews>
  <sheetFormatPr defaultRowHeight="15"/>
  <cols>
    <col min="1" max="1" width="38.42578125" customWidth="1"/>
    <col min="2" max="2" width="27.140625" style="29" customWidth="1"/>
    <col min="3" max="3" width="23.42578125" customWidth="1"/>
    <col min="4" max="4" width="19.85546875" style="2" customWidth="1"/>
    <col min="5" max="5" width="12.28515625" style="2" customWidth="1"/>
    <col min="6" max="6" width="12.28515625" style="73" customWidth="1"/>
    <col min="7" max="7" width="12.140625" customWidth="1"/>
    <col min="8" max="8" width="10.28515625" style="40" customWidth="1"/>
    <col min="9" max="9" width="9.5703125" style="40" customWidth="1"/>
    <col min="10" max="10" width="9.140625" style="40"/>
    <col min="11" max="11" width="9.5703125" style="40" bestFit="1" customWidth="1"/>
    <col min="12" max="12" width="12.28515625" style="40" customWidth="1"/>
    <col min="13" max="13" width="10.5703125" customWidth="1"/>
    <col min="14" max="14" width="8" style="2" customWidth="1"/>
    <col min="15" max="15" width="2.42578125" style="2" customWidth="1"/>
    <col min="16" max="16" width="7.85546875" style="32" customWidth="1"/>
    <col min="17" max="17" width="8.140625" style="34" customWidth="1"/>
    <col min="18" max="18" width="7" style="45" customWidth="1"/>
    <col min="19" max="19" width="2.42578125" style="2" customWidth="1"/>
    <col min="20" max="20" width="7.85546875" style="35" customWidth="1"/>
    <col min="21" max="21" width="6.85546875" style="35" customWidth="1"/>
    <col min="22" max="22" width="7.42578125" style="49" customWidth="1"/>
    <col min="23" max="23" width="2.7109375" customWidth="1"/>
    <col min="24" max="34" width="9.140625" style="2"/>
    <col min="35" max="35" width="10.5703125" style="2" customWidth="1"/>
    <col min="36" max="36" width="11" style="2" customWidth="1"/>
    <col min="37" max="37" width="10.5703125" style="2" customWidth="1"/>
    <col min="38" max="38" width="11.28515625" style="2" customWidth="1"/>
    <col min="39" max="39" width="10.7109375" style="2" customWidth="1"/>
    <col min="40" max="40" width="11.42578125" style="2" customWidth="1"/>
    <col min="41" max="41" width="12.28515625" style="2" customWidth="1"/>
    <col min="42" max="42" width="11.5703125" style="2" customWidth="1"/>
  </cols>
  <sheetData>
    <row r="1" spans="1:42">
      <c r="L1" s="41" t="s">
        <v>566</v>
      </c>
      <c r="M1" s="42">
        <v>1.0900000000000001</v>
      </c>
      <c r="P1" s="404" t="s">
        <v>567</v>
      </c>
      <c r="Q1" s="404"/>
      <c r="R1" s="404"/>
      <c r="T1" s="405" t="s">
        <v>567</v>
      </c>
      <c r="U1" s="405"/>
      <c r="V1" s="405"/>
      <c r="X1" s="43" t="s">
        <v>568</v>
      </c>
    </row>
    <row r="2" spans="1:42">
      <c r="J2" s="39"/>
      <c r="K2" s="39"/>
      <c r="L2" s="41" t="s">
        <v>569</v>
      </c>
      <c r="M2" s="42" t="s">
        <v>570</v>
      </c>
      <c r="P2" s="44">
        <v>2</v>
      </c>
      <c r="Q2" s="45" t="s">
        <v>571</v>
      </c>
      <c r="S2" s="254"/>
      <c r="T2" s="35">
        <v>3</v>
      </c>
      <c r="U2" s="405" t="s">
        <v>572</v>
      </c>
      <c r="V2" s="405"/>
      <c r="W2" s="1"/>
      <c r="X2" s="46" t="s">
        <v>573</v>
      </c>
      <c r="Y2" s="47"/>
    </row>
    <row r="3" spans="1:42">
      <c r="A3" s="254" t="s">
        <v>574</v>
      </c>
      <c r="B3" s="43" t="s">
        <v>575</v>
      </c>
      <c r="C3" s="1" t="s">
        <v>576</v>
      </c>
      <c r="D3" s="254" t="s">
        <v>577</v>
      </c>
      <c r="E3" s="254" t="s">
        <v>578</v>
      </c>
      <c r="F3" s="196" t="s">
        <v>579</v>
      </c>
      <c r="G3" s="254" t="s">
        <v>580</v>
      </c>
      <c r="H3" s="41" t="s">
        <v>177</v>
      </c>
      <c r="I3" s="41" t="s">
        <v>541</v>
      </c>
      <c r="J3" s="41" t="s">
        <v>133</v>
      </c>
      <c r="K3" s="41" t="s">
        <v>581</v>
      </c>
      <c r="L3" s="41" t="s">
        <v>582</v>
      </c>
      <c r="M3" s="48" t="s">
        <v>177</v>
      </c>
      <c r="N3" s="254" t="s">
        <v>583</v>
      </c>
      <c r="P3" s="292" t="s">
        <v>149</v>
      </c>
      <c r="Q3" s="34" t="s">
        <v>133</v>
      </c>
      <c r="R3" s="45" t="s">
        <v>584</v>
      </c>
      <c r="T3" s="49" t="s">
        <v>585</v>
      </c>
      <c r="U3" s="35" t="s">
        <v>133</v>
      </c>
      <c r="V3" s="49" t="s">
        <v>584</v>
      </c>
      <c r="X3" s="254">
        <v>1</v>
      </c>
      <c r="Y3" s="254">
        <v>2</v>
      </c>
      <c r="Z3" s="254">
        <v>3</v>
      </c>
      <c r="AA3" s="254">
        <v>4</v>
      </c>
      <c r="AB3" s="254">
        <v>5</v>
      </c>
      <c r="AC3" s="254">
        <v>6</v>
      </c>
      <c r="AD3" s="254">
        <v>7</v>
      </c>
      <c r="AE3" s="254">
        <v>8</v>
      </c>
      <c r="AF3" s="254">
        <v>9</v>
      </c>
      <c r="AG3" s="254">
        <v>10</v>
      </c>
      <c r="AH3" s="254">
        <v>20</v>
      </c>
      <c r="AI3" s="254">
        <v>30</v>
      </c>
      <c r="AJ3" s="254">
        <v>40</v>
      </c>
      <c r="AK3" s="254">
        <v>50</v>
      </c>
      <c r="AL3" s="254">
        <v>100</v>
      </c>
      <c r="AM3" s="254">
        <v>200</v>
      </c>
      <c r="AN3" s="254">
        <v>300</v>
      </c>
      <c r="AO3" s="254">
        <v>400</v>
      </c>
      <c r="AP3" s="254">
        <v>500</v>
      </c>
    </row>
    <row r="4" spans="1:42">
      <c r="A4" t="s">
        <v>586</v>
      </c>
      <c r="B4" s="29" t="s">
        <v>587</v>
      </c>
      <c r="D4" s="2" t="s">
        <v>588</v>
      </c>
      <c r="G4">
        <v>1</v>
      </c>
      <c r="H4" s="40">
        <v>1.83</v>
      </c>
      <c r="I4" s="40">
        <f>G4*H4</f>
        <v>1.83</v>
      </c>
      <c r="L4" s="72">
        <v>44859</v>
      </c>
      <c r="M4" s="42">
        <f>SUM(J4:K4)+H4*$M$1</f>
        <v>1.9947000000000001</v>
      </c>
      <c r="N4" s="2" t="s">
        <v>72</v>
      </c>
      <c r="P4" s="32">
        <f>M4*$P$2</f>
        <v>3.9894000000000003</v>
      </c>
      <c r="Q4" s="32">
        <f>P4*0.08</f>
        <v>0.31915200000000005</v>
      </c>
      <c r="R4" s="292">
        <f>P4+Q4</f>
        <v>4.3085520000000006</v>
      </c>
      <c r="S4" s="31"/>
      <c r="T4" s="33">
        <f>M4*$T$2</f>
        <v>5.9841000000000006</v>
      </c>
      <c r="U4" s="33">
        <f>T4*0.08</f>
        <v>0.47872800000000004</v>
      </c>
      <c r="V4" s="50">
        <f>T4+U4</f>
        <v>6.4628280000000009</v>
      </c>
      <c r="X4" s="51">
        <f>$V4*X$3</f>
        <v>6.4628280000000009</v>
      </c>
      <c r="Y4" s="51">
        <f t="shared" ref="Y4:AP32" si="0">$V4*Y$3</f>
        <v>12.925656000000002</v>
      </c>
      <c r="Z4" s="51">
        <f t="shared" si="0"/>
        <v>19.388484000000002</v>
      </c>
      <c r="AA4" s="51">
        <f t="shared" si="0"/>
        <v>25.851312000000004</v>
      </c>
      <c r="AB4" s="51">
        <f t="shared" si="0"/>
        <v>32.314140000000002</v>
      </c>
      <c r="AC4" s="51">
        <f t="shared" si="0"/>
        <v>38.776968000000004</v>
      </c>
      <c r="AD4" s="51">
        <f t="shared" si="0"/>
        <v>45.239796000000005</v>
      </c>
      <c r="AE4" s="51">
        <f t="shared" si="0"/>
        <v>51.702624000000007</v>
      </c>
      <c r="AF4" s="51">
        <f t="shared" si="0"/>
        <v>58.165452000000009</v>
      </c>
      <c r="AG4" s="51">
        <f t="shared" si="0"/>
        <v>64.628280000000004</v>
      </c>
      <c r="AH4" s="51">
        <f t="shared" si="0"/>
        <v>129.25656000000001</v>
      </c>
      <c r="AI4" s="51">
        <f t="shared" si="0"/>
        <v>193.88484000000003</v>
      </c>
      <c r="AJ4" s="51">
        <f t="shared" si="0"/>
        <v>258.51312000000001</v>
      </c>
      <c r="AK4" s="51">
        <f t="shared" si="0"/>
        <v>323.14140000000003</v>
      </c>
      <c r="AL4" s="51">
        <f t="shared" si="0"/>
        <v>646.28280000000007</v>
      </c>
      <c r="AM4" s="51">
        <f t="shared" si="0"/>
        <v>1292.5656000000001</v>
      </c>
      <c r="AN4" s="51">
        <f t="shared" si="0"/>
        <v>1938.8484000000003</v>
      </c>
      <c r="AO4" s="51">
        <f t="shared" si="0"/>
        <v>2585.1312000000003</v>
      </c>
      <c r="AP4" s="51">
        <f t="shared" si="0"/>
        <v>3231.4140000000007</v>
      </c>
    </row>
    <row r="5" spans="1:42">
      <c r="A5" t="s">
        <v>589</v>
      </c>
      <c r="B5" s="29" t="s">
        <v>590</v>
      </c>
      <c r="D5" s="2" t="s">
        <v>591</v>
      </c>
      <c r="G5">
        <v>1</v>
      </c>
      <c r="H5" s="40">
        <v>0.18</v>
      </c>
      <c r="I5" s="40">
        <v>0.182</v>
      </c>
      <c r="L5" s="72">
        <v>44761</v>
      </c>
      <c r="M5" s="42">
        <f t="shared" ref="M5:M108" si="1">SUM(J5:K5)+H5*$M$1</f>
        <v>0.19620000000000001</v>
      </c>
      <c r="N5" s="2" t="s">
        <v>72</v>
      </c>
      <c r="P5" s="32">
        <f t="shared" ref="P5:P71" si="2">M5*$P$2</f>
        <v>0.39240000000000003</v>
      </c>
      <c r="Q5" s="32">
        <f>P5*0.08</f>
        <v>3.1392000000000003E-2</v>
      </c>
      <c r="R5" s="292">
        <f>P5+Q5</f>
        <v>0.42379200000000006</v>
      </c>
      <c r="T5" s="33">
        <f t="shared" ref="T5:T71" si="3">M5*$T$2</f>
        <v>0.58860000000000001</v>
      </c>
      <c r="U5" s="33">
        <f>T5*0.08</f>
        <v>4.7088000000000005E-2</v>
      </c>
      <c r="V5" s="50">
        <f>T5+U5</f>
        <v>0.63568800000000003</v>
      </c>
      <c r="X5" s="51">
        <f t="shared" ref="X5:AM33" si="4">$V5*X$3</f>
        <v>0.63568800000000003</v>
      </c>
      <c r="Y5" s="51">
        <f t="shared" si="4"/>
        <v>1.2713760000000001</v>
      </c>
      <c r="Z5" s="51">
        <f t="shared" si="4"/>
        <v>1.9070640000000001</v>
      </c>
      <c r="AA5" s="51">
        <f t="shared" si="4"/>
        <v>2.5427520000000001</v>
      </c>
      <c r="AB5" s="51">
        <f t="shared" si="4"/>
        <v>3.1784400000000002</v>
      </c>
      <c r="AC5" s="51">
        <f t="shared" si="4"/>
        <v>3.8141280000000002</v>
      </c>
      <c r="AD5" s="51">
        <f t="shared" si="4"/>
        <v>4.4498160000000002</v>
      </c>
      <c r="AE5" s="51">
        <f t="shared" si="4"/>
        <v>5.0855040000000002</v>
      </c>
      <c r="AF5" s="51">
        <f t="shared" si="4"/>
        <v>5.7211920000000003</v>
      </c>
      <c r="AG5" s="51">
        <f t="shared" si="4"/>
        <v>6.3568800000000003</v>
      </c>
      <c r="AH5" s="51">
        <f t="shared" si="4"/>
        <v>12.713760000000001</v>
      </c>
      <c r="AI5" s="51">
        <f t="shared" si="4"/>
        <v>19.070640000000001</v>
      </c>
      <c r="AJ5" s="51">
        <f t="shared" si="4"/>
        <v>25.427520000000001</v>
      </c>
      <c r="AK5" s="51">
        <f t="shared" si="4"/>
        <v>31.784400000000002</v>
      </c>
      <c r="AL5" s="51">
        <f t="shared" si="4"/>
        <v>63.568800000000003</v>
      </c>
      <c r="AM5" s="51">
        <f t="shared" si="4"/>
        <v>127.13760000000001</v>
      </c>
      <c r="AN5" s="51">
        <f t="shared" si="0"/>
        <v>190.7064</v>
      </c>
      <c r="AO5" s="51">
        <f t="shared" si="0"/>
        <v>254.27520000000001</v>
      </c>
      <c r="AP5" s="51">
        <f t="shared" si="0"/>
        <v>317.84399999999999</v>
      </c>
    </row>
    <row r="6" spans="1:42">
      <c r="A6" t="s">
        <v>592</v>
      </c>
      <c r="D6" s="2" t="s">
        <v>588</v>
      </c>
      <c r="G6">
        <v>1</v>
      </c>
      <c r="H6" s="40">
        <v>0.28000000000000003</v>
      </c>
      <c r="I6" s="40">
        <f t="shared" ref="I6:I108" si="5">G6*H6</f>
        <v>0.28000000000000003</v>
      </c>
      <c r="L6" s="72">
        <v>44859</v>
      </c>
      <c r="M6" s="42">
        <f t="shared" si="1"/>
        <v>0.30520000000000003</v>
      </c>
      <c r="N6" s="2" t="s">
        <v>72</v>
      </c>
      <c r="P6" s="32">
        <f t="shared" si="2"/>
        <v>0.61040000000000005</v>
      </c>
      <c r="Q6" s="32">
        <f t="shared" ref="Q6:Q52" si="6">P6*0.08</f>
        <v>4.8832000000000007E-2</v>
      </c>
      <c r="R6" s="292">
        <f t="shared" ref="R6:R71" si="7">P6+Q6</f>
        <v>0.65923200000000004</v>
      </c>
      <c r="T6" s="33">
        <f t="shared" si="3"/>
        <v>0.91560000000000008</v>
      </c>
      <c r="U6" s="33">
        <f t="shared" ref="U6:U71" si="8">T6*0.08</f>
        <v>7.3248000000000008E-2</v>
      </c>
      <c r="V6" s="50">
        <f t="shared" ref="V6:V71" si="9">T6+U6</f>
        <v>0.98884800000000006</v>
      </c>
      <c r="X6" s="51">
        <f t="shared" si="4"/>
        <v>0.98884800000000006</v>
      </c>
      <c r="Y6" s="51">
        <f t="shared" si="0"/>
        <v>1.9776960000000001</v>
      </c>
      <c r="Z6" s="51">
        <f t="shared" si="0"/>
        <v>2.9665440000000003</v>
      </c>
      <c r="AA6" s="51">
        <f t="shared" si="0"/>
        <v>3.9553920000000002</v>
      </c>
      <c r="AB6" s="51">
        <f t="shared" si="0"/>
        <v>4.9442400000000006</v>
      </c>
      <c r="AC6" s="51">
        <f t="shared" si="0"/>
        <v>5.9330880000000006</v>
      </c>
      <c r="AD6" s="51">
        <f t="shared" si="0"/>
        <v>6.9219360000000005</v>
      </c>
      <c r="AE6" s="51">
        <f t="shared" si="0"/>
        <v>7.9107840000000005</v>
      </c>
      <c r="AF6" s="51">
        <f t="shared" si="0"/>
        <v>8.8996320000000004</v>
      </c>
      <c r="AG6" s="51">
        <f t="shared" si="0"/>
        <v>9.8884800000000013</v>
      </c>
      <c r="AH6" s="51">
        <f t="shared" si="0"/>
        <v>19.776960000000003</v>
      </c>
      <c r="AI6" s="51">
        <f t="shared" si="0"/>
        <v>29.66544</v>
      </c>
      <c r="AJ6" s="51">
        <f t="shared" si="0"/>
        <v>39.553920000000005</v>
      </c>
      <c r="AK6" s="51">
        <f t="shared" si="0"/>
        <v>49.442400000000006</v>
      </c>
      <c r="AL6" s="51">
        <f t="shared" si="0"/>
        <v>98.884800000000013</v>
      </c>
      <c r="AM6" s="51">
        <f t="shared" si="0"/>
        <v>197.76960000000003</v>
      </c>
      <c r="AN6" s="51">
        <f t="shared" si="0"/>
        <v>296.65440000000001</v>
      </c>
      <c r="AO6" s="51">
        <f t="shared" si="0"/>
        <v>395.53920000000005</v>
      </c>
      <c r="AP6" s="51">
        <f t="shared" si="0"/>
        <v>494.42400000000004</v>
      </c>
    </row>
    <row r="7" spans="1:42">
      <c r="A7" t="s">
        <v>593</v>
      </c>
      <c r="B7" s="29" t="s">
        <v>594</v>
      </c>
      <c r="D7" s="2" t="s">
        <v>588</v>
      </c>
      <c r="G7">
        <v>1</v>
      </c>
      <c r="H7" s="40">
        <v>0.9</v>
      </c>
      <c r="I7" s="40">
        <f t="shared" si="5"/>
        <v>0.9</v>
      </c>
      <c r="L7" s="72">
        <v>44859</v>
      </c>
      <c r="M7" s="42">
        <f t="shared" si="1"/>
        <v>0.98100000000000009</v>
      </c>
      <c r="N7" s="2" t="s">
        <v>72</v>
      </c>
      <c r="P7" s="32">
        <f t="shared" si="2"/>
        <v>1.9620000000000002</v>
      </c>
      <c r="Q7" s="32">
        <f t="shared" si="6"/>
        <v>0.15696000000000002</v>
      </c>
      <c r="R7" s="292">
        <f t="shared" si="7"/>
        <v>2.1189600000000004</v>
      </c>
      <c r="T7" s="33">
        <f t="shared" si="3"/>
        <v>2.9430000000000005</v>
      </c>
      <c r="U7" s="33">
        <f t="shared" si="8"/>
        <v>0.23544000000000004</v>
      </c>
      <c r="V7" s="50">
        <f t="shared" si="9"/>
        <v>3.1784400000000006</v>
      </c>
      <c r="X7" s="51">
        <f t="shared" si="4"/>
        <v>3.1784400000000006</v>
      </c>
      <c r="Y7" s="51">
        <f t="shared" si="0"/>
        <v>6.3568800000000012</v>
      </c>
      <c r="Z7" s="51">
        <f t="shared" si="0"/>
        <v>9.5353200000000022</v>
      </c>
      <c r="AA7" s="51">
        <f t="shared" si="0"/>
        <v>12.713760000000002</v>
      </c>
      <c r="AB7" s="51">
        <f t="shared" si="0"/>
        <v>15.892200000000003</v>
      </c>
      <c r="AC7" s="51">
        <f t="shared" si="0"/>
        <v>19.070640000000004</v>
      </c>
      <c r="AD7" s="51">
        <f t="shared" si="0"/>
        <v>22.249080000000003</v>
      </c>
      <c r="AE7" s="51">
        <f t="shared" si="0"/>
        <v>25.427520000000005</v>
      </c>
      <c r="AF7" s="51">
        <f t="shared" si="0"/>
        <v>28.605960000000007</v>
      </c>
      <c r="AG7" s="51">
        <f t="shared" si="0"/>
        <v>31.784400000000005</v>
      </c>
      <c r="AH7" s="51">
        <f t="shared" si="0"/>
        <v>63.56880000000001</v>
      </c>
      <c r="AI7" s="51">
        <f t="shared" si="0"/>
        <v>95.353200000000015</v>
      </c>
      <c r="AJ7" s="51">
        <f t="shared" si="0"/>
        <v>127.13760000000002</v>
      </c>
      <c r="AK7" s="51">
        <f t="shared" si="0"/>
        <v>158.92200000000003</v>
      </c>
      <c r="AL7" s="51">
        <f t="shared" si="0"/>
        <v>317.84400000000005</v>
      </c>
      <c r="AM7" s="51">
        <f t="shared" si="0"/>
        <v>635.6880000000001</v>
      </c>
      <c r="AN7" s="51">
        <f t="shared" si="0"/>
        <v>953.53200000000015</v>
      </c>
      <c r="AO7" s="51">
        <f t="shared" si="0"/>
        <v>1271.3760000000002</v>
      </c>
      <c r="AP7" s="51">
        <f t="shared" si="0"/>
        <v>1589.2200000000003</v>
      </c>
    </row>
    <row r="8" spans="1:42">
      <c r="A8" t="s">
        <v>595</v>
      </c>
      <c r="B8" s="29" t="s">
        <v>596</v>
      </c>
      <c r="C8" t="s">
        <v>597</v>
      </c>
      <c r="D8" s="2" t="s">
        <v>598</v>
      </c>
      <c r="G8">
        <v>1</v>
      </c>
      <c r="H8" s="40">
        <v>0.45</v>
      </c>
      <c r="I8" s="40">
        <f t="shared" si="5"/>
        <v>0.45</v>
      </c>
      <c r="L8" s="72">
        <v>44859</v>
      </c>
      <c r="M8" s="42">
        <f t="shared" si="1"/>
        <v>0.49050000000000005</v>
      </c>
      <c r="N8" s="2" t="s">
        <v>72</v>
      </c>
      <c r="P8" s="32">
        <f t="shared" si="2"/>
        <v>0.98100000000000009</v>
      </c>
      <c r="Q8" s="32">
        <f t="shared" si="6"/>
        <v>7.8480000000000008E-2</v>
      </c>
      <c r="R8" s="292">
        <f t="shared" si="7"/>
        <v>1.0594800000000002</v>
      </c>
      <c r="T8" s="33">
        <f t="shared" si="3"/>
        <v>1.4715000000000003</v>
      </c>
      <c r="U8" s="33">
        <f t="shared" si="8"/>
        <v>0.11772000000000002</v>
      </c>
      <c r="V8" s="50">
        <f t="shared" si="9"/>
        <v>1.5892200000000003</v>
      </c>
      <c r="X8" s="51">
        <f t="shared" si="4"/>
        <v>1.5892200000000003</v>
      </c>
      <c r="Y8" s="51">
        <f t="shared" si="0"/>
        <v>3.1784400000000006</v>
      </c>
      <c r="Z8" s="51">
        <f t="shared" si="0"/>
        <v>4.7676600000000011</v>
      </c>
      <c r="AA8" s="51">
        <f t="shared" si="0"/>
        <v>6.3568800000000012</v>
      </c>
      <c r="AB8" s="51">
        <f t="shared" si="0"/>
        <v>7.9461000000000013</v>
      </c>
      <c r="AC8" s="51">
        <f t="shared" si="0"/>
        <v>9.5353200000000022</v>
      </c>
      <c r="AD8" s="51">
        <f t="shared" si="0"/>
        <v>11.124540000000001</v>
      </c>
      <c r="AE8" s="51">
        <f t="shared" si="0"/>
        <v>12.713760000000002</v>
      </c>
      <c r="AF8" s="51">
        <f t="shared" si="0"/>
        <v>14.302980000000003</v>
      </c>
      <c r="AG8" s="51">
        <f t="shared" si="0"/>
        <v>15.892200000000003</v>
      </c>
      <c r="AH8" s="51">
        <f t="shared" si="0"/>
        <v>31.784400000000005</v>
      </c>
      <c r="AI8" s="51">
        <f t="shared" si="0"/>
        <v>47.676600000000008</v>
      </c>
      <c r="AJ8" s="51">
        <f t="shared" si="0"/>
        <v>63.56880000000001</v>
      </c>
      <c r="AK8" s="51">
        <f t="shared" si="0"/>
        <v>79.461000000000013</v>
      </c>
      <c r="AL8" s="51">
        <f t="shared" si="0"/>
        <v>158.92200000000003</v>
      </c>
      <c r="AM8" s="51">
        <f t="shared" si="0"/>
        <v>317.84400000000005</v>
      </c>
      <c r="AN8" s="51">
        <f t="shared" si="0"/>
        <v>476.76600000000008</v>
      </c>
      <c r="AO8" s="51">
        <f t="shared" si="0"/>
        <v>635.6880000000001</v>
      </c>
      <c r="AP8" s="51">
        <f t="shared" si="0"/>
        <v>794.61000000000013</v>
      </c>
    </row>
    <row r="9" spans="1:42">
      <c r="A9" t="s">
        <v>599</v>
      </c>
      <c r="B9" s="29" t="s">
        <v>600</v>
      </c>
      <c r="C9" t="s">
        <v>601</v>
      </c>
      <c r="D9" s="2" t="s">
        <v>598</v>
      </c>
      <c r="G9">
        <v>1</v>
      </c>
      <c r="H9" s="40">
        <v>0.7</v>
      </c>
      <c r="I9" s="40">
        <f t="shared" si="5"/>
        <v>0.7</v>
      </c>
      <c r="L9" s="72">
        <v>44859</v>
      </c>
      <c r="M9" s="42">
        <f t="shared" si="1"/>
        <v>0.76300000000000001</v>
      </c>
      <c r="N9" s="2" t="s">
        <v>72</v>
      </c>
      <c r="P9" s="32">
        <f t="shared" si="2"/>
        <v>1.526</v>
      </c>
      <c r="Q9" s="32">
        <f t="shared" si="6"/>
        <v>0.12208000000000001</v>
      </c>
      <c r="R9" s="292">
        <f t="shared" si="7"/>
        <v>1.64808</v>
      </c>
      <c r="T9" s="33">
        <f t="shared" si="3"/>
        <v>2.2890000000000001</v>
      </c>
      <c r="U9" s="33">
        <f t="shared" si="8"/>
        <v>0.18312</v>
      </c>
      <c r="V9" s="50">
        <f t="shared" si="9"/>
        <v>2.4721200000000003</v>
      </c>
      <c r="X9" s="51">
        <f t="shared" si="4"/>
        <v>2.4721200000000003</v>
      </c>
      <c r="Y9" s="51">
        <f t="shared" si="0"/>
        <v>4.9442400000000006</v>
      </c>
      <c r="Z9" s="51">
        <f t="shared" si="0"/>
        <v>7.416360000000001</v>
      </c>
      <c r="AA9" s="51">
        <f t="shared" si="0"/>
        <v>9.8884800000000013</v>
      </c>
      <c r="AB9" s="51">
        <f t="shared" si="0"/>
        <v>12.360600000000002</v>
      </c>
      <c r="AC9" s="51">
        <f t="shared" si="0"/>
        <v>14.832720000000002</v>
      </c>
      <c r="AD9" s="51">
        <f t="shared" si="0"/>
        <v>17.304840000000002</v>
      </c>
      <c r="AE9" s="51">
        <f t="shared" si="0"/>
        <v>19.776960000000003</v>
      </c>
      <c r="AF9" s="51">
        <f t="shared" si="0"/>
        <v>22.249080000000003</v>
      </c>
      <c r="AG9" s="51">
        <f t="shared" si="0"/>
        <v>24.721200000000003</v>
      </c>
      <c r="AH9" s="51">
        <f t="shared" si="0"/>
        <v>49.442400000000006</v>
      </c>
      <c r="AI9" s="51">
        <f t="shared" si="0"/>
        <v>74.163600000000002</v>
      </c>
      <c r="AJ9" s="51">
        <f t="shared" si="0"/>
        <v>98.884800000000013</v>
      </c>
      <c r="AK9" s="51">
        <f t="shared" si="0"/>
        <v>123.60600000000002</v>
      </c>
      <c r="AL9" s="51">
        <f t="shared" si="0"/>
        <v>247.21200000000005</v>
      </c>
      <c r="AM9" s="51">
        <f t="shared" si="0"/>
        <v>494.42400000000009</v>
      </c>
      <c r="AN9" s="51">
        <f t="shared" si="0"/>
        <v>741.63600000000008</v>
      </c>
      <c r="AO9" s="51">
        <f t="shared" si="0"/>
        <v>988.84800000000018</v>
      </c>
      <c r="AP9" s="51">
        <f t="shared" si="0"/>
        <v>1236.0600000000002</v>
      </c>
    </row>
    <row r="10" spans="1:42">
      <c r="A10" t="s">
        <v>602</v>
      </c>
      <c r="D10" s="2" t="s">
        <v>598</v>
      </c>
      <c r="G10">
        <v>1</v>
      </c>
      <c r="H10" s="40">
        <v>0.7</v>
      </c>
      <c r="I10" s="40">
        <f t="shared" si="5"/>
        <v>0.7</v>
      </c>
      <c r="L10" s="72">
        <v>44859</v>
      </c>
      <c r="M10" s="42">
        <f t="shared" si="1"/>
        <v>0.76300000000000001</v>
      </c>
      <c r="N10" s="2" t="s">
        <v>72</v>
      </c>
      <c r="P10" s="32">
        <f t="shared" si="2"/>
        <v>1.526</v>
      </c>
      <c r="Q10" s="32">
        <f t="shared" si="6"/>
        <v>0.12208000000000001</v>
      </c>
      <c r="R10" s="292">
        <f t="shared" si="7"/>
        <v>1.64808</v>
      </c>
      <c r="T10" s="33">
        <f t="shared" si="3"/>
        <v>2.2890000000000001</v>
      </c>
      <c r="U10" s="33">
        <f t="shared" si="8"/>
        <v>0.18312</v>
      </c>
      <c r="V10" s="50">
        <f t="shared" si="9"/>
        <v>2.4721200000000003</v>
      </c>
      <c r="X10" s="51">
        <f t="shared" si="4"/>
        <v>2.4721200000000003</v>
      </c>
      <c r="Y10" s="51">
        <f t="shared" si="4"/>
        <v>4.9442400000000006</v>
      </c>
      <c r="Z10" s="51">
        <f t="shared" si="4"/>
        <v>7.416360000000001</v>
      </c>
      <c r="AA10" s="51">
        <f t="shared" si="4"/>
        <v>9.8884800000000013</v>
      </c>
      <c r="AB10" s="51">
        <f t="shared" si="4"/>
        <v>12.360600000000002</v>
      </c>
      <c r="AC10" s="51">
        <f t="shared" si="4"/>
        <v>14.832720000000002</v>
      </c>
      <c r="AD10" s="51">
        <f t="shared" si="4"/>
        <v>17.304840000000002</v>
      </c>
      <c r="AE10" s="51">
        <f t="shared" si="4"/>
        <v>19.776960000000003</v>
      </c>
      <c r="AF10" s="51">
        <f t="shared" si="4"/>
        <v>22.249080000000003</v>
      </c>
      <c r="AG10" s="51">
        <f t="shared" si="4"/>
        <v>24.721200000000003</v>
      </c>
      <c r="AH10" s="51">
        <f t="shared" si="4"/>
        <v>49.442400000000006</v>
      </c>
      <c r="AI10" s="51">
        <f t="shared" si="4"/>
        <v>74.163600000000002</v>
      </c>
      <c r="AJ10" s="51">
        <f t="shared" si="4"/>
        <v>98.884800000000013</v>
      </c>
      <c r="AK10" s="51">
        <f t="shared" si="0"/>
        <v>123.60600000000002</v>
      </c>
      <c r="AL10" s="51">
        <f t="shared" si="0"/>
        <v>247.21200000000005</v>
      </c>
      <c r="AM10" s="51">
        <f t="shared" si="0"/>
        <v>494.42400000000009</v>
      </c>
      <c r="AN10" s="51">
        <f t="shared" si="0"/>
        <v>741.63600000000008</v>
      </c>
      <c r="AO10" s="51">
        <f t="shared" si="0"/>
        <v>988.84800000000018</v>
      </c>
      <c r="AP10" s="51">
        <f t="shared" si="0"/>
        <v>1236.0600000000002</v>
      </c>
    </row>
    <row r="11" spans="1:42">
      <c r="A11" t="s">
        <v>603</v>
      </c>
      <c r="B11" s="29" t="s">
        <v>604</v>
      </c>
      <c r="C11" t="s">
        <v>605</v>
      </c>
      <c r="D11" s="2" t="s">
        <v>598</v>
      </c>
      <c r="G11">
        <v>1</v>
      </c>
      <c r="H11" s="40">
        <v>7.0000000000000007E-2</v>
      </c>
      <c r="I11" s="40">
        <f t="shared" si="5"/>
        <v>7.0000000000000007E-2</v>
      </c>
      <c r="L11" s="72">
        <v>44761</v>
      </c>
      <c r="M11" s="42">
        <f t="shared" si="1"/>
        <v>7.6300000000000007E-2</v>
      </c>
      <c r="N11" s="2" t="s">
        <v>72</v>
      </c>
      <c r="P11" s="32">
        <f>M11*$P$2</f>
        <v>0.15260000000000001</v>
      </c>
      <c r="Q11" s="32">
        <f>P11*0.08</f>
        <v>1.2208000000000002E-2</v>
      </c>
      <c r="R11" s="292">
        <f>P11+Q11</f>
        <v>0.16480800000000001</v>
      </c>
      <c r="T11" s="33">
        <f>M11*$T$2</f>
        <v>0.22890000000000002</v>
      </c>
      <c r="U11" s="33">
        <f>T11*0.08</f>
        <v>1.8312000000000002E-2</v>
      </c>
      <c r="V11" s="50">
        <f>T11+U11</f>
        <v>0.24721200000000002</v>
      </c>
      <c r="X11" s="51">
        <f t="shared" ref="X11:AG13" si="10">$V11*X$3</f>
        <v>0.24721200000000002</v>
      </c>
      <c r="Y11" s="51">
        <f t="shared" si="10"/>
        <v>0.49442400000000003</v>
      </c>
      <c r="Z11" s="51">
        <f t="shared" si="10"/>
        <v>0.74163600000000007</v>
      </c>
      <c r="AA11" s="51">
        <f t="shared" si="10"/>
        <v>0.98884800000000006</v>
      </c>
      <c r="AB11" s="51">
        <f t="shared" si="10"/>
        <v>1.2360600000000002</v>
      </c>
      <c r="AC11" s="51">
        <f t="shared" si="10"/>
        <v>1.4832720000000001</v>
      </c>
      <c r="AD11" s="51">
        <f t="shared" si="10"/>
        <v>1.7304840000000001</v>
      </c>
      <c r="AE11" s="51">
        <f t="shared" si="10"/>
        <v>1.9776960000000001</v>
      </c>
      <c r="AF11" s="51">
        <f t="shared" si="10"/>
        <v>2.2249080000000001</v>
      </c>
      <c r="AG11" s="51">
        <f t="shared" si="10"/>
        <v>2.4721200000000003</v>
      </c>
      <c r="AH11" s="51">
        <f t="shared" si="4"/>
        <v>4.9442400000000006</v>
      </c>
      <c r="AI11" s="51">
        <f t="shared" si="4"/>
        <v>7.4163600000000001</v>
      </c>
      <c r="AJ11" s="51">
        <f t="shared" si="4"/>
        <v>9.8884800000000013</v>
      </c>
      <c r="AK11" s="51">
        <f t="shared" si="4"/>
        <v>12.360600000000002</v>
      </c>
      <c r="AL11" s="51">
        <f t="shared" si="4"/>
        <v>24.721200000000003</v>
      </c>
      <c r="AM11" s="51">
        <f t="shared" si="4"/>
        <v>49.442400000000006</v>
      </c>
      <c r="AN11" s="51">
        <f t="shared" ref="AN11:AP13" si="11">$V11*AN$3</f>
        <v>74.163600000000002</v>
      </c>
      <c r="AO11" s="51">
        <f t="shared" si="11"/>
        <v>98.884800000000013</v>
      </c>
      <c r="AP11" s="51">
        <f t="shared" si="11"/>
        <v>123.60600000000001</v>
      </c>
    </row>
    <row r="12" spans="1:42">
      <c r="A12" t="s">
        <v>606</v>
      </c>
      <c r="B12" s="29" t="s">
        <v>607</v>
      </c>
      <c r="D12" s="2" t="s">
        <v>598</v>
      </c>
      <c r="G12">
        <v>1</v>
      </c>
      <c r="H12" s="40">
        <v>5.95</v>
      </c>
      <c r="I12" s="40">
        <f t="shared" si="5"/>
        <v>5.95</v>
      </c>
      <c r="L12" s="72">
        <v>44761</v>
      </c>
      <c r="M12" s="42">
        <f t="shared" si="1"/>
        <v>6.4855000000000009</v>
      </c>
      <c r="N12" s="2" t="s">
        <v>72</v>
      </c>
      <c r="P12" s="32">
        <f>M12*$P$2</f>
        <v>12.971000000000002</v>
      </c>
      <c r="Q12" s="32">
        <f>P12*0.08</f>
        <v>1.0376800000000002</v>
      </c>
      <c r="R12" s="292">
        <f>P12+Q12</f>
        <v>14.008680000000002</v>
      </c>
      <c r="T12" s="33">
        <f>M12*$T$2</f>
        <v>19.456500000000002</v>
      </c>
      <c r="U12" s="33">
        <f>T12*0.08</f>
        <v>1.5565200000000001</v>
      </c>
      <c r="V12" s="50">
        <f>T12+U12</f>
        <v>21.013020000000001</v>
      </c>
      <c r="X12" s="51">
        <f t="shared" si="10"/>
        <v>21.013020000000001</v>
      </c>
      <c r="Y12" s="51">
        <f t="shared" si="10"/>
        <v>42.026040000000002</v>
      </c>
      <c r="Z12" s="51">
        <f t="shared" si="10"/>
        <v>63.039060000000006</v>
      </c>
      <c r="AA12" s="51">
        <f t="shared" si="10"/>
        <v>84.052080000000004</v>
      </c>
      <c r="AB12" s="51">
        <f t="shared" si="10"/>
        <v>105.0651</v>
      </c>
      <c r="AC12" s="51">
        <f t="shared" si="10"/>
        <v>126.07812000000001</v>
      </c>
      <c r="AD12" s="51">
        <f t="shared" si="10"/>
        <v>147.09114</v>
      </c>
      <c r="AE12" s="51">
        <f t="shared" si="10"/>
        <v>168.10416000000001</v>
      </c>
      <c r="AF12" s="51">
        <f t="shared" si="10"/>
        <v>189.11718000000002</v>
      </c>
      <c r="AG12" s="51">
        <f t="shared" si="10"/>
        <v>210.1302</v>
      </c>
      <c r="AH12" s="51">
        <f t="shared" si="4"/>
        <v>420.2604</v>
      </c>
      <c r="AI12" s="51">
        <f t="shared" si="4"/>
        <v>630.39060000000006</v>
      </c>
      <c r="AJ12" s="51">
        <f t="shared" si="4"/>
        <v>840.52080000000001</v>
      </c>
      <c r="AK12" s="51">
        <f t="shared" si="4"/>
        <v>1050.6510000000001</v>
      </c>
      <c r="AL12" s="51">
        <f t="shared" si="4"/>
        <v>2101.3020000000001</v>
      </c>
      <c r="AM12" s="51">
        <f t="shared" si="4"/>
        <v>4202.6040000000003</v>
      </c>
      <c r="AN12" s="51">
        <f t="shared" si="11"/>
        <v>6303.9059999999999</v>
      </c>
      <c r="AO12" s="51">
        <f t="shared" si="11"/>
        <v>8405.2080000000005</v>
      </c>
      <c r="AP12" s="51">
        <f t="shared" si="11"/>
        <v>10506.51</v>
      </c>
    </row>
    <row r="13" spans="1:42">
      <c r="A13" t="s">
        <v>608</v>
      </c>
      <c r="B13" s="29" t="s">
        <v>609</v>
      </c>
      <c r="C13" t="s">
        <v>610</v>
      </c>
      <c r="D13" s="2" t="s">
        <v>598</v>
      </c>
      <c r="G13">
        <v>1</v>
      </c>
      <c r="H13" s="40">
        <v>4</v>
      </c>
      <c r="I13" s="40">
        <f t="shared" si="5"/>
        <v>4</v>
      </c>
      <c r="L13" s="72">
        <v>44859</v>
      </c>
      <c r="M13" s="42">
        <f t="shared" si="1"/>
        <v>4.3600000000000003</v>
      </c>
      <c r="N13" s="2" t="s">
        <v>72</v>
      </c>
      <c r="P13" s="32">
        <f>M13*$P$2</f>
        <v>8.7200000000000006</v>
      </c>
      <c r="Q13" s="32">
        <f>P13*0.08</f>
        <v>0.69760000000000011</v>
      </c>
      <c r="R13" s="292">
        <f>P13+Q13</f>
        <v>9.4176000000000002</v>
      </c>
      <c r="T13" s="33">
        <f>M13*$T$2</f>
        <v>13.080000000000002</v>
      </c>
      <c r="U13" s="33">
        <f>T13*0.08</f>
        <v>1.0464000000000002</v>
      </c>
      <c r="V13" s="50">
        <f>T13+U13</f>
        <v>14.126400000000002</v>
      </c>
      <c r="X13" s="51">
        <f t="shared" si="10"/>
        <v>14.126400000000002</v>
      </c>
      <c r="Y13" s="51">
        <f t="shared" si="10"/>
        <v>28.252800000000004</v>
      </c>
      <c r="Z13" s="51">
        <f t="shared" si="10"/>
        <v>42.379200000000004</v>
      </c>
      <c r="AA13" s="51">
        <f t="shared" si="10"/>
        <v>56.505600000000008</v>
      </c>
      <c r="AB13" s="51">
        <f t="shared" si="10"/>
        <v>70.632000000000005</v>
      </c>
      <c r="AC13" s="51">
        <f t="shared" si="10"/>
        <v>84.758400000000009</v>
      </c>
      <c r="AD13" s="51">
        <f t="shared" si="10"/>
        <v>98.884800000000013</v>
      </c>
      <c r="AE13" s="51">
        <f t="shared" si="10"/>
        <v>113.01120000000002</v>
      </c>
      <c r="AF13" s="51">
        <f t="shared" si="10"/>
        <v>127.13760000000002</v>
      </c>
      <c r="AG13" s="51">
        <f t="shared" si="10"/>
        <v>141.26400000000001</v>
      </c>
      <c r="AH13" s="51">
        <f t="shared" si="4"/>
        <v>282.52800000000002</v>
      </c>
      <c r="AI13" s="51">
        <f t="shared" si="4"/>
        <v>423.79200000000009</v>
      </c>
      <c r="AJ13" s="51">
        <f t="shared" si="4"/>
        <v>565.05600000000004</v>
      </c>
      <c r="AK13" s="51">
        <f t="shared" si="4"/>
        <v>706.32</v>
      </c>
      <c r="AL13" s="51">
        <f t="shared" si="4"/>
        <v>1412.64</v>
      </c>
      <c r="AM13" s="51">
        <f t="shared" si="4"/>
        <v>2825.28</v>
      </c>
      <c r="AN13" s="51">
        <f t="shared" si="11"/>
        <v>4237.920000000001</v>
      </c>
      <c r="AO13" s="51">
        <f t="shared" si="11"/>
        <v>5650.56</v>
      </c>
      <c r="AP13" s="51">
        <f t="shared" si="11"/>
        <v>7063.2000000000007</v>
      </c>
    </row>
    <row r="14" spans="1:42">
      <c r="A14" t="s">
        <v>611</v>
      </c>
      <c r="B14" s="29" t="s">
        <v>612</v>
      </c>
      <c r="D14" s="2" t="s">
        <v>588</v>
      </c>
      <c r="G14">
        <v>1</v>
      </c>
      <c r="H14" s="40">
        <v>0.32</v>
      </c>
      <c r="I14" s="40">
        <f t="shared" si="5"/>
        <v>0.32</v>
      </c>
      <c r="L14" s="72">
        <v>44761</v>
      </c>
      <c r="M14" s="42">
        <f t="shared" si="1"/>
        <v>0.34880000000000005</v>
      </c>
      <c r="N14" s="2" t="s">
        <v>72</v>
      </c>
      <c r="P14" s="32">
        <f t="shared" si="2"/>
        <v>0.69760000000000011</v>
      </c>
      <c r="Q14" s="32">
        <f t="shared" si="6"/>
        <v>5.580800000000001E-2</v>
      </c>
      <c r="R14" s="292">
        <f t="shared" si="7"/>
        <v>0.75340800000000008</v>
      </c>
      <c r="T14" s="33">
        <f t="shared" si="3"/>
        <v>1.0464000000000002</v>
      </c>
      <c r="U14" s="33">
        <f t="shared" si="8"/>
        <v>8.3712000000000023E-2</v>
      </c>
      <c r="V14" s="50">
        <f t="shared" si="9"/>
        <v>1.1301120000000002</v>
      </c>
      <c r="X14" s="51">
        <f t="shared" si="4"/>
        <v>1.1301120000000002</v>
      </c>
      <c r="Y14" s="51">
        <f t="shared" si="0"/>
        <v>2.2602240000000005</v>
      </c>
      <c r="Z14" s="51">
        <f t="shared" si="0"/>
        <v>3.3903360000000005</v>
      </c>
      <c r="AA14" s="51">
        <f t="shared" si="0"/>
        <v>4.5204480000000009</v>
      </c>
      <c r="AB14" s="51">
        <f t="shared" si="0"/>
        <v>5.6505600000000014</v>
      </c>
      <c r="AC14" s="51">
        <f t="shared" si="0"/>
        <v>6.7806720000000009</v>
      </c>
      <c r="AD14" s="51">
        <f t="shared" si="0"/>
        <v>7.9107840000000014</v>
      </c>
      <c r="AE14" s="51">
        <f t="shared" si="0"/>
        <v>9.0408960000000018</v>
      </c>
      <c r="AF14" s="51">
        <f t="shared" si="0"/>
        <v>10.171008000000002</v>
      </c>
      <c r="AG14" s="51">
        <f t="shared" si="0"/>
        <v>11.301120000000003</v>
      </c>
      <c r="AH14" s="51">
        <f t="shared" si="0"/>
        <v>22.602240000000005</v>
      </c>
      <c r="AI14" s="51">
        <f t="shared" si="0"/>
        <v>33.903360000000006</v>
      </c>
      <c r="AJ14" s="51">
        <f t="shared" si="0"/>
        <v>45.204480000000011</v>
      </c>
      <c r="AK14" s="51">
        <f t="shared" si="0"/>
        <v>56.505600000000008</v>
      </c>
      <c r="AL14" s="51">
        <f t="shared" si="0"/>
        <v>113.01120000000002</v>
      </c>
      <c r="AM14" s="51">
        <f t="shared" si="0"/>
        <v>226.02240000000003</v>
      </c>
      <c r="AN14" s="51">
        <f t="shared" si="0"/>
        <v>339.03360000000009</v>
      </c>
      <c r="AO14" s="51">
        <f t="shared" si="0"/>
        <v>452.04480000000007</v>
      </c>
      <c r="AP14" s="51">
        <f t="shared" si="0"/>
        <v>565.05600000000015</v>
      </c>
    </row>
    <row r="15" spans="1:42">
      <c r="A15" t="s">
        <v>613</v>
      </c>
      <c r="B15" s="29">
        <v>12455525</v>
      </c>
      <c r="D15" s="2" t="s">
        <v>588</v>
      </c>
      <c r="G15">
        <v>1</v>
      </c>
      <c r="H15" s="40">
        <v>1.77</v>
      </c>
      <c r="I15" s="40">
        <f t="shared" si="5"/>
        <v>1.77</v>
      </c>
      <c r="L15" s="72">
        <v>44874</v>
      </c>
      <c r="M15" s="42">
        <f>SUM(J15:K15)+H15*$M$1</f>
        <v>1.9293000000000002</v>
      </c>
      <c r="N15" s="2" t="s">
        <v>72</v>
      </c>
      <c r="Q15" s="32"/>
      <c r="R15" s="292"/>
      <c r="T15" s="33"/>
      <c r="U15" s="33"/>
      <c r="V15" s="50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</row>
    <row r="16" spans="1:42">
      <c r="A16" t="s">
        <v>614</v>
      </c>
      <c r="B16" s="29">
        <v>12544522</v>
      </c>
      <c r="D16" s="2" t="s">
        <v>588</v>
      </c>
      <c r="G16">
        <v>1</v>
      </c>
      <c r="H16" s="40">
        <v>0.61</v>
      </c>
      <c r="I16" s="40">
        <f t="shared" si="5"/>
        <v>0.61</v>
      </c>
      <c r="L16" s="72">
        <v>44874</v>
      </c>
      <c r="M16" s="42">
        <f>SUM(J16:K16)+H16*$M$1</f>
        <v>0.66490000000000005</v>
      </c>
      <c r="N16" s="2" t="s">
        <v>72</v>
      </c>
      <c r="Q16" s="32"/>
      <c r="R16" s="292"/>
      <c r="T16" s="33"/>
      <c r="U16" s="33"/>
      <c r="V16" s="50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</row>
    <row r="17" spans="1:42">
      <c r="A17" t="s">
        <v>615</v>
      </c>
      <c r="D17" s="2" t="s">
        <v>616</v>
      </c>
      <c r="G17">
        <v>1</v>
      </c>
      <c r="H17" s="40">
        <v>2.56</v>
      </c>
      <c r="I17" s="40">
        <f t="shared" si="5"/>
        <v>2.56</v>
      </c>
      <c r="L17" s="72">
        <v>44859</v>
      </c>
      <c r="M17" s="42">
        <f t="shared" si="1"/>
        <v>2.7904000000000004</v>
      </c>
      <c r="N17" s="2" t="s">
        <v>79</v>
      </c>
      <c r="P17" s="32">
        <f t="shared" si="2"/>
        <v>5.5808000000000009</v>
      </c>
      <c r="Q17" s="32">
        <f t="shared" si="6"/>
        <v>0.44646400000000008</v>
      </c>
      <c r="R17" s="292">
        <f t="shared" si="7"/>
        <v>6.0272640000000006</v>
      </c>
      <c r="T17" s="33">
        <f t="shared" si="3"/>
        <v>8.3712000000000018</v>
      </c>
      <c r="U17" s="33">
        <f t="shared" si="8"/>
        <v>0.66969600000000018</v>
      </c>
      <c r="V17" s="50">
        <f t="shared" si="9"/>
        <v>9.0408960000000018</v>
      </c>
      <c r="X17" s="51">
        <f t="shared" si="4"/>
        <v>9.0408960000000018</v>
      </c>
      <c r="Y17" s="51">
        <f t="shared" si="4"/>
        <v>18.081792000000004</v>
      </c>
      <c r="Z17" s="51">
        <f t="shared" si="4"/>
        <v>27.122688000000004</v>
      </c>
      <c r="AA17" s="51">
        <f t="shared" si="4"/>
        <v>36.163584000000007</v>
      </c>
      <c r="AB17" s="51">
        <f t="shared" si="4"/>
        <v>45.204480000000011</v>
      </c>
      <c r="AC17" s="51">
        <f t="shared" si="4"/>
        <v>54.245376000000007</v>
      </c>
      <c r="AD17" s="51">
        <f t="shared" si="4"/>
        <v>63.286272000000011</v>
      </c>
      <c r="AE17" s="51">
        <f t="shared" si="4"/>
        <v>72.327168000000015</v>
      </c>
      <c r="AF17" s="51">
        <f t="shared" si="4"/>
        <v>81.368064000000018</v>
      </c>
      <c r="AG17" s="51">
        <f t="shared" si="4"/>
        <v>90.408960000000022</v>
      </c>
      <c r="AH17" s="51">
        <f t="shared" si="4"/>
        <v>180.81792000000004</v>
      </c>
      <c r="AI17" s="51">
        <f t="shared" si="4"/>
        <v>271.22688000000005</v>
      </c>
      <c r="AJ17" s="51">
        <f t="shared" si="4"/>
        <v>361.63584000000009</v>
      </c>
      <c r="AK17" s="51">
        <f t="shared" si="4"/>
        <v>452.04480000000007</v>
      </c>
      <c r="AL17" s="51">
        <f t="shared" si="4"/>
        <v>904.08960000000013</v>
      </c>
      <c r="AM17" s="51">
        <f t="shared" si="4"/>
        <v>1808.1792000000003</v>
      </c>
      <c r="AN17" s="51">
        <f t="shared" si="0"/>
        <v>2712.2688000000007</v>
      </c>
      <c r="AO17" s="51">
        <f t="shared" si="0"/>
        <v>3616.3584000000005</v>
      </c>
      <c r="AP17" s="51">
        <f t="shared" si="0"/>
        <v>4520.4480000000012</v>
      </c>
    </row>
    <row r="18" spans="1:42">
      <c r="A18" t="s">
        <v>617</v>
      </c>
      <c r="D18" s="2" t="s">
        <v>616</v>
      </c>
      <c r="G18">
        <v>1</v>
      </c>
      <c r="H18" s="40">
        <v>4.8600000000000003</v>
      </c>
      <c r="I18" s="40">
        <f t="shared" si="5"/>
        <v>4.8600000000000003</v>
      </c>
      <c r="L18" s="72">
        <v>44859</v>
      </c>
      <c r="M18" s="42">
        <f t="shared" si="1"/>
        <v>5.2974000000000006</v>
      </c>
      <c r="N18" s="2" t="s">
        <v>79</v>
      </c>
      <c r="P18" s="32">
        <f t="shared" si="2"/>
        <v>10.594800000000001</v>
      </c>
      <c r="Q18" s="32">
        <f t="shared" si="6"/>
        <v>0.84758400000000012</v>
      </c>
      <c r="R18" s="292">
        <f t="shared" si="7"/>
        <v>11.442384000000001</v>
      </c>
      <c r="T18" s="33">
        <f t="shared" si="3"/>
        <v>15.892200000000003</v>
      </c>
      <c r="U18" s="33">
        <f t="shared" si="8"/>
        <v>1.2713760000000003</v>
      </c>
      <c r="V18" s="50">
        <f t="shared" si="9"/>
        <v>17.163576000000003</v>
      </c>
      <c r="X18" s="51">
        <f t="shared" si="4"/>
        <v>17.163576000000003</v>
      </c>
      <c r="Y18" s="51">
        <f t="shared" si="0"/>
        <v>34.327152000000005</v>
      </c>
      <c r="Z18" s="51">
        <f t="shared" si="0"/>
        <v>51.490728000000004</v>
      </c>
      <c r="AA18" s="51">
        <f t="shared" si="0"/>
        <v>68.65430400000001</v>
      </c>
      <c r="AB18" s="51">
        <f t="shared" si="0"/>
        <v>85.817880000000017</v>
      </c>
      <c r="AC18" s="51">
        <f t="shared" si="0"/>
        <v>102.98145600000001</v>
      </c>
      <c r="AD18" s="51">
        <f t="shared" si="0"/>
        <v>120.14503200000001</v>
      </c>
      <c r="AE18" s="51">
        <f t="shared" si="0"/>
        <v>137.30860800000002</v>
      </c>
      <c r="AF18" s="51">
        <f t="shared" si="0"/>
        <v>154.47218400000003</v>
      </c>
      <c r="AG18" s="51">
        <f t="shared" si="0"/>
        <v>171.63576000000003</v>
      </c>
      <c r="AH18" s="51">
        <f t="shared" si="0"/>
        <v>343.27152000000007</v>
      </c>
      <c r="AI18" s="51">
        <f t="shared" si="0"/>
        <v>514.90728000000013</v>
      </c>
      <c r="AJ18" s="51">
        <f t="shared" si="0"/>
        <v>686.54304000000013</v>
      </c>
      <c r="AK18" s="51">
        <f t="shared" si="0"/>
        <v>858.17880000000014</v>
      </c>
      <c r="AL18" s="51">
        <f t="shared" si="0"/>
        <v>1716.3576000000003</v>
      </c>
      <c r="AM18" s="51">
        <f t="shared" si="0"/>
        <v>3432.7152000000006</v>
      </c>
      <c r="AN18" s="51">
        <f t="shared" si="0"/>
        <v>5149.0728000000008</v>
      </c>
      <c r="AO18" s="51">
        <f t="shared" si="0"/>
        <v>6865.4304000000011</v>
      </c>
      <c r="AP18" s="51">
        <f t="shared" si="0"/>
        <v>8581.7880000000005</v>
      </c>
    </row>
    <row r="19" spans="1:42">
      <c r="A19" t="s">
        <v>618</v>
      </c>
      <c r="D19" s="2" t="s">
        <v>619</v>
      </c>
      <c r="G19">
        <v>1</v>
      </c>
      <c r="H19" s="40">
        <v>2.06</v>
      </c>
      <c r="I19" s="40">
        <f t="shared" si="5"/>
        <v>2.06</v>
      </c>
      <c r="L19" s="72">
        <v>44859</v>
      </c>
      <c r="M19" s="42">
        <f t="shared" si="1"/>
        <v>2.2454000000000001</v>
      </c>
      <c r="N19" s="2" t="s">
        <v>109</v>
      </c>
      <c r="P19" s="32">
        <f t="shared" si="2"/>
        <v>4.4908000000000001</v>
      </c>
      <c r="Q19" s="32">
        <f t="shared" si="6"/>
        <v>0.35926400000000003</v>
      </c>
      <c r="R19" s="292">
        <f t="shared" si="7"/>
        <v>4.8500639999999997</v>
      </c>
      <c r="T19" s="33">
        <f t="shared" si="3"/>
        <v>6.7362000000000002</v>
      </c>
      <c r="U19" s="33">
        <f t="shared" si="8"/>
        <v>0.53889600000000004</v>
      </c>
      <c r="V19" s="50">
        <f t="shared" si="9"/>
        <v>7.2750960000000005</v>
      </c>
      <c r="X19" s="51">
        <f t="shared" si="4"/>
        <v>7.2750960000000005</v>
      </c>
      <c r="Y19" s="51">
        <f t="shared" si="0"/>
        <v>14.550192000000001</v>
      </c>
      <c r="Z19" s="51">
        <f t="shared" si="0"/>
        <v>21.825288</v>
      </c>
      <c r="AA19" s="51">
        <f t="shared" si="0"/>
        <v>29.100384000000002</v>
      </c>
      <c r="AB19" s="51">
        <f t="shared" si="0"/>
        <v>36.375480000000003</v>
      </c>
      <c r="AC19" s="51">
        <f t="shared" si="0"/>
        <v>43.650576000000001</v>
      </c>
      <c r="AD19" s="51">
        <f t="shared" si="0"/>
        <v>50.925672000000006</v>
      </c>
      <c r="AE19" s="51">
        <f t="shared" si="0"/>
        <v>58.200768000000004</v>
      </c>
      <c r="AF19" s="51">
        <f t="shared" si="0"/>
        <v>65.475864000000001</v>
      </c>
      <c r="AG19" s="51">
        <f t="shared" si="0"/>
        <v>72.750960000000006</v>
      </c>
      <c r="AH19" s="51">
        <f t="shared" si="0"/>
        <v>145.50192000000001</v>
      </c>
      <c r="AI19" s="51">
        <f t="shared" si="0"/>
        <v>218.25288</v>
      </c>
      <c r="AJ19" s="51">
        <f t="shared" si="0"/>
        <v>291.00384000000003</v>
      </c>
      <c r="AK19" s="51">
        <f t="shared" si="0"/>
        <v>363.75480000000005</v>
      </c>
      <c r="AL19" s="51">
        <f t="shared" si="0"/>
        <v>727.50960000000009</v>
      </c>
      <c r="AM19" s="51">
        <f t="shared" si="0"/>
        <v>1455.0192000000002</v>
      </c>
      <c r="AN19" s="51">
        <f t="shared" si="0"/>
        <v>2182.5288</v>
      </c>
      <c r="AO19" s="51">
        <f t="shared" si="0"/>
        <v>2910.0384000000004</v>
      </c>
      <c r="AP19" s="51">
        <f t="shared" si="0"/>
        <v>3637.5480000000002</v>
      </c>
    </row>
    <row r="20" spans="1:42">
      <c r="A20" t="s">
        <v>618</v>
      </c>
      <c r="D20" s="2" t="s">
        <v>620</v>
      </c>
      <c r="G20">
        <v>1</v>
      </c>
      <c r="H20" s="40">
        <v>1.5</v>
      </c>
      <c r="I20" s="40">
        <f t="shared" si="5"/>
        <v>1.5</v>
      </c>
      <c r="L20" s="72">
        <v>45035</v>
      </c>
      <c r="M20" s="42">
        <f t="shared" si="1"/>
        <v>1.6350000000000002</v>
      </c>
      <c r="N20" s="2" t="s">
        <v>109</v>
      </c>
      <c r="Q20" s="32"/>
      <c r="R20" s="292"/>
      <c r="T20" s="33"/>
      <c r="U20" s="33"/>
      <c r="V20" s="50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</row>
    <row r="21" spans="1:42">
      <c r="A21" t="s">
        <v>621</v>
      </c>
      <c r="D21" s="2" t="s">
        <v>620</v>
      </c>
      <c r="G21">
        <v>1</v>
      </c>
      <c r="H21" s="40">
        <v>1.89</v>
      </c>
      <c r="I21" s="40">
        <v>1</v>
      </c>
      <c r="L21" s="72">
        <v>45035</v>
      </c>
      <c r="M21" s="42">
        <f t="shared" si="1"/>
        <v>2.0601000000000003</v>
      </c>
      <c r="N21" s="2" t="s">
        <v>79</v>
      </c>
      <c r="Q21" s="32"/>
      <c r="R21" s="292"/>
      <c r="T21" s="33"/>
      <c r="U21" s="33"/>
      <c r="V21" s="50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</row>
    <row r="22" spans="1:42">
      <c r="A22" t="s">
        <v>622</v>
      </c>
      <c r="D22" s="2" t="s">
        <v>620</v>
      </c>
      <c r="G22">
        <v>1</v>
      </c>
      <c r="H22" s="40">
        <v>0.31</v>
      </c>
      <c r="I22" s="40">
        <v>1</v>
      </c>
      <c r="L22" s="72">
        <v>45035</v>
      </c>
      <c r="M22" s="42">
        <f t="shared" si="1"/>
        <v>0.33790000000000003</v>
      </c>
      <c r="N22" s="2" t="s">
        <v>79</v>
      </c>
      <c r="Q22" s="32"/>
      <c r="R22" s="292"/>
      <c r="T22" s="33"/>
      <c r="U22" s="33"/>
      <c r="V22" s="50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</row>
    <row r="23" spans="1:42">
      <c r="A23" t="s">
        <v>623</v>
      </c>
      <c r="D23" s="2" t="s">
        <v>620</v>
      </c>
      <c r="G23">
        <v>1</v>
      </c>
      <c r="H23" s="40">
        <v>0.37</v>
      </c>
      <c r="I23" s="40">
        <v>1</v>
      </c>
      <c r="L23" s="72">
        <v>45035</v>
      </c>
      <c r="M23" s="42">
        <f t="shared" si="1"/>
        <v>0.40330000000000005</v>
      </c>
      <c r="N23" s="2" t="s">
        <v>122</v>
      </c>
      <c r="Q23" s="32"/>
      <c r="R23" s="292"/>
      <c r="T23" s="33"/>
      <c r="U23" s="33"/>
      <c r="V23" s="50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</row>
    <row r="24" spans="1:42">
      <c r="A24" t="s">
        <v>624</v>
      </c>
      <c r="G24">
        <v>1</v>
      </c>
      <c r="H24" s="40">
        <v>0.11</v>
      </c>
      <c r="I24" s="40">
        <v>1</v>
      </c>
      <c r="L24" s="72">
        <v>45035</v>
      </c>
      <c r="M24" s="42">
        <f t="shared" si="1"/>
        <v>0.11990000000000001</v>
      </c>
      <c r="N24" s="2" t="s">
        <v>122</v>
      </c>
      <c r="Q24" s="32"/>
      <c r="R24" s="292"/>
      <c r="T24" s="33"/>
      <c r="U24" s="33"/>
      <c r="V24" s="50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</row>
    <row r="25" spans="1:42">
      <c r="A25" t="s">
        <v>625</v>
      </c>
      <c r="D25" s="2" t="s">
        <v>616</v>
      </c>
      <c r="G25">
        <v>20</v>
      </c>
      <c r="H25" s="40">
        <v>2.76</v>
      </c>
      <c r="I25" s="40">
        <f t="shared" si="5"/>
        <v>55.199999999999996</v>
      </c>
      <c r="L25" s="72">
        <v>44859</v>
      </c>
      <c r="M25" s="42">
        <f t="shared" si="1"/>
        <v>3.0084</v>
      </c>
      <c r="N25" s="2" t="s">
        <v>79</v>
      </c>
      <c r="P25" s="32">
        <f t="shared" si="2"/>
        <v>6.0167999999999999</v>
      </c>
      <c r="Q25" s="32">
        <f t="shared" si="6"/>
        <v>0.48134399999999999</v>
      </c>
      <c r="R25" s="292">
        <f t="shared" si="7"/>
        <v>6.4981439999999999</v>
      </c>
      <c r="T25" s="33">
        <f t="shared" si="3"/>
        <v>9.0251999999999999</v>
      </c>
      <c r="U25" s="33">
        <f t="shared" si="8"/>
        <v>0.72201599999999999</v>
      </c>
      <c r="V25" s="50">
        <f t="shared" si="9"/>
        <v>9.7472159999999999</v>
      </c>
      <c r="X25" s="51">
        <f t="shared" si="4"/>
        <v>9.7472159999999999</v>
      </c>
      <c r="Y25" s="51">
        <f t="shared" si="0"/>
        <v>19.494432</v>
      </c>
      <c r="Z25" s="51">
        <f t="shared" si="0"/>
        <v>29.241647999999998</v>
      </c>
      <c r="AA25" s="51">
        <f t="shared" si="0"/>
        <v>38.988864</v>
      </c>
      <c r="AB25" s="51">
        <f t="shared" si="0"/>
        <v>48.736080000000001</v>
      </c>
      <c r="AC25" s="51">
        <f t="shared" si="0"/>
        <v>58.483295999999996</v>
      </c>
      <c r="AD25" s="51">
        <f t="shared" si="0"/>
        <v>68.230512000000004</v>
      </c>
      <c r="AE25" s="51">
        <f t="shared" si="0"/>
        <v>77.977727999999999</v>
      </c>
      <c r="AF25" s="51">
        <f t="shared" si="0"/>
        <v>87.724943999999994</v>
      </c>
      <c r="AG25" s="51">
        <f t="shared" si="0"/>
        <v>97.472160000000002</v>
      </c>
      <c r="AH25" s="51">
        <f t="shared" si="0"/>
        <v>194.94432</v>
      </c>
      <c r="AI25" s="51">
        <f t="shared" si="0"/>
        <v>292.41647999999998</v>
      </c>
      <c r="AJ25" s="51">
        <f t="shared" si="0"/>
        <v>389.88864000000001</v>
      </c>
      <c r="AK25" s="51">
        <f t="shared" si="0"/>
        <v>487.36079999999998</v>
      </c>
      <c r="AL25" s="51">
        <f t="shared" si="0"/>
        <v>974.72159999999997</v>
      </c>
      <c r="AM25" s="51">
        <f t="shared" si="0"/>
        <v>1949.4431999999999</v>
      </c>
      <c r="AN25" s="51">
        <f t="shared" si="0"/>
        <v>2924.1648</v>
      </c>
      <c r="AO25" s="51">
        <f t="shared" si="0"/>
        <v>3898.8863999999999</v>
      </c>
      <c r="AP25" s="51">
        <f t="shared" si="0"/>
        <v>4873.6080000000002</v>
      </c>
    </row>
    <row r="26" spans="1:42">
      <c r="A26" t="s">
        <v>626</v>
      </c>
      <c r="D26" s="2" t="s">
        <v>627</v>
      </c>
      <c r="G26">
        <v>1</v>
      </c>
      <c r="H26" s="40">
        <v>0.08</v>
      </c>
      <c r="I26" s="40">
        <f t="shared" si="5"/>
        <v>0.08</v>
      </c>
      <c r="L26" s="72">
        <v>44859</v>
      </c>
      <c r="M26" s="42">
        <f t="shared" si="1"/>
        <v>8.7200000000000014E-2</v>
      </c>
      <c r="N26" s="2" t="s">
        <v>122</v>
      </c>
      <c r="P26" s="32">
        <f t="shared" si="2"/>
        <v>0.17440000000000003</v>
      </c>
      <c r="Q26" s="32">
        <f t="shared" si="6"/>
        <v>1.3952000000000003E-2</v>
      </c>
      <c r="R26" s="292">
        <f t="shared" si="7"/>
        <v>0.18835200000000002</v>
      </c>
      <c r="T26" s="33">
        <f t="shared" si="3"/>
        <v>0.26160000000000005</v>
      </c>
      <c r="U26" s="33">
        <f t="shared" si="8"/>
        <v>2.0928000000000006E-2</v>
      </c>
      <c r="V26" s="50">
        <f t="shared" si="9"/>
        <v>0.28252800000000006</v>
      </c>
      <c r="X26" s="51">
        <f t="shared" si="4"/>
        <v>0.28252800000000006</v>
      </c>
      <c r="Y26" s="51">
        <f t="shared" si="0"/>
        <v>0.56505600000000011</v>
      </c>
      <c r="Z26" s="51">
        <f t="shared" si="0"/>
        <v>0.84758400000000012</v>
      </c>
      <c r="AA26" s="51">
        <f t="shared" si="0"/>
        <v>1.1301120000000002</v>
      </c>
      <c r="AB26" s="51">
        <f t="shared" si="0"/>
        <v>1.4126400000000003</v>
      </c>
      <c r="AC26" s="51">
        <f t="shared" si="0"/>
        <v>1.6951680000000002</v>
      </c>
      <c r="AD26" s="51">
        <f t="shared" si="0"/>
        <v>1.9776960000000003</v>
      </c>
      <c r="AE26" s="51">
        <f t="shared" si="0"/>
        <v>2.2602240000000005</v>
      </c>
      <c r="AF26" s="51">
        <f t="shared" si="0"/>
        <v>2.5427520000000006</v>
      </c>
      <c r="AG26" s="51">
        <f t="shared" si="0"/>
        <v>2.8252800000000007</v>
      </c>
      <c r="AH26" s="51">
        <f t="shared" si="0"/>
        <v>5.6505600000000014</v>
      </c>
      <c r="AI26" s="51">
        <f t="shared" si="0"/>
        <v>8.4758400000000016</v>
      </c>
      <c r="AJ26" s="51">
        <f t="shared" si="0"/>
        <v>11.301120000000003</v>
      </c>
      <c r="AK26" s="51">
        <f t="shared" si="0"/>
        <v>14.126400000000002</v>
      </c>
      <c r="AL26" s="51">
        <f t="shared" si="0"/>
        <v>28.252800000000004</v>
      </c>
      <c r="AM26" s="51">
        <f t="shared" si="0"/>
        <v>56.505600000000008</v>
      </c>
      <c r="AN26" s="51">
        <f t="shared" si="0"/>
        <v>84.758400000000023</v>
      </c>
      <c r="AO26" s="51">
        <f t="shared" si="0"/>
        <v>113.01120000000002</v>
      </c>
      <c r="AP26" s="51">
        <f t="shared" si="0"/>
        <v>141.26400000000004</v>
      </c>
    </row>
    <row r="27" spans="1:42">
      <c r="A27" t="s">
        <v>628</v>
      </c>
      <c r="D27" s="2" t="s">
        <v>598</v>
      </c>
      <c r="G27">
        <v>1</v>
      </c>
      <c r="H27" s="40">
        <v>0.45</v>
      </c>
      <c r="I27" s="40">
        <f t="shared" si="5"/>
        <v>0.45</v>
      </c>
      <c r="L27" s="72">
        <v>44859</v>
      </c>
      <c r="M27" s="42">
        <f t="shared" si="1"/>
        <v>0.49050000000000005</v>
      </c>
      <c r="N27" s="2" t="s">
        <v>122</v>
      </c>
      <c r="P27" s="32">
        <f t="shared" si="2"/>
        <v>0.98100000000000009</v>
      </c>
      <c r="Q27" s="32">
        <f t="shared" si="6"/>
        <v>7.8480000000000008E-2</v>
      </c>
      <c r="R27" s="292">
        <f t="shared" si="7"/>
        <v>1.0594800000000002</v>
      </c>
      <c r="T27" s="33">
        <f t="shared" si="3"/>
        <v>1.4715000000000003</v>
      </c>
      <c r="U27" s="33">
        <f t="shared" si="8"/>
        <v>0.11772000000000002</v>
      </c>
      <c r="V27" s="50">
        <f t="shared" si="9"/>
        <v>1.5892200000000003</v>
      </c>
      <c r="X27" s="51">
        <f t="shared" si="4"/>
        <v>1.5892200000000003</v>
      </c>
      <c r="Y27" s="51">
        <f t="shared" si="4"/>
        <v>3.1784400000000006</v>
      </c>
      <c r="Z27" s="51">
        <f t="shared" si="4"/>
        <v>4.7676600000000011</v>
      </c>
      <c r="AA27" s="51">
        <f t="shared" si="4"/>
        <v>6.3568800000000012</v>
      </c>
      <c r="AB27" s="51">
        <f t="shared" si="4"/>
        <v>7.9461000000000013</v>
      </c>
      <c r="AC27" s="51">
        <f t="shared" si="4"/>
        <v>9.5353200000000022</v>
      </c>
      <c r="AD27" s="51">
        <f t="shared" si="4"/>
        <v>11.124540000000001</v>
      </c>
      <c r="AE27" s="51">
        <f t="shared" si="4"/>
        <v>12.713760000000002</v>
      </c>
      <c r="AF27" s="51">
        <f t="shared" si="4"/>
        <v>14.302980000000003</v>
      </c>
      <c r="AG27" s="51">
        <f t="shared" si="4"/>
        <v>15.892200000000003</v>
      </c>
      <c r="AH27" s="51">
        <f t="shared" si="4"/>
        <v>31.784400000000005</v>
      </c>
      <c r="AI27" s="51">
        <f t="shared" si="4"/>
        <v>47.676600000000008</v>
      </c>
      <c r="AJ27" s="51">
        <f t="shared" si="4"/>
        <v>63.56880000000001</v>
      </c>
      <c r="AK27" s="51">
        <f t="shared" si="4"/>
        <v>79.461000000000013</v>
      </c>
      <c r="AL27" s="51">
        <f t="shared" si="4"/>
        <v>158.92200000000003</v>
      </c>
      <c r="AM27" s="51">
        <f t="shared" si="4"/>
        <v>317.84400000000005</v>
      </c>
      <c r="AN27" s="51">
        <f t="shared" si="0"/>
        <v>476.76600000000008</v>
      </c>
      <c r="AO27" s="51">
        <f t="shared" si="0"/>
        <v>635.6880000000001</v>
      </c>
      <c r="AP27" s="51">
        <f t="shared" si="0"/>
        <v>794.61000000000013</v>
      </c>
    </row>
    <row r="28" spans="1:42">
      <c r="A28" t="s">
        <v>629</v>
      </c>
      <c r="D28" s="2" t="s">
        <v>598</v>
      </c>
      <c r="G28">
        <v>1</v>
      </c>
      <c r="I28" s="40">
        <f t="shared" si="5"/>
        <v>0</v>
      </c>
      <c r="L28" s="72">
        <v>44859</v>
      </c>
      <c r="M28" s="42">
        <f t="shared" si="1"/>
        <v>0</v>
      </c>
      <c r="N28" s="2" t="s">
        <v>122</v>
      </c>
      <c r="P28" s="32">
        <f t="shared" si="2"/>
        <v>0</v>
      </c>
      <c r="Q28" s="32">
        <f t="shared" si="6"/>
        <v>0</v>
      </c>
      <c r="R28" s="292">
        <f t="shared" si="7"/>
        <v>0</v>
      </c>
      <c r="T28" s="33">
        <f t="shared" si="3"/>
        <v>0</v>
      </c>
      <c r="U28" s="33">
        <f t="shared" si="8"/>
        <v>0</v>
      </c>
      <c r="V28" s="50">
        <f t="shared" si="9"/>
        <v>0</v>
      </c>
      <c r="X28" s="51">
        <f t="shared" si="4"/>
        <v>0</v>
      </c>
      <c r="Y28" s="51">
        <f t="shared" si="4"/>
        <v>0</v>
      </c>
      <c r="Z28" s="51">
        <f t="shared" si="4"/>
        <v>0</v>
      </c>
      <c r="AA28" s="51">
        <f t="shared" si="4"/>
        <v>0</v>
      </c>
      <c r="AB28" s="51">
        <f t="shared" si="4"/>
        <v>0</v>
      </c>
      <c r="AC28" s="51">
        <f t="shared" si="4"/>
        <v>0</v>
      </c>
      <c r="AD28" s="51">
        <f t="shared" si="4"/>
        <v>0</v>
      </c>
      <c r="AE28" s="51">
        <f t="shared" si="4"/>
        <v>0</v>
      </c>
      <c r="AF28" s="51">
        <f t="shared" si="4"/>
        <v>0</v>
      </c>
      <c r="AG28" s="51">
        <f t="shared" si="4"/>
        <v>0</v>
      </c>
      <c r="AH28" s="51">
        <f t="shared" si="4"/>
        <v>0</v>
      </c>
      <c r="AI28" s="51">
        <f t="shared" si="4"/>
        <v>0</v>
      </c>
      <c r="AJ28" s="51">
        <f t="shared" si="4"/>
        <v>0</v>
      </c>
      <c r="AK28" s="51">
        <f t="shared" si="4"/>
        <v>0</v>
      </c>
      <c r="AL28" s="51">
        <f t="shared" si="4"/>
        <v>0</v>
      </c>
      <c r="AM28" s="51">
        <f t="shared" si="4"/>
        <v>0</v>
      </c>
      <c r="AN28" s="51">
        <f t="shared" si="0"/>
        <v>0</v>
      </c>
      <c r="AO28" s="51">
        <f t="shared" si="0"/>
        <v>0</v>
      </c>
      <c r="AP28" s="51">
        <f t="shared" si="0"/>
        <v>0</v>
      </c>
    </row>
    <row r="29" spans="1:42">
      <c r="A29" t="s">
        <v>630</v>
      </c>
      <c r="D29" s="2" t="s">
        <v>598</v>
      </c>
      <c r="G29">
        <v>1</v>
      </c>
      <c r="H29" s="40">
        <v>0.16</v>
      </c>
      <c r="I29" s="40">
        <f t="shared" si="5"/>
        <v>0.16</v>
      </c>
      <c r="L29" s="72">
        <v>44859</v>
      </c>
      <c r="M29" s="42">
        <f t="shared" si="1"/>
        <v>0.17440000000000003</v>
      </c>
      <c r="N29" s="2" t="s">
        <v>122</v>
      </c>
      <c r="P29" s="32">
        <f t="shared" si="2"/>
        <v>0.34880000000000005</v>
      </c>
      <c r="Q29" s="32">
        <f t="shared" si="6"/>
        <v>2.7904000000000005E-2</v>
      </c>
      <c r="R29" s="292">
        <f t="shared" si="7"/>
        <v>0.37670400000000004</v>
      </c>
      <c r="T29" s="33">
        <f t="shared" si="3"/>
        <v>0.52320000000000011</v>
      </c>
      <c r="U29" s="33">
        <f t="shared" si="8"/>
        <v>4.1856000000000011E-2</v>
      </c>
      <c r="V29" s="50">
        <f t="shared" si="9"/>
        <v>0.56505600000000011</v>
      </c>
      <c r="X29" s="51">
        <f t="shared" si="4"/>
        <v>0.56505600000000011</v>
      </c>
      <c r="Y29" s="51">
        <f t="shared" si="0"/>
        <v>1.1301120000000002</v>
      </c>
      <c r="Z29" s="51">
        <f t="shared" si="0"/>
        <v>1.6951680000000002</v>
      </c>
      <c r="AA29" s="51">
        <f t="shared" si="0"/>
        <v>2.2602240000000005</v>
      </c>
      <c r="AB29" s="51">
        <f t="shared" si="0"/>
        <v>2.8252800000000007</v>
      </c>
      <c r="AC29" s="51">
        <f t="shared" si="0"/>
        <v>3.3903360000000005</v>
      </c>
      <c r="AD29" s="51">
        <f t="shared" si="0"/>
        <v>3.9553920000000007</v>
      </c>
      <c r="AE29" s="51">
        <f t="shared" si="0"/>
        <v>4.5204480000000009</v>
      </c>
      <c r="AF29" s="51">
        <f t="shared" si="0"/>
        <v>5.0855040000000011</v>
      </c>
      <c r="AG29" s="51">
        <f t="shared" si="0"/>
        <v>5.6505600000000014</v>
      </c>
      <c r="AH29" s="51">
        <f t="shared" si="0"/>
        <v>11.301120000000003</v>
      </c>
      <c r="AI29" s="51">
        <f t="shared" si="0"/>
        <v>16.951680000000003</v>
      </c>
      <c r="AJ29" s="51">
        <f t="shared" si="0"/>
        <v>22.602240000000005</v>
      </c>
      <c r="AK29" s="51">
        <f t="shared" si="0"/>
        <v>28.252800000000004</v>
      </c>
      <c r="AL29" s="51">
        <f t="shared" si="0"/>
        <v>56.505600000000008</v>
      </c>
      <c r="AM29" s="51">
        <f t="shared" si="0"/>
        <v>113.01120000000002</v>
      </c>
      <c r="AN29" s="51">
        <f t="shared" si="0"/>
        <v>169.51680000000005</v>
      </c>
      <c r="AO29" s="51">
        <f t="shared" si="0"/>
        <v>226.02240000000003</v>
      </c>
      <c r="AP29" s="51">
        <f t="shared" si="0"/>
        <v>282.52800000000008</v>
      </c>
    </row>
    <row r="30" spans="1:42">
      <c r="A30" t="s">
        <v>631</v>
      </c>
      <c r="D30" s="2" t="s">
        <v>598</v>
      </c>
      <c r="G30">
        <v>1</v>
      </c>
      <c r="H30" s="40">
        <v>0.17</v>
      </c>
      <c r="I30" s="40">
        <f t="shared" si="5"/>
        <v>0.17</v>
      </c>
      <c r="L30" s="72">
        <v>44859</v>
      </c>
      <c r="M30" s="42">
        <f t="shared" si="1"/>
        <v>0.18530000000000002</v>
      </c>
      <c r="N30" s="2" t="s">
        <v>122</v>
      </c>
      <c r="P30" s="32">
        <f t="shared" si="2"/>
        <v>0.37060000000000004</v>
      </c>
      <c r="Q30" s="32">
        <f t="shared" si="6"/>
        <v>2.9648000000000004E-2</v>
      </c>
      <c r="R30" s="292">
        <f t="shared" si="7"/>
        <v>0.40024800000000005</v>
      </c>
      <c r="T30" s="33">
        <f t="shared" si="3"/>
        <v>0.55590000000000006</v>
      </c>
      <c r="U30" s="33">
        <f t="shared" si="8"/>
        <v>4.4472000000000005E-2</v>
      </c>
      <c r="V30" s="50">
        <f t="shared" si="9"/>
        <v>0.60037200000000002</v>
      </c>
      <c r="X30" s="51">
        <f t="shared" si="4"/>
        <v>0.60037200000000002</v>
      </c>
      <c r="Y30" s="51">
        <f t="shared" si="0"/>
        <v>1.200744</v>
      </c>
      <c r="Z30" s="51">
        <f t="shared" si="0"/>
        <v>1.8011159999999999</v>
      </c>
      <c r="AA30" s="51">
        <f t="shared" si="0"/>
        <v>2.4014880000000001</v>
      </c>
      <c r="AB30" s="51">
        <f t="shared" si="0"/>
        <v>3.0018600000000002</v>
      </c>
      <c r="AC30" s="51">
        <f t="shared" si="0"/>
        <v>3.6022319999999999</v>
      </c>
      <c r="AD30" s="51">
        <f t="shared" si="0"/>
        <v>4.202604</v>
      </c>
      <c r="AE30" s="51">
        <f t="shared" si="0"/>
        <v>4.8029760000000001</v>
      </c>
      <c r="AF30" s="51">
        <f t="shared" si="0"/>
        <v>5.4033480000000003</v>
      </c>
      <c r="AG30" s="51">
        <f t="shared" si="0"/>
        <v>6.0037200000000004</v>
      </c>
      <c r="AH30" s="51">
        <f t="shared" si="0"/>
        <v>12.007440000000001</v>
      </c>
      <c r="AI30" s="51">
        <f t="shared" si="0"/>
        <v>18.01116</v>
      </c>
      <c r="AJ30" s="51">
        <f t="shared" si="0"/>
        <v>24.014880000000002</v>
      </c>
      <c r="AK30" s="51">
        <f t="shared" si="0"/>
        <v>30.018599999999999</v>
      </c>
      <c r="AL30" s="51">
        <f t="shared" si="0"/>
        <v>60.037199999999999</v>
      </c>
      <c r="AM30" s="51">
        <f t="shared" si="0"/>
        <v>120.0744</v>
      </c>
      <c r="AN30" s="51">
        <f t="shared" si="0"/>
        <v>180.11160000000001</v>
      </c>
      <c r="AO30" s="51">
        <f t="shared" si="0"/>
        <v>240.14879999999999</v>
      </c>
      <c r="AP30" s="51">
        <f t="shared" si="0"/>
        <v>300.18600000000004</v>
      </c>
    </row>
    <row r="31" spans="1:42">
      <c r="A31" t="s">
        <v>632</v>
      </c>
      <c r="D31" s="2" t="s">
        <v>598</v>
      </c>
      <c r="G31">
        <v>1</v>
      </c>
      <c r="H31" s="40">
        <v>0.2</v>
      </c>
      <c r="I31" s="40">
        <f t="shared" si="5"/>
        <v>0.2</v>
      </c>
      <c r="L31" s="72">
        <v>44859</v>
      </c>
      <c r="M31" s="42">
        <f t="shared" si="1"/>
        <v>0.21800000000000003</v>
      </c>
      <c r="N31" s="2" t="s">
        <v>122</v>
      </c>
      <c r="P31" s="32">
        <f t="shared" si="2"/>
        <v>0.43600000000000005</v>
      </c>
      <c r="Q31" s="32">
        <f t="shared" si="6"/>
        <v>3.4880000000000008E-2</v>
      </c>
      <c r="R31" s="292">
        <f t="shared" si="7"/>
        <v>0.47088000000000008</v>
      </c>
      <c r="T31" s="33">
        <f t="shared" si="3"/>
        <v>0.65400000000000014</v>
      </c>
      <c r="U31" s="33">
        <f t="shared" si="8"/>
        <v>5.2320000000000012E-2</v>
      </c>
      <c r="V31" s="50">
        <f t="shared" si="9"/>
        <v>0.70632000000000017</v>
      </c>
      <c r="X31" s="51">
        <f t="shared" si="4"/>
        <v>0.70632000000000017</v>
      </c>
      <c r="Y31" s="51">
        <f t="shared" si="0"/>
        <v>1.4126400000000003</v>
      </c>
      <c r="Z31" s="51">
        <f t="shared" si="0"/>
        <v>2.1189600000000004</v>
      </c>
      <c r="AA31" s="51">
        <f t="shared" si="0"/>
        <v>2.8252800000000007</v>
      </c>
      <c r="AB31" s="51">
        <f t="shared" si="0"/>
        <v>3.531600000000001</v>
      </c>
      <c r="AC31" s="51">
        <f t="shared" si="0"/>
        <v>4.2379200000000008</v>
      </c>
      <c r="AD31" s="51">
        <f t="shared" si="0"/>
        <v>4.9442400000000015</v>
      </c>
      <c r="AE31" s="51">
        <f t="shared" si="0"/>
        <v>5.6505600000000014</v>
      </c>
      <c r="AF31" s="51">
        <f t="shared" si="0"/>
        <v>6.3568800000000012</v>
      </c>
      <c r="AG31" s="51">
        <f t="shared" si="0"/>
        <v>7.0632000000000019</v>
      </c>
      <c r="AH31" s="51">
        <f t="shared" si="0"/>
        <v>14.126400000000004</v>
      </c>
      <c r="AI31" s="51">
        <f t="shared" si="0"/>
        <v>21.189600000000006</v>
      </c>
      <c r="AJ31" s="51">
        <f t="shared" si="0"/>
        <v>28.252800000000008</v>
      </c>
      <c r="AK31" s="51">
        <f t="shared" si="0"/>
        <v>35.31600000000001</v>
      </c>
      <c r="AL31" s="51">
        <f t="shared" si="0"/>
        <v>70.632000000000019</v>
      </c>
      <c r="AM31" s="51">
        <f t="shared" si="0"/>
        <v>141.26400000000004</v>
      </c>
      <c r="AN31" s="51">
        <f t="shared" si="0"/>
        <v>211.89600000000004</v>
      </c>
      <c r="AO31" s="51">
        <f t="shared" si="0"/>
        <v>282.52800000000008</v>
      </c>
      <c r="AP31" s="51">
        <f t="shared" si="0"/>
        <v>353.16000000000008</v>
      </c>
    </row>
    <row r="32" spans="1:42">
      <c r="A32" t="s">
        <v>633</v>
      </c>
      <c r="D32" s="2" t="s">
        <v>598</v>
      </c>
      <c r="G32">
        <v>1</v>
      </c>
      <c r="H32" s="40">
        <v>0.21</v>
      </c>
      <c r="I32" s="40">
        <f t="shared" si="5"/>
        <v>0.21</v>
      </c>
      <c r="L32" s="72">
        <v>44859</v>
      </c>
      <c r="M32" s="42">
        <f t="shared" si="1"/>
        <v>0.22890000000000002</v>
      </c>
      <c r="N32" s="2" t="s">
        <v>122</v>
      </c>
      <c r="P32" s="32">
        <f t="shared" si="2"/>
        <v>0.45780000000000004</v>
      </c>
      <c r="Q32" s="32">
        <f t="shared" si="6"/>
        <v>3.6624000000000004E-2</v>
      </c>
      <c r="R32" s="292">
        <f t="shared" si="7"/>
        <v>0.49442400000000003</v>
      </c>
      <c r="T32" s="33">
        <f t="shared" si="3"/>
        <v>0.68670000000000009</v>
      </c>
      <c r="U32" s="33">
        <f t="shared" si="8"/>
        <v>5.4936000000000006E-2</v>
      </c>
      <c r="V32" s="50">
        <f t="shared" si="9"/>
        <v>0.74163600000000007</v>
      </c>
      <c r="X32" s="51">
        <f t="shared" si="4"/>
        <v>0.74163600000000007</v>
      </c>
      <c r="Y32" s="51">
        <f t="shared" si="0"/>
        <v>1.4832720000000001</v>
      </c>
      <c r="Z32" s="51">
        <f t="shared" si="0"/>
        <v>2.2249080000000001</v>
      </c>
      <c r="AA32" s="51">
        <f t="shared" si="0"/>
        <v>2.9665440000000003</v>
      </c>
      <c r="AB32" s="51">
        <f t="shared" ref="AB32:AP36" si="12">$V32*AB$3</f>
        <v>3.7081800000000005</v>
      </c>
      <c r="AC32" s="51">
        <f t="shared" si="12"/>
        <v>4.4498160000000002</v>
      </c>
      <c r="AD32" s="51">
        <f t="shared" si="12"/>
        <v>5.1914520000000008</v>
      </c>
      <c r="AE32" s="51">
        <f t="shared" si="12"/>
        <v>5.9330880000000006</v>
      </c>
      <c r="AF32" s="51">
        <f t="shared" si="12"/>
        <v>6.6747240000000003</v>
      </c>
      <c r="AG32" s="51">
        <f t="shared" si="12"/>
        <v>7.416360000000001</v>
      </c>
      <c r="AH32" s="51">
        <f t="shared" si="12"/>
        <v>14.832720000000002</v>
      </c>
      <c r="AI32" s="51">
        <f t="shared" si="12"/>
        <v>22.249080000000003</v>
      </c>
      <c r="AJ32" s="51">
        <f t="shared" si="12"/>
        <v>29.665440000000004</v>
      </c>
      <c r="AK32" s="51">
        <f t="shared" si="12"/>
        <v>37.081800000000001</v>
      </c>
      <c r="AL32" s="51">
        <f t="shared" si="12"/>
        <v>74.163600000000002</v>
      </c>
      <c r="AM32" s="51">
        <f t="shared" si="12"/>
        <v>148.3272</v>
      </c>
      <c r="AN32" s="51">
        <f t="shared" si="12"/>
        <v>222.49080000000004</v>
      </c>
      <c r="AO32" s="51">
        <f t="shared" si="12"/>
        <v>296.65440000000001</v>
      </c>
      <c r="AP32" s="51">
        <f t="shared" si="12"/>
        <v>370.81800000000004</v>
      </c>
    </row>
    <row r="33" spans="1:42">
      <c r="A33" t="s">
        <v>634</v>
      </c>
      <c r="D33" s="2" t="s">
        <v>598</v>
      </c>
      <c r="G33">
        <v>1</v>
      </c>
      <c r="H33" s="40">
        <v>0.21</v>
      </c>
      <c r="I33" s="40">
        <f t="shared" si="5"/>
        <v>0.21</v>
      </c>
      <c r="L33" s="72">
        <v>44859</v>
      </c>
      <c r="M33" s="42">
        <f t="shared" si="1"/>
        <v>0.22890000000000002</v>
      </c>
      <c r="N33" s="2" t="s">
        <v>122</v>
      </c>
      <c r="P33" s="32">
        <f t="shared" si="2"/>
        <v>0.45780000000000004</v>
      </c>
      <c r="Q33" s="32">
        <f t="shared" si="6"/>
        <v>3.6624000000000004E-2</v>
      </c>
      <c r="R33" s="292">
        <f t="shared" si="7"/>
        <v>0.49442400000000003</v>
      </c>
      <c r="T33" s="33">
        <f t="shared" si="3"/>
        <v>0.68670000000000009</v>
      </c>
      <c r="U33" s="33">
        <f t="shared" si="8"/>
        <v>5.4936000000000006E-2</v>
      </c>
      <c r="V33" s="50">
        <f t="shared" si="9"/>
        <v>0.74163600000000007</v>
      </c>
      <c r="X33" s="51">
        <f t="shared" si="4"/>
        <v>0.74163600000000007</v>
      </c>
      <c r="Y33" s="51">
        <f t="shared" si="4"/>
        <v>1.4832720000000001</v>
      </c>
      <c r="Z33" s="51">
        <f t="shared" si="4"/>
        <v>2.2249080000000001</v>
      </c>
      <c r="AA33" s="51">
        <f t="shared" si="4"/>
        <v>2.9665440000000003</v>
      </c>
      <c r="AB33" s="51">
        <f t="shared" si="4"/>
        <v>3.7081800000000005</v>
      </c>
      <c r="AC33" s="51">
        <f t="shared" si="4"/>
        <v>4.4498160000000002</v>
      </c>
      <c r="AD33" s="51">
        <f t="shared" si="4"/>
        <v>5.1914520000000008</v>
      </c>
      <c r="AE33" s="51">
        <f t="shared" si="4"/>
        <v>5.9330880000000006</v>
      </c>
      <c r="AF33" s="51">
        <f t="shared" si="4"/>
        <v>6.6747240000000003</v>
      </c>
      <c r="AG33" s="51">
        <f t="shared" si="4"/>
        <v>7.416360000000001</v>
      </c>
      <c r="AH33" s="51">
        <f t="shared" si="4"/>
        <v>14.832720000000002</v>
      </c>
      <c r="AI33" s="51">
        <f t="shared" si="4"/>
        <v>22.249080000000003</v>
      </c>
      <c r="AJ33" s="51">
        <f t="shared" si="4"/>
        <v>29.665440000000004</v>
      </c>
      <c r="AK33" s="51">
        <f t="shared" si="4"/>
        <v>37.081800000000001</v>
      </c>
      <c r="AL33" s="51">
        <f t="shared" si="4"/>
        <v>74.163600000000002</v>
      </c>
      <c r="AM33" s="51">
        <f t="shared" si="4"/>
        <v>148.3272</v>
      </c>
      <c r="AN33" s="51">
        <f t="shared" si="12"/>
        <v>222.49080000000004</v>
      </c>
      <c r="AO33" s="51">
        <f t="shared" si="12"/>
        <v>296.65440000000001</v>
      </c>
      <c r="AP33" s="51">
        <f t="shared" si="12"/>
        <v>370.81800000000004</v>
      </c>
    </row>
    <row r="34" spans="1:42">
      <c r="A34" t="s">
        <v>635</v>
      </c>
      <c r="D34" s="2" t="s">
        <v>598</v>
      </c>
      <c r="G34">
        <v>1</v>
      </c>
      <c r="I34" s="40">
        <f t="shared" si="5"/>
        <v>0</v>
      </c>
      <c r="L34" s="72">
        <v>44859</v>
      </c>
      <c r="M34" s="42">
        <f t="shared" si="1"/>
        <v>0</v>
      </c>
      <c r="N34" s="2" t="s">
        <v>122</v>
      </c>
      <c r="P34" s="32">
        <f t="shared" si="2"/>
        <v>0</v>
      </c>
      <c r="Q34" s="32">
        <f t="shared" si="6"/>
        <v>0</v>
      </c>
      <c r="R34" s="292">
        <f t="shared" si="7"/>
        <v>0</v>
      </c>
      <c r="T34" s="33">
        <f t="shared" si="3"/>
        <v>0</v>
      </c>
      <c r="U34" s="33">
        <f t="shared" si="8"/>
        <v>0</v>
      </c>
      <c r="V34" s="50">
        <f t="shared" si="9"/>
        <v>0</v>
      </c>
      <c r="X34" s="51">
        <f t="shared" ref="X34:AM36" si="13">$V34*X$3</f>
        <v>0</v>
      </c>
      <c r="Y34" s="51">
        <f t="shared" si="13"/>
        <v>0</v>
      </c>
      <c r="Z34" s="51">
        <f t="shared" si="13"/>
        <v>0</v>
      </c>
      <c r="AA34" s="51">
        <f t="shared" si="13"/>
        <v>0</v>
      </c>
      <c r="AB34" s="51">
        <f t="shared" si="13"/>
        <v>0</v>
      </c>
      <c r="AC34" s="51">
        <f t="shared" si="13"/>
        <v>0</v>
      </c>
      <c r="AD34" s="51">
        <f t="shared" si="13"/>
        <v>0</v>
      </c>
      <c r="AE34" s="51">
        <f t="shared" si="13"/>
        <v>0</v>
      </c>
      <c r="AF34" s="51">
        <f t="shared" si="13"/>
        <v>0</v>
      </c>
      <c r="AG34" s="51">
        <f t="shared" si="13"/>
        <v>0</v>
      </c>
      <c r="AH34" s="51">
        <f t="shared" si="13"/>
        <v>0</v>
      </c>
      <c r="AI34" s="51">
        <f t="shared" si="13"/>
        <v>0</v>
      </c>
      <c r="AJ34" s="51">
        <f t="shared" si="13"/>
        <v>0</v>
      </c>
      <c r="AK34" s="51">
        <f t="shared" si="13"/>
        <v>0</v>
      </c>
      <c r="AL34" s="51">
        <f t="shared" si="13"/>
        <v>0</v>
      </c>
      <c r="AM34" s="51">
        <f t="shared" si="13"/>
        <v>0</v>
      </c>
      <c r="AN34" s="51">
        <f t="shared" si="12"/>
        <v>0</v>
      </c>
      <c r="AO34" s="51">
        <f t="shared" si="12"/>
        <v>0</v>
      </c>
      <c r="AP34" s="51">
        <f t="shared" si="12"/>
        <v>0</v>
      </c>
    </row>
    <row r="35" spans="1:42">
      <c r="A35" t="s">
        <v>636</v>
      </c>
      <c r="D35" s="2" t="s">
        <v>598</v>
      </c>
      <c r="G35">
        <v>1</v>
      </c>
      <c r="I35" s="40">
        <f t="shared" si="5"/>
        <v>0</v>
      </c>
      <c r="L35" s="72">
        <v>44859</v>
      </c>
      <c r="M35" s="42">
        <f t="shared" si="1"/>
        <v>0</v>
      </c>
      <c r="N35" s="2" t="s">
        <v>122</v>
      </c>
      <c r="P35" s="32">
        <f t="shared" si="2"/>
        <v>0</v>
      </c>
      <c r="Q35" s="32">
        <f t="shared" si="6"/>
        <v>0</v>
      </c>
      <c r="R35" s="292">
        <f t="shared" si="7"/>
        <v>0</v>
      </c>
      <c r="T35" s="33">
        <f t="shared" si="3"/>
        <v>0</v>
      </c>
      <c r="U35" s="33">
        <f t="shared" si="8"/>
        <v>0</v>
      </c>
      <c r="V35" s="50">
        <f t="shared" si="9"/>
        <v>0</v>
      </c>
      <c r="X35" s="51">
        <f t="shared" si="13"/>
        <v>0</v>
      </c>
      <c r="Y35" s="51">
        <f t="shared" si="13"/>
        <v>0</v>
      </c>
      <c r="Z35" s="51">
        <f t="shared" si="13"/>
        <v>0</v>
      </c>
      <c r="AA35" s="51">
        <f t="shared" si="13"/>
        <v>0</v>
      </c>
      <c r="AB35" s="51">
        <f t="shared" si="13"/>
        <v>0</v>
      </c>
      <c r="AC35" s="51">
        <f t="shared" si="13"/>
        <v>0</v>
      </c>
      <c r="AD35" s="51">
        <f t="shared" si="13"/>
        <v>0</v>
      </c>
      <c r="AE35" s="51">
        <f t="shared" si="13"/>
        <v>0</v>
      </c>
      <c r="AF35" s="51">
        <f t="shared" si="13"/>
        <v>0</v>
      </c>
      <c r="AG35" s="51">
        <f t="shared" si="13"/>
        <v>0</v>
      </c>
      <c r="AH35" s="51">
        <f t="shared" si="13"/>
        <v>0</v>
      </c>
      <c r="AI35" s="51">
        <f t="shared" si="13"/>
        <v>0</v>
      </c>
      <c r="AJ35" s="51">
        <f t="shared" si="13"/>
        <v>0</v>
      </c>
      <c r="AK35" s="51">
        <f t="shared" si="13"/>
        <v>0</v>
      </c>
      <c r="AL35" s="51">
        <f t="shared" si="13"/>
        <v>0</v>
      </c>
      <c r="AM35" s="51">
        <f t="shared" si="13"/>
        <v>0</v>
      </c>
      <c r="AN35" s="51">
        <f t="shared" si="12"/>
        <v>0</v>
      </c>
      <c r="AO35" s="51">
        <f t="shared" si="12"/>
        <v>0</v>
      </c>
      <c r="AP35" s="51">
        <f t="shared" si="12"/>
        <v>0</v>
      </c>
    </row>
    <row r="36" spans="1:42">
      <c r="A36" t="s">
        <v>637</v>
      </c>
      <c r="B36" s="29" t="s">
        <v>638</v>
      </c>
      <c r="C36" t="s">
        <v>639</v>
      </c>
      <c r="D36" s="2" t="s">
        <v>598</v>
      </c>
      <c r="G36">
        <v>1</v>
      </c>
      <c r="H36" s="40">
        <v>1.45</v>
      </c>
      <c r="I36" s="40">
        <f t="shared" si="5"/>
        <v>1.45</v>
      </c>
      <c r="L36" s="72">
        <v>44761</v>
      </c>
      <c r="M36" s="42">
        <f t="shared" si="1"/>
        <v>1.5805</v>
      </c>
      <c r="N36" s="2" t="s">
        <v>122</v>
      </c>
      <c r="P36" s="32">
        <f t="shared" si="2"/>
        <v>3.161</v>
      </c>
      <c r="Q36" s="32">
        <f t="shared" si="6"/>
        <v>0.25287999999999999</v>
      </c>
      <c r="R36" s="292">
        <f t="shared" si="7"/>
        <v>3.4138799999999998</v>
      </c>
      <c r="T36" s="33">
        <f t="shared" si="3"/>
        <v>4.7415000000000003</v>
      </c>
      <c r="U36" s="33">
        <f t="shared" si="8"/>
        <v>0.37932000000000005</v>
      </c>
      <c r="V36" s="50">
        <f t="shared" si="9"/>
        <v>5.1208200000000001</v>
      </c>
      <c r="X36" s="51">
        <f t="shared" si="13"/>
        <v>5.1208200000000001</v>
      </c>
      <c r="Y36" s="51">
        <f t="shared" si="13"/>
        <v>10.24164</v>
      </c>
      <c r="Z36" s="51">
        <f t="shared" si="13"/>
        <v>15.36246</v>
      </c>
      <c r="AA36" s="51">
        <f t="shared" si="13"/>
        <v>20.483280000000001</v>
      </c>
      <c r="AB36" s="51">
        <f t="shared" si="13"/>
        <v>25.604100000000003</v>
      </c>
      <c r="AC36" s="51">
        <f t="shared" si="13"/>
        <v>30.724920000000001</v>
      </c>
      <c r="AD36" s="51">
        <f t="shared" si="13"/>
        <v>35.845739999999999</v>
      </c>
      <c r="AE36" s="51">
        <f t="shared" si="13"/>
        <v>40.966560000000001</v>
      </c>
      <c r="AF36" s="51">
        <f t="shared" si="13"/>
        <v>46.087380000000003</v>
      </c>
      <c r="AG36" s="51">
        <f t="shared" si="13"/>
        <v>51.208200000000005</v>
      </c>
      <c r="AH36" s="51">
        <f t="shared" si="13"/>
        <v>102.41640000000001</v>
      </c>
      <c r="AI36" s="51">
        <f t="shared" si="13"/>
        <v>153.62460000000002</v>
      </c>
      <c r="AJ36" s="51">
        <f t="shared" si="13"/>
        <v>204.83280000000002</v>
      </c>
      <c r="AK36" s="51">
        <f t="shared" si="13"/>
        <v>256.041</v>
      </c>
      <c r="AL36" s="51">
        <f t="shared" si="13"/>
        <v>512.08199999999999</v>
      </c>
      <c r="AM36" s="51">
        <f t="shared" si="13"/>
        <v>1024.164</v>
      </c>
      <c r="AN36" s="51">
        <f t="shared" si="12"/>
        <v>1536.2460000000001</v>
      </c>
      <c r="AO36" s="51">
        <f t="shared" si="12"/>
        <v>2048.328</v>
      </c>
      <c r="AP36" s="51">
        <f t="shared" si="12"/>
        <v>2560.41</v>
      </c>
    </row>
    <row r="37" spans="1:42">
      <c r="A37" t="s">
        <v>640</v>
      </c>
      <c r="B37" s="29" t="s">
        <v>641</v>
      </c>
      <c r="C37" t="s">
        <v>642</v>
      </c>
      <c r="D37" s="2" t="s">
        <v>598</v>
      </c>
      <c r="G37">
        <v>1</v>
      </c>
      <c r="H37" s="40">
        <v>0.28799999999999998</v>
      </c>
      <c r="I37" s="40">
        <f t="shared" si="5"/>
        <v>0.28799999999999998</v>
      </c>
      <c r="L37" s="72">
        <v>45027</v>
      </c>
      <c r="M37" s="42">
        <f t="shared" ref="M37:M42" si="14">SUM(J37:K37)+H37*$M$1</f>
        <v>0.31391999999999998</v>
      </c>
      <c r="N37" s="2" t="s">
        <v>122</v>
      </c>
      <c r="Q37" s="32"/>
      <c r="R37" s="292"/>
      <c r="T37" s="33"/>
      <c r="U37" s="33"/>
      <c r="V37" s="50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</row>
    <row r="38" spans="1:42">
      <c r="A38" t="s">
        <v>643</v>
      </c>
      <c r="B38" s="29" t="s">
        <v>641</v>
      </c>
      <c r="C38" t="s">
        <v>644</v>
      </c>
      <c r="D38" s="2" t="s">
        <v>598</v>
      </c>
      <c r="G38">
        <v>1</v>
      </c>
      <c r="H38" s="40">
        <v>0.73899999999999999</v>
      </c>
      <c r="I38" s="40">
        <f t="shared" si="5"/>
        <v>0.73899999999999999</v>
      </c>
      <c r="L38" s="72">
        <v>45027</v>
      </c>
      <c r="M38" s="42">
        <f t="shared" si="14"/>
        <v>0.80551000000000006</v>
      </c>
      <c r="N38" s="2" t="s">
        <v>122</v>
      </c>
      <c r="Q38" s="32"/>
      <c r="R38" s="292"/>
      <c r="T38" s="33"/>
      <c r="U38" s="33"/>
      <c r="V38" s="50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</row>
    <row r="39" spans="1:42">
      <c r="A39" t="s">
        <v>645</v>
      </c>
      <c r="B39" s="29" t="s">
        <v>641</v>
      </c>
      <c r="C39" t="s">
        <v>646</v>
      </c>
      <c r="D39" s="2" t="s">
        <v>598</v>
      </c>
      <c r="G39">
        <v>1</v>
      </c>
      <c r="H39" s="40">
        <v>1.4</v>
      </c>
      <c r="I39" s="40">
        <f t="shared" si="5"/>
        <v>1.4</v>
      </c>
      <c r="L39" s="72">
        <v>45027</v>
      </c>
      <c r="M39" s="42">
        <f t="shared" si="14"/>
        <v>1.526</v>
      </c>
      <c r="N39" s="2" t="s">
        <v>122</v>
      </c>
      <c r="Q39" s="32"/>
      <c r="R39" s="292"/>
      <c r="T39" s="33"/>
      <c r="U39" s="33"/>
      <c r="V39" s="50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</row>
    <row r="40" spans="1:42">
      <c r="A40" t="s">
        <v>647</v>
      </c>
      <c r="D40" s="2" t="s">
        <v>598</v>
      </c>
      <c r="G40">
        <v>1</v>
      </c>
      <c r="H40" s="40">
        <v>0.04</v>
      </c>
      <c r="I40" s="40">
        <f t="shared" si="5"/>
        <v>0.04</v>
      </c>
      <c r="L40" s="72">
        <v>45027</v>
      </c>
      <c r="M40" s="42">
        <f t="shared" si="14"/>
        <v>4.3600000000000007E-2</v>
      </c>
      <c r="N40" s="2" t="s">
        <v>122</v>
      </c>
      <c r="Q40" s="32"/>
      <c r="R40" s="292"/>
      <c r="T40" s="33"/>
      <c r="U40" s="33"/>
      <c r="V40" s="50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</row>
    <row r="41" spans="1:42">
      <c r="A41" t="s">
        <v>648</v>
      </c>
      <c r="B41" s="29" t="s">
        <v>649</v>
      </c>
      <c r="D41" s="2" t="s">
        <v>650</v>
      </c>
      <c r="G41">
        <v>1</v>
      </c>
      <c r="H41" s="40">
        <v>0.95709999999999995</v>
      </c>
      <c r="I41" s="40">
        <f t="shared" si="5"/>
        <v>0.95709999999999995</v>
      </c>
      <c r="L41" s="72">
        <v>45040</v>
      </c>
      <c r="M41" s="42">
        <f t="shared" si="14"/>
        <v>1.043239</v>
      </c>
      <c r="N41" s="2" t="s">
        <v>122</v>
      </c>
      <c r="Q41" s="32"/>
      <c r="R41" s="292"/>
      <c r="T41" s="33"/>
      <c r="U41" s="33"/>
      <c r="V41" s="50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</row>
    <row r="42" spans="1:42">
      <c r="A42" t="s">
        <v>651</v>
      </c>
      <c r="D42" s="2" t="s">
        <v>651</v>
      </c>
      <c r="G42">
        <v>1</v>
      </c>
      <c r="H42" s="40">
        <v>2.9</v>
      </c>
      <c r="I42" s="40">
        <f t="shared" si="5"/>
        <v>2.9</v>
      </c>
      <c r="L42" s="72">
        <v>45027</v>
      </c>
      <c r="M42" s="42">
        <f t="shared" si="14"/>
        <v>3.161</v>
      </c>
      <c r="N42" s="2" t="s">
        <v>205</v>
      </c>
      <c r="Q42" s="32"/>
      <c r="R42" s="292"/>
      <c r="T42" s="33"/>
      <c r="U42" s="33"/>
      <c r="V42" s="50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</row>
    <row r="43" spans="1:42">
      <c r="A43" t="s">
        <v>652</v>
      </c>
      <c r="B43" s="29" t="s">
        <v>653</v>
      </c>
      <c r="C43" t="s">
        <v>653</v>
      </c>
      <c r="D43" s="2" t="s">
        <v>598</v>
      </c>
      <c r="G43">
        <v>1</v>
      </c>
      <c r="H43" s="40">
        <v>35</v>
      </c>
      <c r="I43" s="40">
        <f t="shared" si="5"/>
        <v>35</v>
      </c>
      <c r="L43" s="72">
        <v>44859</v>
      </c>
      <c r="M43" s="42">
        <f t="shared" si="1"/>
        <v>38.150000000000006</v>
      </c>
      <c r="N43" s="2" t="s">
        <v>122</v>
      </c>
      <c r="P43" s="32">
        <f t="shared" si="2"/>
        <v>76.300000000000011</v>
      </c>
      <c r="Q43" s="32">
        <f t="shared" si="6"/>
        <v>6.104000000000001</v>
      </c>
      <c r="R43" s="292">
        <f t="shared" si="7"/>
        <v>82.404000000000011</v>
      </c>
      <c r="T43" s="33">
        <f t="shared" si="3"/>
        <v>114.45000000000002</v>
      </c>
      <c r="U43" s="33">
        <f t="shared" si="8"/>
        <v>9.1560000000000024</v>
      </c>
      <c r="V43" s="50">
        <f t="shared" si="9"/>
        <v>123.60600000000002</v>
      </c>
      <c r="X43" s="51">
        <f>$V43*X$3</f>
        <v>123.60600000000002</v>
      </c>
      <c r="Y43" s="51">
        <f>$V43*Y$3</f>
        <v>247.21200000000005</v>
      </c>
      <c r="Z43" s="51">
        <f>$V43*Z$3</f>
        <v>370.8180000000001</v>
      </c>
      <c r="AA43" s="51">
        <f>$V43*AA$3</f>
        <v>494.42400000000009</v>
      </c>
      <c r="AB43" s="51">
        <f>$V43*AB$3</f>
        <v>618.03000000000009</v>
      </c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</row>
    <row r="44" spans="1:42">
      <c r="A44" t="s">
        <v>654</v>
      </c>
      <c r="B44" s="29" t="s">
        <v>655</v>
      </c>
      <c r="C44" t="s">
        <v>656</v>
      </c>
      <c r="D44" s="2" t="s">
        <v>598</v>
      </c>
      <c r="G44">
        <v>1</v>
      </c>
      <c r="H44" s="40">
        <v>0.75</v>
      </c>
      <c r="I44" s="40">
        <f t="shared" si="5"/>
        <v>0.75</v>
      </c>
      <c r="L44" s="72">
        <v>44859</v>
      </c>
      <c r="M44" s="42">
        <f t="shared" si="1"/>
        <v>0.81750000000000012</v>
      </c>
      <c r="N44" s="2" t="s">
        <v>122</v>
      </c>
      <c r="P44" s="32">
        <f t="shared" si="2"/>
        <v>1.6350000000000002</v>
      </c>
      <c r="Q44" s="32">
        <f t="shared" si="6"/>
        <v>0.13080000000000003</v>
      </c>
      <c r="R44" s="292">
        <f t="shared" si="7"/>
        <v>1.7658000000000003</v>
      </c>
      <c r="T44" s="33">
        <f t="shared" si="3"/>
        <v>2.4525000000000006</v>
      </c>
      <c r="U44" s="33">
        <f t="shared" si="8"/>
        <v>0.19620000000000004</v>
      </c>
      <c r="V44" s="50">
        <f t="shared" si="9"/>
        <v>2.6487000000000007</v>
      </c>
      <c r="X44" s="51">
        <f t="shared" ref="X44:AM71" si="15">$V44*X$3</f>
        <v>2.6487000000000007</v>
      </c>
      <c r="Y44" s="51">
        <f t="shared" si="15"/>
        <v>5.2974000000000014</v>
      </c>
      <c r="Z44" s="51">
        <f t="shared" si="15"/>
        <v>7.9461000000000022</v>
      </c>
      <c r="AA44" s="51">
        <f t="shared" si="15"/>
        <v>10.594800000000003</v>
      </c>
      <c r="AB44" s="51">
        <f t="shared" si="15"/>
        <v>13.243500000000004</v>
      </c>
      <c r="AC44" s="51">
        <f t="shared" si="15"/>
        <v>15.892200000000004</v>
      </c>
      <c r="AD44" s="51">
        <f t="shared" si="15"/>
        <v>18.540900000000004</v>
      </c>
      <c r="AE44" s="51">
        <f t="shared" si="15"/>
        <v>21.189600000000006</v>
      </c>
      <c r="AF44" s="51">
        <f t="shared" si="15"/>
        <v>23.838300000000007</v>
      </c>
      <c r="AG44" s="51">
        <f t="shared" si="15"/>
        <v>26.487000000000009</v>
      </c>
      <c r="AH44" s="51">
        <f t="shared" si="15"/>
        <v>52.974000000000018</v>
      </c>
      <c r="AI44" s="51">
        <f t="shared" si="15"/>
        <v>79.461000000000027</v>
      </c>
      <c r="AJ44" s="51">
        <f t="shared" si="15"/>
        <v>105.94800000000004</v>
      </c>
      <c r="AK44" s="51">
        <f t="shared" si="15"/>
        <v>132.43500000000003</v>
      </c>
      <c r="AL44" s="51">
        <f t="shared" si="15"/>
        <v>264.87000000000006</v>
      </c>
      <c r="AM44" s="51">
        <f t="shared" si="15"/>
        <v>529.74000000000012</v>
      </c>
      <c r="AN44" s="51">
        <f t="shared" ref="AN44:AP71" si="16">$V44*AN$3</f>
        <v>794.61000000000024</v>
      </c>
      <c r="AO44" s="51">
        <f t="shared" si="16"/>
        <v>1059.4800000000002</v>
      </c>
      <c r="AP44" s="51">
        <f t="shared" si="16"/>
        <v>1324.3500000000004</v>
      </c>
    </row>
    <row r="45" spans="1:42">
      <c r="A45" t="s">
        <v>657</v>
      </c>
      <c r="B45" s="29" t="s">
        <v>658</v>
      </c>
      <c r="C45" t="s">
        <v>659</v>
      </c>
      <c r="D45" s="2" t="s">
        <v>598</v>
      </c>
      <c r="G45">
        <v>1</v>
      </c>
      <c r="H45" s="40">
        <v>0.65</v>
      </c>
      <c r="I45" s="40">
        <f t="shared" si="5"/>
        <v>0.65</v>
      </c>
      <c r="L45" s="72">
        <v>44859</v>
      </c>
      <c r="M45" s="42">
        <f t="shared" si="1"/>
        <v>0.70850000000000013</v>
      </c>
      <c r="N45" s="2" t="s">
        <v>122</v>
      </c>
      <c r="P45" s="32">
        <f t="shared" si="2"/>
        <v>1.4170000000000003</v>
      </c>
      <c r="Q45" s="32">
        <f t="shared" si="6"/>
        <v>0.11336000000000002</v>
      </c>
      <c r="R45" s="292">
        <f t="shared" si="7"/>
        <v>1.5303600000000004</v>
      </c>
      <c r="T45" s="33">
        <f t="shared" si="3"/>
        <v>2.1255000000000006</v>
      </c>
      <c r="U45" s="33">
        <f t="shared" si="8"/>
        <v>0.17004000000000005</v>
      </c>
      <c r="V45" s="50">
        <f t="shared" si="9"/>
        <v>2.2955400000000008</v>
      </c>
      <c r="X45" s="51">
        <f t="shared" si="15"/>
        <v>2.2955400000000008</v>
      </c>
      <c r="Y45" s="51">
        <f t="shared" si="15"/>
        <v>4.5910800000000016</v>
      </c>
      <c r="Z45" s="51">
        <f t="shared" si="15"/>
        <v>6.8866200000000024</v>
      </c>
      <c r="AA45" s="51">
        <f t="shared" si="15"/>
        <v>9.1821600000000032</v>
      </c>
      <c r="AB45" s="51">
        <f t="shared" si="15"/>
        <v>11.477700000000004</v>
      </c>
      <c r="AC45" s="51">
        <f t="shared" si="15"/>
        <v>13.773240000000005</v>
      </c>
      <c r="AD45" s="51">
        <f t="shared" si="15"/>
        <v>16.068780000000004</v>
      </c>
      <c r="AE45" s="51">
        <f t="shared" si="15"/>
        <v>18.364320000000006</v>
      </c>
      <c r="AF45" s="51">
        <f t="shared" si="15"/>
        <v>20.659860000000009</v>
      </c>
      <c r="AG45" s="51">
        <f t="shared" si="15"/>
        <v>22.955400000000008</v>
      </c>
      <c r="AH45" s="51">
        <f t="shared" si="15"/>
        <v>45.910800000000016</v>
      </c>
      <c r="AI45" s="51">
        <f t="shared" si="15"/>
        <v>68.866200000000021</v>
      </c>
      <c r="AJ45" s="51">
        <f t="shared" si="15"/>
        <v>91.821600000000032</v>
      </c>
      <c r="AK45" s="51">
        <f t="shared" si="15"/>
        <v>114.77700000000004</v>
      </c>
      <c r="AL45" s="51">
        <f t="shared" si="15"/>
        <v>229.55400000000009</v>
      </c>
      <c r="AM45" s="51">
        <f t="shared" si="15"/>
        <v>459.10800000000017</v>
      </c>
      <c r="AN45" s="51">
        <f t="shared" si="16"/>
        <v>688.66200000000026</v>
      </c>
      <c r="AO45" s="51">
        <f t="shared" si="16"/>
        <v>918.21600000000035</v>
      </c>
      <c r="AP45" s="51">
        <f t="shared" si="16"/>
        <v>1147.7700000000004</v>
      </c>
    </row>
    <row r="46" spans="1:42">
      <c r="A46" t="s">
        <v>657</v>
      </c>
      <c r="D46" s="2" t="s">
        <v>598</v>
      </c>
      <c r="G46">
        <v>1</v>
      </c>
      <c r="H46" s="40">
        <v>0.21</v>
      </c>
      <c r="I46" s="40">
        <f t="shared" si="5"/>
        <v>0.21</v>
      </c>
      <c r="L46" s="72">
        <v>44859</v>
      </c>
      <c r="M46" s="42">
        <f t="shared" si="1"/>
        <v>0.22890000000000002</v>
      </c>
      <c r="N46" s="2" t="s">
        <v>122</v>
      </c>
      <c r="P46" s="32">
        <f t="shared" si="2"/>
        <v>0.45780000000000004</v>
      </c>
      <c r="Q46" s="32">
        <f t="shared" si="6"/>
        <v>3.6624000000000004E-2</v>
      </c>
      <c r="R46" s="292">
        <f t="shared" si="7"/>
        <v>0.49442400000000003</v>
      </c>
      <c r="T46" s="33">
        <f t="shared" si="3"/>
        <v>0.68670000000000009</v>
      </c>
      <c r="U46" s="33">
        <f t="shared" si="8"/>
        <v>5.4936000000000006E-2</v>
      </c>
      <c r="V46" s="50">
        <f t="shared" si="9"/>
        <v>0.74163600000000007</v>
      </c>
      <c r="X46" s="51">
        <f t="shared" si="15"/>
        <v>0.74163600000000007</v>
      </c>
      <c r="Y46" s="51">
        <f t="shared" si="15"/>
        <v>1.4832720000000001</v>
      </c>
      <c r="Z46" s="51">
        <f t="shared" si="15"/>
        <v>2.2249080000000001</v>
      </c>
      <c r="AA46" s="51">
        <f t="shared" si="15"/>
        <v>2.9665440000000003</v>
      </c>
      <c r="AB46" s="51">
        <f t="shared" si="15"/>
        <v>3.7081800000000005</v>
      </c>
      <c r="AC46" s="51">
        <f t="shared" si="15"/>
        <v>4.4498160000000002</v>
      </c>
      <c r="AD46" s="51">
        <f t="shared" si="15"/>
        <v>5.1914520000000008</v>
      </c>
      <c r="AE46" s="51">
        <f t="shared" si="15"/>
        <v>5.9330880000000006</v>
      </c>
      <c r="AF46" s="51">
        <f t="shared" si="15"/>
        <v>6.6747240000000003</v>
      </c>
      <c r="AG46" s="51">
        <f t="shared" si="15"/>
        <v>7.416360000000001</v>
      </c>
      <c r="AH46" s="51">
        <f t="shared" si="15"/>
        <v>14.832720000000002</v>
      </c>
      <c r="AI46" s="51">
        <f t="shared" si="15"/>
        <v>22.249080000000003</v>
      </c>
      <c r="AJ46" s="51">
        <f t="shared" si="15"/>
        <v>29.665440000000004</v>
      </c>
      <c r="AK46" s="51">
        <f t="shared" si="15"/>
        <v>37.081800000000001</v>
      </c>
      <c r="AL46" s="51">
        <f t="shared" si="15"/>
        <v>74.163600000000002</v>
      </c>
      <c r="AM46" s="51">
        <f t="shared" si="15"/>
        <v>148.3272</v>
      </c>
      <c r="AN46" s="51">
        <f t="shared" si="16"/>
        <v>222.49080000000004</v>
      </c>
      <c r="AO46" s="51">
        <f t="shared" si="16"/>
        <v>296.65440000000001</v>
      </c>
      <c r="AP46" s="51">
        <f t="shared" si="16"/>
        <v>370.81800000000004</v>
      </c>
    </row>
    <row r="47" spans="1:42">
      <c r="A47" t="s">
        <v>660</v>
      </c>
      <c r="B47" s="29" t="s">
        <v>661</v>
      </c>
      <c r="D47" s="2" t="s">
        <v>598</v>
      </c>
      <c r="G47">
        <v>1</v>
      </c>
      <c r="H47" s="40">
        <v>5.15</v>
      </c>
      <c r="I47" s="40">
        <f t="shared" si="5"/>
        <v>5.15</v>
      </c>
      <c r="L47" s="72">
        <v>44859</v>
      </c>
      <c r="M47" s="42">
        <f t="shared" si="1"/>
        <v>5.613500000000001</v>
      </c>
      <c r="N47" s="2" t="s">
        <v>122</v>
      </c>
      <c r="P47" s="32">
        <f t="shared" si="2"/>
        <v>11.227000000000002</v>
      </c>
      <c r="Q47" s="32">
        <f t="shared" si="6"/>
        <v>0.89816000000000018</v>
      </c>
      <c r="R47" s="292">
        <f t="shared" si="7"/>
        <v>12.125160000000003</v>
      </c>
      <c r="T47" s="33">
        <f t="shared" si="3"/>
        <v>16.840500000000002</v>
      </c>
      <c r="U47" s="33">
        <f t="shared" si="8"/>
        <v>1.3472400000000002</v>
      </c>
      <c r="V47" s="50">
        <f t="shared" si="9"/>
        <v>18.187740000000002</v>
      </c>
      <c r="X47" s="51">
        <f t="shared" si="15"/>
        <v>18.187740000000002</v>
      </c>
      <c r="Y47" s="51">
        <f t="shared" si="15"/>
        <v>36.375480000000003</v>
      </c>
      <c r="Z47" s="51">
        <f t="shared" si="15"/>
        <v>54.563220000000001</v>
      </c>
      <c r="AA47" s="51">
        <f t="shared" si="15"/>
        <v>72.750960000000006</v>
      </c>
      <c r="AB47" s="51">
        <f t="shared" si="15"/>
        <v>90.938700000000011</v>
      </c>
      <c r="AC47" s="51">
        <f t="shared" si="15"/>
        <v>109.12644</v>
      </c>
      <c r="AD47" s="51">
        <f t="shared" si="15"/>
        <v>127.31418000000001</v>
      </c>
      <c r="AE47" s="51">
        <f t="shared" si="15"/>
        <v>145.50192000000001</v>
      </c>
      <c r="AF47" s="51">
        <f t="shared" si="15"/>
        <v>163.68966</v>
      </c>
      <c r="AG47" s="51">
        <f t="shared" si="15"/>
        <v>181.87740000000002</v>
      </c>
      <c r="AH47" s="51">
        <f t="shared" si="15"/>
        <v>363.75480000000005</v>
      </c>
      <c r="AI47" s="51">
        <f t="shared" si="15"/>
        <v>545.63220000000001</v>
      </c>
      <c r="AJ47" s="51">
        <f t="shared" si="15"/>
        <v>727.50960000000009</v>
      </c>
      <c r="AK47" s="51">
        <f t="shared" si="15"/>
        <v>909.38700000000006</v>
      </c>
      <c r="AL47" s="51">
        <f t="shared" si="15"/>
        <v>1818.7740000000001</v>
      </c>
      <c r="AM47" s="51">
        <f t="shared" si="15"/>
        <v>3637.5480000000002</v>
      </c>
      <c r="AN47" s="51">
        <f t="shared" si="16"/>
        <v>5456.3220000000001</v>
      </c>
      <c r="AO47" s="51">
        <f t="shared" si="16"/>
        <v>7275.0960000000005</v>
      </c>
      <c r="AP47" s="51">
        <f t="shared" si="16"/>
        <v>9093.8700000000008</v>
      </c>
    </row>
    <row r="48" spans="1:42">
      <c r="A48" t="s">
        <v>662</v>
      </c>
      <c r="B48" s="29" t="s">
        <v>663</v>
      </c>
      <c r="D48" s="2" t="s">
        <v>598</v>
      </c>
      <c r="G48">
        <v>1</v>
      </c>
      <c r="H48" s="40">
        <v>0.14000000000000001</v>
      </c>
      <c r="I48" s="40">
        <f t="shared" si="5"/>
        <v>0.14000000000000001</v>
      </c>
      <c r="L48" s="72">
        <v>44874</v>
      </c>
      <c r="M48" s="42">
        <f t="shared" si="1"/>
        <v>0.15260000000000001</v>
      </c>
      <c r="N48" s="2" t="s">
        <v>122</v>
      </c>
      <c r="P48" s="32">
        <f t="shared" si="2"/>
        <v>0.30520000000000003</v>
      </c>
      <c r="Q48" s="32">
        <f t="shared" si="6"/>
        <v>2.4416000000000004E-2</v>
      </c>
      <c r="R48" s="292">
        <f t="shared" si="7"/>
        <v>0.32961600000000002</v>
      </c>
      <c r="T48" s="33">
        <f t="shared" si="3"/>
        <v>0.45780000000000004</v>
      </c>
      <c r="U48" s="33">
        <f t="shared" si="8"/>
        <v>3.6624000000000004E-2</v>
      </c>
      <c r="V48" s="50">
        <f t="shared" si="9"/>
        <v>0.49442400000000003</v>
      </c>
      <c r="X48" s="51">
        <f t="shared" si="15"/>
        <v>0.49442400000000003</v>
      </c>
      <c r="Y48" s="51">
        <f t="shared" si="15"/>
        <v>0.98884800000000006</v>
      </c>
      <c r="Z48" s="51">
        <f t="shared" si="15"/>
        <v>1.4832720000000001</v>
      </c>
      <c r="AA48" s="51">
        <f t="shared" si="15"/>
        <v>1.9776960000000001</v>
      </c>
      <c r="AB48" s="51">
        <f t="shared" si="15"/>
        <v>2.4721200000000003</v>
      </c>
      <c r="AC48" s="51">
        <f t="shared" si="15"/>
        <v>2.9665440000000003</v>
      </c>
      <c r="AD48" s="51">
        <f t="shared" si="15"/>
        <v>3.4609680000000003</v>
      </c>
      <c r="AE48" s="51">
        <f t="shared" si="15"/>
        <v>3.9553920000000002</v>
      </c>
      <c r="AF48" s="51">
        <f t="shared" si="15"/>
        <v>4.4498160000000002</v>
      </c>
      <c r="AG48" s="51">
        <f t="shared" si="15"/>
        <v>4.9442400000000006</v>
      </c>
      <c r="AH48" s="51">
        <f t="shared" si="15"/>
        <v>9.8884800000000013</v>
      </c>
      <c r="AI48" s="51">
        <f t="shared" si="15"/>
        <v>14.83272</v>
      </c>
      <c r="AJ48" s="51">
        <f t="shared" si="15"/>
        <v>19.776960000000003</v>
      </c>
      <c r="AK48" s="51">
        <f t="shared" si="15"/>
        <v>24.721200000000003</v>
      </c>
      <c r="AL48" s="51">
        <f t="shared" si="15"/>
        <v>49.442400000000006</v>
      </c>
      <c r="AM48" s="51">
        <f t="shared" ref="AM48" si="17">$V48*AM$3</f>
        <v>98.884800000000013</v>
      </c>
      <c r="AN48" s="51">
        <f t="shared" si="16"/>
        <v>148.3272</v>
      </c>
      <c r="AO48" s="51">
        <f t="shared" si="16"/>
        <v>197.76960000000003</v>
      </c>
      <c r="AP48" s="51">
        <f t="shared" si="16"/>
        <v>247.21200000000002</v>
      </c>
    </row>
    <row r="49" spans="1:42" s="52" customFormat="1">
      <c r="A49" t="s">
        <v>664</v>
      </c>
      <c r="B49" s="29" t="s">
        <v>665</v>
      </c>
      <c r="C49"/>
      <c r="D49" s="2" t="s">
        <v>650</v>
      </c>
      <c r="E49" s="2"/>
      <c r="F49" s="73"/>
      <c r="G49">
        <f>100*8</f>
        <v>800</v>
      </c>
      <c r="H49" s="40">
        <v>0.44</v>
      </c>
      <c r="I49" s="40">
        <f t="shared" si="5"/>
        <v>352</v>
      </c>
      <c r="J49" s="40"/>
      <c r="K49" s="40"/>
      <c r="L49" s="72">
        <v>44859</v>
      </c>
      <c r="M49" s="42">
        <f t="shared" si="1"/>
        <v>0.47960000000000003</v>
      </c>
      <c r="N49" s="2" t="s">
        <v>109</v>
      </c>
      <c r="O49" s="2"/>
      <c r="P49" s="31">
        <f t="shared" si="2"/>
        <v>0.95920000000000005</v>
      </c>
      <c r="Q49" s="31">
        <f t="shared" si="6"/>
        <v>7.6736000000000013E-2</v>
      </c>
      <c r="R49" s="93">
        <f t="shared" si="7"/>
        <v>1.035936</v>
      </c>
      <c r="S49" s="2"/>
      <c r="T49" s="31">
        <f t="shared" si="3"/>
        <v>1.4388000000000001</v>
      </c>
      <c r="U49" s="31">
        <f t="shared" si="8"/>
        <v>0.11510400000000001</v>
      </c>
      <c r="V49" s="93">
        <f t="shared" si="9"/>
        <v>1.5539040000000002</v>
      </c>
      <c r="W49"/>
      <c r="X49" s="51">
        <f t="shared" si="15"/>
        <v>1.5539040000000002</v>
      </c>
      <c r="Y49" s="51">
        <f t="shared" si="15"/>
        <v>3.1078080000000003</v>
      </c>
      <c r="Z49" s="51">
        <f t="shared" si="15"/>
        <v>4.6617120000000005</v>
      </c>
      <c r="AA49" s="51">
        <f t="shared" si="15"/>
        <v>6.2156160000000007</v>
      </c>
      <c r="AB49" s="51">
        <f t="shared" si="15"/>
        <v>7.7695200000000009</v>
      </c>
      <c r="AC49" s="51">
        <f t="shared" si="15"/>
        <v>9.323424000000001</v>
      </c>
      <c r="AD49" s="51">
        <f t="shared" si="15"/>
        <v>10.877328000000002</v>
      </c>
      <c r="AE49" s="51">
        <f t="shared" si="15"/>
        <v>12.431232000000001</v>
      </c>
      <c r="AF49" s="51">
        <f t="shared" si="15"/>
        <v>13.985136000000001</v>
      </c>
      <c r="AG49" s="51">
        <f t="shared" si="15"/>
        <v>15.539040000000002</v>
      </c>
      <c r="AH49" s="51">
        <f t="shared" si="15"/>
        <v>31.078080000000003</v>
      </c>
      <c r="AI49" s="51">
        <f t="shared" si="15"/>
        <v>46.617120000000007</v>
      </c>
      <c r="AJ49" s="51">
        <f t="shared" si="15"/>
        <v>62.156160000000007</v>
      </c>
      <c r="AK49" s="51">
        <f t="shared" si="15"/>
        <v>77.695200000000014</v>
      </c>
      <c r="AL49" s="51">
        <f t="shared" si="15"/>
        <v>155.39040000000003</v>
      </c>
      <c r="AM49" s="51">
        <f t="shared" si="15"/>
        <v>310.78080000000006</v>
      </c>
      <c r="AN49" s="51">
        <f t="shared" si="16"/>
        <v>466.17120000000006</v>
      </c>
      <c r="AO49" s="51">
        <f t="shared" si="16"/>
        <v>621.56160000000011</v>
      </c>
      <c r="AP49" s="51">
        <f t="shared" si="16"/>
        <v>776.95200000000011</v>
      </c>
    </row>
    <row r="50" spans="1:42" s="52" customFormat="1">
      <c r="A50" t="s">
        <v>666</v>
      </c>
      <c r="B50" s="29" t="s">
        <v>667</v>
      </c>
      <c r="D50" s="2" t="s">
        <v>668</v>
      </c>
      <c r="E50" s="2"/>
      <c r="F50" s="73"/>
      <c r="G50">
        <v>300</v>
      </c>
      <c r="H50" s="40">
        <v>0.32</v>
      </c>
      <c r="I50" s="40">
        <f t="shared" si="5"/>
        <v>96</v>
      </c>
      <c r="J50" s="40"/>
      <c r="K50" s="40"/>
      <c r="L50" s="72">
        <v>44853</v>
      </c>
      <c r="M50" s="42">
        <f>SUM(J50:K50)+H50*$M$1</f>
        <v>0.34880000000000005</v>
      </c>
      <c r="N50" s="2" t="s">
        <v>109</v>
      </c>
      <c r="O50" s="2"/>
      <c r="P50" s="31">
        <f t="shared" si="2"/>
        <v>0.69760000000000011</v>
      </c>
      <c r="Q50" s="31">
        <f t="shared" si="6"/>
        <v>5.580800000000001E-2</v>
      </c>
      <c r="R50" s="93">
        <f t="shared" si="7"/>
        <v>0.75340800000000008</v>
      </c>
      <c r="S50" s="2"/>
      <c r="T50" s="31">
        <f t="shared" si="3"/>
        <v>1.0464000000000002</v>
      </c>
      <c r="U50" s="31">
        <f t="shared" si="8"/>
        <v>8.3712000000000023E-2</v>
      </c>
      <c r="V50" s="93">
        <f t="shared" si="9"/>
        <v>1.1301120000000002</v>
      </c>
      <c r="W50"/>
      <c r="X50" s="51">
        <f t="shared" si="15"/>
        <v>1.1301120000000002</v>
      </c>
      <c r="Y50" s="51">
        <f t="shared" si="15"/>
        <v>2.2602240000000005</v>
      </c>
      <c r="Z50" s="51">
        <f t="shared" si="15"/>
        <v>3.3903360000000005</v>
      </c>
      <c r="AA50" s="51">
        <f t="shared" si="15"/>
        <v>4.5204480000000009</v>
      </c>
      <c r="AB50" s="51">
        <f t="shared" si="15"/>
        <v>5.6505600000000014</v>
      </c>
      <c r="AC50" s="51">
        <f t="shared" si="15"/>
        <v>6.7806720000000009</v>
      </c>
      <c r="AD50" s="51">
        <f t="shared" si="15"/>
        <v>7.9107840000000014</v>
      </c>
      <c r="AE50" s="51">
        <f t="shared" si="15"/>
        <v>9.0408960000000018</v>
      </c>
      <c r="AF50" s="51">
        <f t="shared" si="15"/>
        <v>10.171008000000002</v>
      </c>
      <c r="AG50" s="51">
        <f t="shared" si="15"/>
        <v>11.301120000000003</v>
      </c>
      <c r="AH50" s="51">
        <f t="shared" si="15"/>
        <v>22.602240000000005</v>
      </c>
      <c r="AI50" s="51">
        <f t="shared" si="15"/>
        <v>33.903360000000006</v>
      </c>
      <c r="AJ50" s="51">
        <f t="shared" si="15"/>
        <v>45.204480000000011</v>
      </c>
      <c r="AK50" s="51">
        <f t="shared" si="15"/>
        <v>56.505600000000008</v>
      </c>
      <c r="AL50" s="51">
        <f t="shared" si="15"/>
        <v>113.01120000000002</v>
      </c>
      <c r="AM50" s="51">
        <f t="shared" si="15"/>
        <v>226.02240000000003</v>
      </c>
      <c r="AN50" s="51">
        <f t="shared" si="16"/>
        <v>339.03360000000009</v>
      </c>
      <c r="AO50" s="51">
        <f t="shared" si="16"/>
        <v>452.04480000000007</v>
      </c>
      <c r="AP50" s="51">
        <f t="shared" si="16"/>
        <v>565.05600000000015</v>
      </c>
    </row>
    <row r="51" spans="1:42" s="52" customFormat="1">
      <c r="A51" t="s">
        <v>669</v>
      </c>
      <c r="B51" s="29" t="s">
        <v>670</v>
      </c>
      <c r="C51">
        <v>1465036</v>
      </c>
      <c r="D51" s="2" t="s">
        <v>650</v>
      </c>
      <c r="E51" s="2"/>
      <c r="F51" s="73"/>
      <c r="G51">
        <v>300</v>
      </c>
      <c r="H51" s="40">
        <v>0.27876000000000001</v>
      </c>
      <c r="I51" s="40">
        <f t="shared" si="5"/>
        <v>83.628</v>
      </c>
      <c r="J51" s="40"/>
      <c r="K51" s="40"/>
      <c r="L51" s="72">
        <v>44911</v>
      </c>
      <c r="M51" s="42">
        <f>SUM(J51:K51)+H51*$M$1</f>
        <v>0.30384840000000002</v>
      </c>
      <c r="N51" s="2" t="s">
        <v>109</v>
      </c>
      <c r="O51" s="2"/>
      <c r="P51" s="31">
        <f t="shared" si="2"/>
        <v>0.60769680000000004</v>
      </c>
      <c r="Q51" s="31">
        <f t="shared" si="6"/>
        <v>4.8615744000000002E-2</v>
      </c>
      <c r="R51" s="93">
        <f t="shared" si="7"/>
        <v>0.65631254400000005</v>
      </c>
      <c r="S51" s="2"/>
      <c r="T51" s="31">
        <f t="shared" si="3"/>
        <v>0.91154520000000006</v>
      </c>
      <c r="U51" s="31">
        <f t="shared" si="8"/>
        <v>7.2923616000000011E-2</v>
      </c>
      <c r="V51" s="93">
        <f t="shared" si="9"/>
        <v>0.98446881600000002</v>
      </c>
      <c r="W51"/>
      <c r="X51" s="51">
        <f t="shared" ref="X51:AM52" si="18">$V51*X$3</f>
        <v>0.98446881600000002</v>
      </c>
      <c r="Y51" s="51">
        <f t="shared" si="18"/>
        <v>1.968937632</v>
      </c>
      <c r="Z51" s="51">
        <f t="shared" si="18"/>
        <v>2.953406448</v>
      </c>
      <c r="AA51" s="51">
        <f t="shared" si="18"/>
        <v>3.9378752640000001</v>
      </c>
      <c r="AB51" s="51">
        <f t="shared" si="18"/>
        <v>4.9223440800000002</v>
      </c>
      <c r="AC51" s="51">
        <f t="shared" si="18"/>
        <v>5.9068128959999999</v>
      </c>
      <c r="AD51" s="51">
        <f t="shared" si="18"/>
        <v>6.8912817120000005</v>
      </c>
      <c r="AE51" s="51">
        <f t="shared" si="18"/>
        <v>7.8757505280000002</v>
      </c>
      <c r="AF51" s="51">
        <f t="shared" si="18"/>
        <v>8.8602193440000008</v>
      </c>
      <c r="AG51" s="51">
        <f t="shared" si="18"/>
        <v>9.8446881600000005</v>
      </c>
      <c r="AH51" s="51">
        <f t="shared" si="18"/>
        <v>19.689376320000001</v>
      </c>
      <c r="AI51" s="51">
        <f t="shared" si="18"/>
        <v>29.534064480000001</v>
      </c>
      <c r="AJ51" s="51">
        <f t="shared" si="18"/>
        <v>39.378752640000002</v>
      </c>
      <c r="AK51" s="51">
        <f t="shared" si="18"/>
        <v>49.223440799999999</v>
      </c>
      <c r="AL51" s="51">
        <f t="shared" si="18"/>
        <v>98.446881599999998</v>
      </c>
      <c r="AM51" s="51">
        <f t="shared" si="18"/>
        <v>196.8937632</v>
      </c>
      <c r="AN51" s="51">
        <f t="shared" si="16"/>
        <v>295.34064480000001</v>
      </c>
      <c r="AO51" s="51">
        <f t="shared" si="16"/>
        <v>393.78752639999999</v>
      </c>
      <c r="AP51" s="51">
        <f t="shared" si="16"/>
        <v>492.23440800000003</v>
      </c>
    </row>
    <row r="52" spans="1:42" s="52" customFormat="1">
      <c r="A52" t="s">
        <v>671</v>
      </c>
      <c r="B52" s="29" t="s">
        <v>672</v>
      </c>
      <c r="C52">
        <v>1473132</v>
      </c>
      <c r="D52" s="2" t="s">
        <v>650</v>
      </c>
      <c r="E52" s="2"/>
      <c r="F52" s="73"/>
      <c r="G52">
        <v>1100</v>
      </c>
      <c r="H52" s="40">
        <v>0.76339999999999997</v>
      </c>
      <c r="I52" s="40">
        <f t="shared" si="5"/>
        <v>839.74</v>
      </c>
      <c r="J52" s="40"/>
      <c r="K52" s="40"/>
      <c r="L52" s="72">
        <v>44911</v>
      </c>
      <c r="M52" s="42">
        <f>SUM(J52:K52)+H52*$M$1</f>
        <v>0.83210600000000001</v>
      </c>
      <c r="N52" s="2" t="s">
        <v>109</v>
      </c>
      <c r="O52" s="2"/>
      <c r="P52" s="31">
        <f t="shared" si="2"/>
        <v>1.664212</v>
      </c>
      <c r="Q52" s="31">
        <f t="shared" si="6"/>
        <v>0.13313696</v>
      </c>
      <c r="R52" s="93">
        <f t="shared" si="7"/>
        <v>1.7973489600000001</v>
      </c>
      <c r="S52" s="2"/>
      <c r="T52" s="31">
        <f t="shared" si="3"/>
        <v>2.496318</v>
      </c>
      <c r="U52" s="31">
        <f t="shared" si="8"/>
        <v>0.19970544000000001</v>
      </c>
      <c r="V52" s="93">
        <f t="shared" si="9"/>
        <v>2.6960234400000003</v>
      </c>
      <c r="W52"/>
      <c r="X52" s="51">
        <f t="shared" si="18"/>
        <v>2.6960234400000003</v>
      </c>
      <c r="Y52" s="51">
        <f t="shared" si="18"/>
        <v>5.3920468800000005</v>
      </c>
      <c r="Z52" s="51">
        <f t="shared" si="18"/>
        <v>8.0880703199999999</v>
      </c>
      <c r="AA52" s="51">
        <f t="shared" si="18"/>
        <v>10.784093760000001</v>
      </c>
      <c r="AB52" s="51">
        <f t="shared" si="18"/>
        <v>13.480117200000002</v>
      </c>
      <c r="AC52" s="51">
        <f t="shared" si="18"/>
        <v>16.17614064</v>
      </c>
      <c r="AD52" s="51">
        <f t="shared" si="18"/>
        <v>18.872164080000001</v>
      </c>
      <c r="AE52" s="51">
        <f t="shared" si="18"/>
        <v>21.568187520000002</v>
      </c>
      <c r="AF52" s="51">
        <f t="shared" si="18"/>
        <v>24.264210960000003</v>
      </c>
      <c r="AG52" s="51">
        <f t="shared" si="18"/>
        <v>26.960234400000004</v>
      </c>
      <c r="AH52" s="51">
        <f t="shared" si="18"/>
        <v>53.920468800000009</v>
      </c>
      <c r="AI52" s="51">
        <f t="shared" si="18"/>
        <v>80.880703200000013</v>
      </c>
      <c r="AJ52" s="51">
        <f t="shared" si="18"/>
        <v>107.84093760000002</v>
      </c>
      <c r="AK52" s="51">
        <f t="shared" si="18"/>
        <v>134.80117200000001</v>
      </c>
      <c r="AL52" s="51">
        <f t="shared" si="18"/>
        <v>269.60234400000002</v>
      </c>
      <c r="AM52" s="51">
        <f t="shared" si="18"/>
        <v>539.20468800000003</v>
      </c>
      <c r="AN52" s="51">
        <f t="shared" si="16"/>
        <v>808.80703200000005</v>
      </c>
      <c r="AO52" s="51">
        <f t="shared" si="16"/>
        <v>1078.4093760000001</v>
      </c>
      <c r="AP52" s="51">
        <f t="shared" si="16"/>
        <v>1348.0117200000002</v>
      </c>
    </row>
    <row r="53" spans="1:42">
      <c r="A53" t="s">
        <v>673</v>
      </c>
      <c r="B53" s="29" t="s">
        <v>674</v>
      </c>
      <c r="C53">
        <v>6924012</v>
      </c>
      <c r="D53" s="2" t="s">
        <v>650</v>
      </c>
      <c r="G53">
        <v>1</v>
      </c>
      <c r="H53" s="40">
        <v>0.95</v>
      </c>
      <c r="I53" s="40">
        <f t="shared" si="5"/>
        <v>0.95</v>
      </c>
      <c r="L53" s="72">
        <v>44859</v>
      </c>
      <c r="M53" s="42">
        <f t="shared" si="1"/>
        <v>1.0355000000000001</v>
      </c>
      <c r="N53" s="2" t="s">
        <v>79</v>
      </c>
      <c r="P53" s="32">
        <f t="shared" si="2"/>
        <v>2.0710000000000002</v>
      </c>
      <c r="Q53" s="32">
        <f>P53*0.09</f>
        <v>0.18639</v>
      </c>
      <c r="R53" s="292">
        <f t="shared" si="7"/>
        <v>2.25739</v>
      </c>
      <c r="T53" s="33">
        <f t="shared" si="3"/>
        <v>3.1065000000000005</v>
      </c>
      <c r="U53" s="33">
        <f t="shared" si="8"/>
        <v>0.24852000000000005</v>
      </c>
      <c r="V53" s="50">
        <f t="shared" si="9"/>
        <v>3.3550200000000006</v>
      </c>
      <c r="X53" s="51">
        <f t="shared" si="15"/>
        <v>3.3550200000000006</v>
      </c>
      <c r="Y53" s="51">
        <f t="shared" si="15"/>
        <v>6.7100400000000011</v>
      </c>
      <c r="Z53" s="51">
        <f t="shared" si="15"/>
        <v>10.065060000000003</v>
      </c>
      <c r="AA53" s="51">
        <f t="shared" si="15"/>
        <v>13.420080000000002</v>
      </c>
      <c r="AB53" s="51">
        <f t="shared" si="15"/>
        <v>16.775100000000002</v>
      </c>
      <c r="AC53" s="51">
        <f t="shared" si="15"/>
        <v>20.130120000000005</v>
      </c>
      <c r="AD53" s="51">
        <f t="shared" si="15"/>
        <v>23.485140000000005</v>
      </c>
      <c r="AE53" s="51">
        <f t="shared" si="15"/>
        <v>26.840160000000004</v>
      </c>
      <c r="AF53" s="51">
        <f t="shared" si="15"/>
        <v>30.195180000000004</v>
      </c>
      <c r="AG53" s="51">
        <f t="shared" si="15"/>
        <v>33.550200000000004</v>
      </c>
      <c r="AH53" s="51">
        <f t="shared" si="15"/>
        <v>67.100400000000008</v>
      </c>
      <c r="AI53" s="51">
        <f t="shared" si="15"/>
        <v>100.65060000000001</v>
      </c>
      <c r="AJ53" s="51">
        <f t="shared" si="15"/>
        <v>134.20080000000002</v>
      </c>
      <c r="AK53" s="51">
        <f t="shared" si="15"/>
        <v>167.75100000000003</v>
      </c>
      <c r="AL53" s="51">
        <f t="shared" si="15"/>
        <v>335.50200000000007</v>
      </c>
      <c r="AM53" s="51">
        <f t="shared" si="15"/>
        <v>671.00400000000013</v>
      </c>
      <c r="AN53" s="51">
        <f t="shared" si="16"/>
        <v>1006.5060000000002</v>
      </c>
      <c r="AO53" s="51">
        <f t="shared" si="16"/>
        <v>1342.0080000000003</v>
      </c>
      <c r="AP53" s="51">
        <f t="shared" si="16"/>
        <v>1677.5100000000002</v>
      </c>
    </row>
    <row r="54" spans="1:42">
      <c r="A54" t="s">
        <v>675</v>
      </c>
      <c r="D54" s="2" t="s">
        <v>650</v>
      </c>
      <c r="G54">
        <v>1</v>
      </c>
      <c r="H54" s="40">
        <v>0.45</v>
      </c>
      <c r="I54" s="40">
        <f t="shared" si="5"/>
        <v>0.45</v>
      </c>
      <c r="L54" s="72">
        <v>44859</v>
      </c>
      <c r="M54" s="42">
        <f t="shared" si="1"/>
        <v>0.49050000000000005</v>
      </c>
      <c r="N54" s="2" t="s">
        <v>122</v>
      </c>
      <c r="P54" s="32">
        <f t="shared" si="2"/>
        <v>0.98100000000000009</v>
      </c>
      <c r="Q54" s="32">
        <f t="shared" ref="Q54:Q148" si="19">P54*0.09</f>
        <v>8.8290000000000007E-2</v>
      </c>
      <c r="R54" s="292">
        <f t="shared" si="7"/>
        <v>1.0692900000000001</v>
      </c>
      <c r="T54" s="33">
        <f t="shared" si="3"/>
        <v>1.4715000000000003</v>
      </c>
      <c r="U54" s="33">
        <f t="shared" si="8"/>
        <v>0.11772000000000002</v>
      </c>
      <c r="V54" s="50">
        <f t="shared" si="9"/>
        <v>1.5892200000000003</v>
      </c>
      <c r="X54" s="51">
        <f t="shared" si="15"/>
        <v>1.5892200000000003</v>
      </c>
      <c r="Y54" s="51">
        <f t="shared" si="15"/>
        <v>3.1784400000000006</v>
      </c>
      <c r="Z54" s="51">
        <f t="shared" si="15"/>
        <v>4.7676600000000011</v>
      </c>
      <c r="AA54" s="51">
        <f t="shared" si="15"/>
        <v>6.3568800000000012</v>
      </c>
      <c r="AB54" s="51">
        <f t="shared" si="15"/>
        <v>7.9461000000000013</v>
      </c>
      <c r="AC54" s="51">
        <f t="shared" si="15"/>
        <v>9.5353200000000022</v>
      </c>
      <c r="AD54" s="51">
        <f t="shared" si="15"/>
        <v>11.124540000000001</v>
      </c>
      <c r="AE54" s="51">
        <f t="shared" si="15"/>
        <v>12.713760000000002</v>
      </c>
      <c r="AF54" s="51">
        <f t="shared" si="15"/>
        <v>14.302980000000003</v>
      </c>
      <c r="AG54" s="51">
        <f t="shared" si="15"/>
        <v>15.892200000000003</v>
      </c>
      <c r="AH54" s="51">
        <f t="shared" si="15"/>
        <v>31.784400000000005</v>
      </c>
      <c r="AI54" s="51">
        <f t="shared" si="15"/>
        <v>47.676600000000008</v>
      </c>
      <c r="AJ54" s="51">
        <f t="shared" si="15"/>
        <v>63.56880000000001</v>
      </c>
      <c r="AK54" s="51">
        <f t="shared" si="15"/>
        <v>79.461000000000013</v>
      </c>
      <c r="AL54" s="51">
        <f t="shared" si="15"/>
        <v>158.92200000000003</v>
      </c>
      <c r="AM54" s="51">
        <f t="shared" si="15"/>
        <v>317.84400000000005</v>
      </c>
      <c r="AN54" s="51">
        <f t="shared" si="16"/>
        <v>476.76600000000008</v>
      </c>
      <c r="AO54" s="51">
        <f t="shared" si="16"/>
        <v>635.6880000000001</v>
      </c>
      <c r="AP54" s="51">
        <f t="shared" si="16"/>
        <v>794.61000000000013</v>
      </c>
    </row>
    <row r="55" spans="1:42">
      <c r="A55" t="s">
        <v>676</v>
      </c>
      <c r="B55" s="29" t="s">
        <v>677</v>
      </c>
      <c r="D55" s="2" t="s">
        <v>650</v>
      </c>
      <c r="F55" s="73">
        <f>78/30</f>
        <v>2.6</v>
      </c>
      <c r="G55">
        <v>30</v>
      </c>
      <c r="H55" s="40">
        <v>2.6</v>
      </c>
      <c r="I55" s="40">
        <f t="shared" si="5"/>
        <v>78</v>
      </c>
      <c r="L55" s="72">
        <v>44859</v>
      </c>
      <c r="M55" s="42">
        <f t="shared" si="1"/>
        <v>2.8340000000000005</v>
      </c>
      <c r="N55" s="2" t="s">
        <v>79</v>
      </c>
      <c r="P55" s="32">
        <f t="shared" si="2"/>
        <v>5.668000000000001</v>
      </c>
      <c r="Q55" s="32">
        <f t="shared" si="19"/>
        <v>0.51012000000000013</v>
      </c>
      <c r="R55" s="292">
        <f t="shared" si="7"/>
        <v>6.1781200000000016</v>
      </c>
      <c r="T55" s="33">
        <f t="shared" si="3"/>
        <v>8.5020000000000024</v>
      </c>
      <c r="U55" s="33">
        <f t="shared" si="8"/>
        <v>0.68016000000000021</v>
      </c>
      <c r="V55" s="50">
        <f t="shared" si="9"/>
        <v>9.1821600000000032</v>
      </c>
      <c r="X55" s="51">
        <f t="shared" si="15"/>
        <v>9.1821600000000032</v>
      </c>
      <c r="Y55" s="51">
        <f t="shared" si="15"/>
        <v>18.364320000000006</v>
      </c>
      <c r="Z55" s="51">
        <f t="shared" si="15"/>
        <v>27.54648000000001</v>
      </c>
      <c r="AA55" s="51">
        <f t="shared" si="15"/>
        <v>36.728640000000013</v>
      </c>
      <c r="AB55" s="51">
        <f t="shared" si="15"/>
        <v>45.910800000000016</v>
      </c>
      <c r="AC55" s="51">
        <f t="shared" si="15"/>
        <v>55.092960000000019</v>
      </c>
      <c r="AD55" s="51">
        <f t="shared" si="15"/>
        <v>64.275120000000015</v>
      </c>
      <c r="AE55" s="51">
        <f t="shared" si="15"/>
        <v>73.457280000000026</v>
      </c>
      <c r="AF55" s="51">
        <f t="shared" si="15"/>
        <v>82.639440000000036</v>
      </c>
      <c r="AG55" s="51">
        <f t="shared" si="15"/>
        <v>91.821600000000032</v>
      </c>
      <c r="AH55" s="51">
        <f t="shared" si="15"/>
        <v>183.64320000000006</v>
      </c>
      <c r="AI55" s="51">
        <f t="shared" si="15"/>
        <v>275.46480000000008</v>
      </c>
      <c r="AJ55" s="51">
        <f t="shared" si="15"/>
        <v>367.28640000000013</v>
      </c>
      <c r="AK55" s="51">
        <f t="shared" si="15"/>
        <v>459.10800000000017</v>
      </c>
      <c r="AL55" s="51">
        <f t="shared" si="15"/>
        <v>918.21600000000035</v>
      </c>
      <c r="AM55" s="51">
        <f t="shared" si="15"/>
        <v>1836.4320000000007</v>
      </c>
      <c r="AN55" s="51">
        <f t="shared" si="16"/>
        <v>2754.648000000001</v>
      </c>
      <c r="AO55" s="51">
        <f t="shared" si="16"/>
        <v>3672.8640000000014</v>
      </c>
      <c r="AP55" s="51">
        <f t="shared" si="16"/>
        <v>4591.0800000000017</v>
      </c>
    </row>
    <row r="56" spans="1:42">
      <c r="A56" t="s">
        <v>678</v>
      </c>
      <c r="B56" s="29" t="s">
        <v>679</v>
      </c>
      <c r="D56" s="2" t="s">
        <v>650</v>
      </c>
      <c r="F56" s="73">
        <f>38.17/30</f>
        <v>1.2723333333333333</v>
      </c>
      <c r="G56">
        <v>30</v>
      </c>
      <c r="H56" s="40">
        <v>1.27</v>
      </c>
      <c r="I56" s="40">
        <f t="shared" si="5"/>
        <v>38.1</v>
      </c>
      <c r="L56" s="72">
        <v>44859</v>
      </c>
      <c r="M56" s="42">
        <f t="shared" si="1"/>
        <v>1.3843000000000001</v>
      </c>
      <c r="N56" s="2" t="s">
        <v>79</v>
      </c>
      <c r="P56" s="32">
        <f t="shared" si="2"/>
        <v>2.7686000000000002</v>
      </c>
      <c r="Q56" s="32">
        <f t="shared" si="19"/>
        <v>0.24917400000000001</v>
      </c>
      <c r="R56" s="292">
        <f t="shared" si="7"/>
        <v>3.0177740000000002</v>
      </c>
      <c r="T56" s="33">
        <f t="shared" si="3"/>
        <v>4.1529000000000007</v>
      </c>
      <c r="U56" s="33">
        <f t="shared" si="8"/>
        <v>0.33223200000000008</v>
      </c>
      <c r="V56" s="50">
        <f t="shared" si="9"/>
        <v>4.485132000000001</v>
      </c>
      <c r="X56" s="51">
        <f t="shared" si="15"/>
        <v>4.485132000000001</v>
      </c>
      <c r="Y56" s="51">
        <f t="shared" si="15"/>
        <v>8.970264000000002</v>
      </c>
      <c r="Z56" s="51">
        <f t="shared" si="15"/>
        <v>13.455396000000004</v>
      </c>
      <c r="AA56" s="51">
        <f t="shared" si="15"/>
        <v>17.940528000000004</v>
      </c>
      <c r="AB56" s="51">
        <f t="shared" si="15"/>
        <v>22.425660000000004</v>
      </c>
      <c r="AC56" s="51">
        <f t="shared" si="15"/>
        <v>26.910792000000008</v>
      </c>
      <c r="AD56" s="51">
        <f t="shared" si="15"/>
        <v>31.395924000000008</v>
      </c>
      <c r="AE56" s="51">
        <f t="shared" si="15"/>
        <v>35.881056000000008</v>
      </c>
      <c r="AF56" s="51">
        <f t="shared" si="15"/>
        <v>40.366188000000008</v>
      </c>
      <c r="AG56" s="51">
        <f t="shared" si="15"/>
        <v>44.851320000000008</v>
      </c>
      <c r="AH56" s="51">
        <f t="shared" si="15"/>
        <v>89.702640000000017</v>
      </c>
      <c r="AI56" s="51">
        <f t="shared" si="15"/>
        <v>134.55396000000002</v>
      </c>
      <c r="AJ56" s="51">
        <f t="shared" si="15"/>
        <v>179.40528000000003</v>
      </c>
      <c r="AK56" s="51">
        <f t="shared" si="15"/>
        <v>224.25660000000005</v>
      </c>
      <c r="AL56" s="51">
        <f t="shared" si="15"/>
        <v>448.5132000000001</v>
      </c>
      <c r="AM56" s="51">
        <f t="shared" si="15"/>
        <v>897.02640000000019</v>
      </c>
      <c r="AN56" s="51">
        <f t="shared" ref="AN56:AN58" si="20">$V56*AN$3</f>
        <v>1345.5396000000003</v>
      </c>
      <c r="AO56" s="51">
        <f t="shared" si="16"/>
        <v>1794.0528000000004</v>
      </c>
      <c r="AP56" s="51">
        <f t="shared" si="16"/>
        <v>2242.5660000000007</v>
      </c>
    </row>
    <row r="57" spans="1:42">
      <c r="A57" t="s">
        <v>680</v>
      </c>
      <c r="D57" s="2" t="s">
        <v>650</v>
      </c>
      <c r="F57" s="73">
        <f>80.5/24</f>
        <v>3.3541666666666665</v>
      </c>
      <c r="G57">
        <v>24</v>
      </c>
      <c r="H57" s="40">
        <f t="shared" ref="H57:H66" si="21">F57</f>
        <v>3.3541666666666665</v>
      </c>
      <c r="I57" s="40">
        <f t="shared" ref="I57:I65" si="22">G57*H57</f>
        <v>80.5</v>
      </c>
      <c r="L57" s="72"/>
      <c r="M57" s="42">
        <f>H57*M1</f>
        <v>3.6560416666666669</v>
      </c>
      <c r="N57" s="2" t="s">
        <v>79</v>
      </c>
      <c r="P57" s="32">
        <f t="shared" si="2"/>
        <v>7.3120833333333337</v>
      </c>
      <c r="Q57" s="32">
        <f t="shared" si="19"/>
        <v>0.65808750000000005</v>
      </c>
      <c r="R57" s="292">
        <f t="shared" si="7"/>
        <v>7.9701708333333334</v>
      </c>
      <c r="T57" s="33">
        <f t="shared" si="3"/>
        <v>10.968125000000001</v>
      </c>
      <c r="U57" s="33">
        <f t="shared" si="8"/>
        <v>0.87745000000000006</v>
      </c>
      <c r="V57" s="50">
        <f t="shared" si="9"/>
        <v>11.845575</v>
      </c>
      <c r="X57" s="51">
        <f t="shared" ref="X57:AM58" si="23">$V57*X$3</f>
        <v>11.845575</v>
      </c>
      <c r="Y57" s="51">
        <f t="shared" si="23"/>
        <v>23.69115</v>
      </c>
      <c r="Z57" s="51">
        <f t="shared" si="23"/>
        <v>35.536725000000004</v>
      </c>
      <c r="AA57" s="51">
        <f t="shared" si="23"/>
        <v>47.382300000000001</v>
      </c>
      <c r="AB57" s="51">
        <f t="shared" si="23"/>
        <v>59.227874999999997</v>
      </c>
      <c r="AC57" s="51">
        <f t="shared" si="23"/>
        <v>71.073450000000008</v>
      </c>
      <c r="AD57" s="51">
        <f t="shared" si="23"/>
        <v>82.919025000000005</v>
      </c>
      <c r="AE57" s="51">
        <f t="shared" si="23"/>
        <v>94.764600000000002</v>
      </c>
      <c r="AF57" s="51">
        <f t="shared" si="23"/>
        <v>106.610175</v>
      </c>
      <c r="AG57" s="51">
        <f t="shared" si="23"/>
        <v>118.45574999999999</v>
      </c>
      <c r="AH57" s="51">
        <f t="shared" si="23"/>
        <v>236.91149999999999</v>
      </c>
      <c r="AI57" s="51">
        <f t="shared" si="23"/>
        <v>355.36725000000001</v>
      </c>
      <c r="AJ57" s="51">
        <f t="shared" si="23"/>
        <v>473.82299999999998</v>
      </c>
      <c r="AK57" s="51">
        <f t="shared" si="23"/>
        <v>592.27875000000006</v>
      </c>
      <c r="AL57" s="51">
        <f t="shared" si="23"/>
        <v>1184.5575000000001</v>
      </c>
      <c r="AM57" s="51">
        <f t="shared" si="23"/>
        <v>2369.1150000000002</v>
      </c>
      <c r="AN57" s="51">
        <f t="shared" si="20"/>
        <v>3553.6725000000001</v>
      </c>
      <c r="AO57" s="51">
        <f t="shared" si="16"/>
        <v>4738.2300000000005</v>
      </c>
      <c r="AP57" s="51">
        <f t="shared" si="16"/>
        <v>5922.7875000000004</v>
      </c>
    </row>
    <row r="58" spans="1:42">
      <c r="A58" t="s">
        <v>681</v>
      </c>
      <c r="D58" s="2" t="s">
        <v>650</v>
      </c>
      <c r="F58" s="73">
        <f>93.66/24</f>
        <v>3.9024999999999999</v>
      </c>
      <c r="G58">
        <v>24</v>
      </c>
      <c r="H58" s="40">
        <f t="shared" si="21"/>
        <v>3.9024999999999999</v>
      </c>
      <c r="I58" s="40">
        <f t="shared" si="22"/>
        <v>93.66</v>
      </c>
      <c r="L58" s="72"/>
      <c r="M58" s="42">
        <f>H58*M1</f>
        <v>4.2537250000000002</v>
      </c>
      <c r="N58" s="2" t="s">
        <v>79</v>
      </c>
      <c r="P58" s="32">
        <f t="shared" si="2"/>
        <v>8.5074500000000004</v>
      </c>
      <c r="Q58" s="32">
        <f t="shared" si="19"/>
        <v>0.76567050000000003</v>
      </c>
      <c r="R58" s="292">
        <f t="shared" si="7"/>
        <v>9.273120500000001</v>
      </c>
      <c r="T58" s="33">
        <f t="shared" si="3"/>
        <v>12.761175000000001</v>
      </c>
      <c r="U58" s="33">
        <f t="shared" si="8"/>
        <v>1.0208940000000002</v>
      </c>
      <c r="V58" s="50">
        <f t="shared" si="9"/>
        <v>13.782069000000002</v>
      </c>
      <c r="X58" s="51">
        <f t="shared" si="23"/>
        <v>13.782069000000002</v>
      </c>
      <c r="Y58" s="51">
        <f t="shared" si="23"/>
        <v>27.564138000000003</v>
      </c>
      <c r="Z58" s="51">
        <f t="shared" si="23"/>
        <v>41.346207000000007</v>
      </c>
      <c r="AA58" s="51">
        <f t="shared" si="23"/>
        <v>55.128276000000007</v>
      </c>
      <c r="AB58" s="51">
        <f t="shared" si="23"/>
        <v>68.910345000000007</v>
      </c>
      <c r="AC58" s="51">
        <f t="shared" si="23"/>
        <v>82.692414000000014</v>
      </c>
      <c r="AD58" s="51">
        <f t="shared" si="23"/>
        <v>96.474483000000006</v>
      </c>
      <c r="AE58" s="51">
        <f t="shared" si="23"/>
        <v>110.25655200000001</v>
      </c>
      <c r="AF58" s="51">
        <f t="shared" si="23"/>
        <v>124.03862100000002</v>
      </c>
      <c r="AG58" s="51">
        <f t="shared" si="23"/>
        <v>137.82069000000001</v>
      </c>
      <c r="AH58" s="51">
        <f t="shared" si="23"/>
        <v>275.64138000000003</v>
      </c>
      <c r="AI58" s="51">
        <f t="shared" si="23"/>
        <v>413.46207000000004</v>
      </c>
      <c r="AJ58" s="51">
        <f t="shared" si="23"/>
        <v>551.28276000000005</v>
      </c>
      <c r="AK58" s="51">
        <f t="shared" si="23"/>
        <v>689.10345000000007</v>
      </c>
      <c r="AL58" s="51">
        <f t="shared" si="23"/>
        <v>1378.2069000000001</v>
      </c>
      <c r="AM58" s="51">
        <f t="shared" si="23"/>
        <v>2756.4138000000003</v>
      </c>
      <c r="AN58" s="51">
        <f t="shared" si="20"/>
        <v>4134.6207000000004</v>
      </c>
      <c r="AO58" s="51">
        <f t="shared" si="16"/>
        <v>5512.8276000000005</v>
      </c>
      <c r="AP58" s="51">
        <f t="shared" si="16"/>
        <v>6891.0345000000007</v>
      </c>
    </row>
    <row r="59" spans="1:42">
      <c r="A59" t="s">
        <v>682</v>
      </c>
      <c r="D59" s="2" t="s">
        <v>650</v>
      </c>
      <c r="F59" s="73">
        <f>148.12/24</f>
        <v>6.1716666666666669</v>
      </c>
      <c r="G59">
        <v>24</v>
      </c>
      <c r="H59" s="40">
        <f t="shared" si="21"/>
        <v>6.1716666666666669</v>
      </c>
      <c r="I59" s="40">
        <f t="shared" si="22"/>
        <v>148.12</v>
      </c>
      <c r="L59" s="72"/>
      <c r="M59" s="42">
        <f>H59*M1</f>
        <v>6.7271166666666673</v>
      </c>
      <c r="N59" s="2" t="s">
        <v>79</v>
      </c>
      <c r="Q59" s="32"/>
      <c r="R59" s="292"/>
      <c r="T59" s="33"/>
      <c r="U59" s="33"/>
      <c r="V59" s="50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</row>
    <row r="60" spans="1:42">
      <c r="A60" t="s">
        <v>683</v>
      </c>
      <c r="B60" s="29" t="s">
        <v>684</v>
      </c>
      <c r="D60" s="2" t="s">
        <v>650</v>
      </c>
      <c r="F60" s="73">
        <f>47.16/24*2</f>
        <v>3.9299999999999997</v>
      </c>
      <c r="G60">
        <v>24</v>
      </c>
      <c r="H60" s="40">
        <f t="shared" si="21"/>
        <v>3.9299999999999997</v>
      </c>
      <c r="I60" s="40">
        <f t="shared" si="22"/>
        <v>94.32</v>
      </c>
      <c r="L60" s="72"/>
      <c r="M60" s="42">
        <f>H60*M1</f>
        <v>4.2836999999999996</v>
      </c>
      <c r="N60" s="2" t="s">
        <v>79</v>
      </c>
      <c r="Q60" s="32"/>
      <c r="R60" s="292"/>
      <c r="T60" s="33"/>
      <c r="U60" s="33"/>
      <c r="V60" s="50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</row>
    <row r="61" spans="1:42">
      <c r="A61" t="s">
        <v>685</v>
      </c>
      <c r="B61" s="29" t="s">
        <v>684</v>
      </c>
      <c r="D61" s="2" t="s">
        <v>650</v>
      </c>
      <c r="F61" s="73">
        <f>83.86/24*2</f>
        <v>6.9883333333333333</v>
      </c>
      <c r="G61">
        <v>24</v>
      </c>
      <c r="H61" s="40">
        <f t="shared" si="21"/>
        <v>6.9883333333333333</v>
      </c>
      <c r="I61" s="40">
        <f t="shared" si="22"/>
        <v>167.72</v>
      </c>
      <c r="L61" s="72"/>
      <c r="M61" s="42">
        <f>H61*M1</f>
        <v>7.6172833333333339</v>
      </c>
      <c r="N61" s="2" t="s">
        <v>79</v>
      </c>
      <c r="Q61" s="32"/>
      <c r="R61" s="292"/>
      <c r="T61" s="33"/>
      <c r="U61" s="33"/>
      <c r="V61" s="50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</row>
    <row r="62" spans="1:42">
      <c r="A62" t="s">
        <v>686</v>
      </c>
      <c r="B62" s="29" t="s">
        <v>684</v>
      </c>
      <c r="D62" s="2" t="s">
        <v>650</v>
      </c>
      <c r="F62" s="73">
        <f>81.62/24*2</f>
        <v>6.8016666666666667</v>
      </c>
      <c r="G62">
        <v>24</v>
      </c>
      <c r="H62" s="40">
        <f t="shared" si="21"/>
        <v>6.8016666666666667</v>
      </c>
      <c r="I62" s="40">
        <f t="shared" si="22"/>
        <v>163.24</v>
      </c>
      <c r="L62" s="72"/>
      <c r="M62" s="42">
        <f>H62*M1</f>
        <v>7.4138166666666674</v>
      </c>
      <c r="N62" s="2" t="s">
        <v>79</v>
      </c>
      <c r="Q62" s="32"/>
      <c r="R62" s="292"/>
      <c r="T62" s="33"/>
      <c r="U62" s="33"/>
      <c r="V62" s="50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</row>
    <row r="63" spans="1:42">
      <c r="A63" t="s">
        <v>687</v>
      </c>
      <c r="B63" s="29" t="s">
        <v>684</v>
      </c>
      <c r="D63" s="2" t="s">
        <v>650</v>
      </c>
      <c r="F63" s="73">
        <f>91.71/24*2</f>
        <v>7.6424999999999992</v>
      </c>
      <c r="G63">
        <v>24</v>
      </c>
      <c r="H63" s="40">
        <f t="shared" si="21"/>
        <v>7.6424999999999992</v>
      </c>
      <c r="I63" s="40">
        <f t="shared" si="22"/>
        <v>183.42</v>
      </c>
      <c r="L63" s="72"/>
      <c r="M63" s="42">
        <f>H63*M1</f>
        <v>8.3303250000000002</v>
      </c>
      <c r="N63" s="2" t="s">
        <v>79</v>
      </c>
      <c r="Q63" s="32"/>
      <c r="R63" s="292"/>
      <c r="T63" s="33"/>
      <c r="U63" s="33"/>
      <c r="V63" s="50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</row>
    <row r="64" spans="1:42">
      <c r="A64" t="s">
        <v>688</v>
      </c>
      <c r="B64" s="29" t="s">
        <v>684</v>
      </c>
      <c r="D64" s="2" t="s">
        <v>650</v>
      </c>
      <c r="F64" s="73">
        <f>222.51/36*2</f>
        <v>12.361666666666666</v>
      </c>
      <c r="G64">
        <v>36</v>
      </c>
      <c r="H64" s="40">
        <f t="shared" si="21"/>
        <v>12.361666666666666</v>
      </c>
      <c r="I64" s="40">
        <f t="shared" si="22"/>
        <v>445.02</v>
      </c>
      <c r="L64" s="72"/>
      <c r="M64" s="42">
        <f>H64*M1</f>
        <v>13.474216666666667</v>
      </c>
      <c r="N64" s="2" t="s">
        <v>79</v>
      </c>
      <c r="Q64" s="32"/>
      <c r="R64" s="292"/>
      <c r="T64" s="33"/>
      <c r="U64" s="33"/>
      <c r="V64" s="50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</row>
    <row r="65" spans="1:42">
      <c r="A65" t="s">
        <v>689</v>
      </c>
      <c r="B65" s="29" t="s">
        <v>684</v>
      </c>
      <c r="D65" s="2" t="s">
        <v>650</v>
      </c>
      <c r="F65" s="73">
        <f>257.32/36*2</f>
        <v>14.295555555555556</v>
      </c>
      <c r="G65">
        <v>36</v>
      </c>
      <c r="H65" s="40">
        <f t="shared" si="21"/>
        <v>14.295555555555556</v>
      </c>
      <c r="I65" s="40">
        <f t="shared" si="22"/>
        <v>514.64</v>
      </c>
      <c r="L65" s="72"/>
      <c r="M65" s="42">
        <f>H65*M1</f>
        <v>15.582155555555557</v>
      </c>
      <c r="N65" s="2" t="s">
        <v>79</v>
      </c>
      <c r="Q65" s="32"/>
      <c r="R65" s="292"/>
      <c r="T65" s="33"/>
      <c r="U65" s="33"/>
      <c r="V65" s="50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</row>
    <row r="66" spans="1:42">
      <c r="A66" t="s">
        <v>690</v>
      </c>
      <c r="B66" s="29" t="s">
        <v>684</v>
      </c>
      <c r="D66" s="2" t="s">
        <v>650</v>
      </c>
      <c r="F66" s="73">
        <f>350.55/36*2</f>
        <v>19.475000000000001</v>
      </c>
      <c r="G66">
        <v>36</v>
      </c>
      <c r="H66" s="40">
        <f t="shared" si="21"/>
        <v>19.475000000000001</v>
      </c>
      <c r="I66" s="40">
        <f>H66*G66</f>
        <v>701.1</v>
      </c>
      <c r="L66" s="72"/>
      <c r="M66" s="42">
        <f>F66*M1</f>
        <v>21.227750000000004</v>
      </c>
      <c r="N66" s="2" t="s">
        <v>79</v>
      </c>
      <c r="Q66" s="32"/>
      <c r="R66" s="292"/>
      <c r="T66" s="33"/>
      <c r="U66" s="33"/>
      <c r="V66" s="50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</row>
    <row r="67" spans="1:42">
      <c r="A67" t="s">
        <v>691</v>
      </c>
      <c r="D67" s="2" t="s">
        <v>650</v>
      </c>
      <c r="G67">
        <v>1</v>
      </c>
      <c r="H67" s="40">
        <v>0.8</v>
      </c>
      <c r="I67" s="40">
        <f t="shared" si="5"/>
        <v>0.8</v>
      </c>
      <c r="L67" s="72">
        <v>44859</v>
      </c>
      <c r="M67" s="42">
        <f t="shared" si="1"/>
        <v>0.87200000000000011</v>
      </c>
      <c r="N67" s="2" t="s">
        <v>122</v>
      </c>
      <c r="P67" s="32">
        <f t="shared" si="2"/>
        <v>1.7440000000000002</v>
      </c>
      <c r="Q67" s="32">
        <f t="shared" si="19"/>
        <v>0.15696000000000002</v>
      </c>
      <c r="R67" s="292">
        <f t="shared" si="7"/>
        <v>1.9009600000000002</v>
      </c>
      <c r="T67" s="33">
        <f t="shared" si="3"/>
        <v>2.6160000000000005</v>
      </c>
      <c r="U67" s="33">
        <f t="shared" si="8"/>
        <v>0.20928000000000005</v>
      </c>
      <c r="V67" s="50">
        <f t="shared" si="9"/>
        <v>2.8252800000000007</v>
      </c>
      <c r="X67" s="51">
        <f t="shared" si="15"/>
        <v>2.8252800000000007</v>
      </c>
      <c r="Y67" s="51">
        <f t="shared" si="15"/>
        <v>5.6505600000000014</v>
      </c>
      <c r="Z67" s="51">
        <f t="shared" si="15"/>
        <v>8.4758400000000016</v>
      </c>
      <c r="AA67" s="51">
        <f t="shared" si="15"/>
        <v>11.301120000000003</v>
      </c>
      <c r="AB67" s="51">
        <f t="shared" si="15"/>
        <v>14.126400000000004</v>
      </c>
      <c r="AC67" s="51">
        <f t="shared" si="15"/>
        <v>16.951680000000003</v>
      </c>
      <c r="AD67" s="51">
        <f t="shared" si="15"/>
        <v>19.776960000000006</v>
      </c>
      <c r="AE67" s="51">
        <f t="shared" si="15"/>
        <v>22.602240000000005</v>
      </c>
      <c r="AF67" s="51">
        <f t="shared" si="15"/>
        <v>25.427520000000005</v>
      </c>
      <c r="AG67" s="51">
        <f t="shared" si="15"/>
        <v>28.252800000000008</v>
      </c>
      <c r="AH67" s="51">
        <f t="shared" si="15"/>
        <v>56.505600000000015</v>
      </c>
      <c r="AI67" s="51">
        <f t="shared" si="15"/>
        <v>84.758400000000023</v>
      </c>
      <c r="AJ67" s="51">
        <f t="shared" si="15"/>
        <v>113.01120000000003</v>
      </c>
      <c r="AK67" s="51">
        <f t="shared" si="15"/>
        <v>141.26400000000004</v>
      </c>
      <c r="AL67" s="51">
        <f t="shared" si="15"/>
        <v>282.52800000000008</v>
      </c>
      <c r="AM67" s="51">
        <f t="shared" si="15"/>
        <v>565.05600000000015</v>
      </c>
      <c r="AN67" s="51">
        <f t="shared" ref="AN67:AN71" si="24">$V67*AN$3</f>
        <v>847.58400000000017</v>
      </c>
      <c r="AO67" s="51">
        <f t="shared" si="16"/>
        <v>1130.1120000000003</v>
      </c>
      <c r="AP67" s="51">
        <f t="shared" si="16"/>
        <v>1412.6400000000003</v>
      </c>
    </row>
    <row r="68" spans="1:42">
      <c r="A68" t="s">
        <v>692</v>
      </c>
      <c r="D68" s="2" t="s">
        <v>650</v>
      </c>
      <c r="G68">
        <v>1</v>
      </c>
      <c r="H68" s="40">
        <v>3.02</v>
      </c>
      <c r="I68" s="40">
        <f t="shared" si="5"/>
        <v>3.02</v>
      </c>
      <c r="L68" s="72">
        <v>44859</v>
      </c>
      <c r="M68" s="42">
        <f t="shared" si="1"/>
        <v>3.2918000000000003</v>
      </c>
      <c r="N68" s="2" t="s">
        <v>122</v>
      </c>
      <c r="P68" s="32">
        <f t="shared" si="2"/>
        <v>6.5836000000000006</v>
      </c>
      <c r="Q68" s="32">
        <f t="shared" si="19"/>
        <v>0.59252400000000005</v>
      </c>
      <c r="R68" s="292">
        <f t="shared" si="7"/>
        <v>7.1761240000000006</v>
      </c>
      <c r="T68" s="33">
        <f t="shared" si="3"/>
        <v>9.8754000000000008</v>
      </c>
      <c r="U68" s="33">
        <f t="shared" si="8"/>
        <v>0.79003200000000007</v>
      </c>
      <c r="V68" s="50">
        <f t="shared" si="9"/>
        <v>10.665432000000001</v>
      </c>
      <c r="X68" s="51">
        <f t="shared" si="15"/>
        <v>10.665432000000001</v>
      </c>
      <c r="Y68" s="51">
        <f t="shared" si="15"/>
        <v>21.330864000000002</v>
      </c>
      <c r="Z68" s="51">
        <f t="shared" si="15"/>
        <v>31.996296000000001</v>
      </c>
      <c r="AA68" s="51">
        <f t="shared" si="15"/>
        <v>42.661728000000004</v>
      </c>
      <c r="AB68" s="51">
        <f t="shared" si="15"/>
        <v>53.327160000000006</v>
      </c>
      <c r="AC68" s="51">
        <f t="shared" si="15"/>
        <v>63.992592000000002</v>
      </c>
      <c r="AD68" s="51">
        <f t="shared" si="15"/>
        <v>74.658024000000012</v>
      </c>
      <c r="AE68" s="51">
        <f t="shared" si="15"/>
        <v>85.323456000000007</v>
      </c>
      <c r="AF68" s="51">
        <f t="shared" si="15"/>
        <v>95.988888000000003</v>
      </c>
      <c r="AG68" s="51">
        <f t="shared" si="15"/>
        <v>106.65432000000001</v>
      </c>
      <c r="AH68" s="51">
        <f t="shared" si="15"/>
        <v>213.30864000000003</v>
      </c>
      <c r="AI68" s="51">
        <f t="shared" si="15"/>
        <v>319.96296000000001</v>
      </c>
      <c r="AJ68" s="51">
        <f t="shared" si="15"/>
        <v>426.61728000000005</v>
      </c>
      <c r="AK68" s="51">
        <f t="shared" si="15"/>
        <v>533.27160000000003</v>
      </c>
      <c r="AL68" s="51">
        <f t="shared" si="15"/>
        <v>1066.5432000000001</v>
      </c>
      <c r="AM68" s="51">
        <f t="shared" si="15"/>
        <v>2133.0864000000001</v>
      </c>
      <c r="AN68" s="51">
        <f t="shared" si="24"/>
        <v>3199.6296000000002</v>
      </c>
      <c r="AO68" s="51">
        <f t="shared" si="16"/>
        <v>4266.1728000000003</v>
      </c>
      <c r="AP68" s="51">
        <f t="shared" si="16"/>
        <v>5332.7160000000003</v>
      </c>
    </row>
    <row r="69" spans="1:42">
      <c r="A69" t="s">
        <v>693</v>
      </c>
      <c r="D69" s="2" t="s">
        <v>650</v>
      </c>
      <c r="G69">
        <v>1</v>
      </c>
      <c r="H69" s="40">
        <v>24.2</v>
      </c>
      <c r="I69" s="40">
        <f t="shared" si="5"/>
        <v>24.2</v>
      </c>
      <c r="L69" s="72">
        <v>44859</v>
      </c>
      <c r="M69" s="42">
        <f t="shared" si="1"/>
        <v>26.378</v>
      </c>
      <c r="N69" s="2" t="s">
        <v>122</v>
      </c>
      <c r="P69" s="32">
        <f t="shared" si="2"/>
        <v>52.756</v>
      </c>
      <c r="Q69" s="32">
        <f t="shared" si="19"/>
        <v>4.7480399999999996</v>
      </c>
      <c r="R69" s="292">
        <f t="shared" si="7"/>
        <v>57.504040000000003</v>
      </c>
      <c r="T69" s="33">
        <f t="shared" si="3"/>
        <v>79.134</v>
      </c>
      <c r="U69" s="33">
        <f t="shared" si="8"/>
        <v>6.3307200000000003</v>
      </c>
      <c r="V69" s="50">
        <f t="shared" si="9"/>
        <v>85.46472</v>
      </c>
      <c r="X69" s="51">
        <f t="shared" si="15"/>
        <v>85.46472</v>
      </c>
      <c r="Y69" s="51">
        <f t="shared" si="15"/>
        <v>170.92944</v>
      </c>
      <c r="Z69" s="51">
        <f t="shared" si="15"/>
        <v>256.39416</v>
      </c>
      <c r="AA69" s="51">
        <f t="shared" si="15"/>
        <v>341.85888</v>
      </c>
      <c r="AB69" s="51">
        <f t="shared" si="15"/>
        <v>427.3236</v>
      </c>
      <c r="AC69" s="51">
        <f t="shared" si="15"/>
        <v>512.78832</v>
      </c>
      <c r="AD69" s="51">
        <f t="shared" si="15"/>
        <v>598.25304000000006</v>
      </c>
      <c r="AE69" s="51">
        <f t="shared" si="15"/>
        <v>683.71776</v>
      </c>
      <c r="AF69" s="51">
        <f t="shared" si="15"/>
        <v>769.18247999999994</v>
      </c>
      <c r="AG69" s="51">
        <f t="shared" si="15"/>
        <v>854.6472</v>
      </c>
      <c r="AH69" s="51">
        <f t="shared" si="15"/>
        <v>1709.2944</v>
      </c>
      <c r="AI69" s="51">
        <f t="shared" si="15"/>
        <v>2563.9416000000001</v>
      </c>
      <c r="AJ69" s="51">
        <f t="shared" si="15"/>
        <v>3418.5888</v>
      </c>
      <c r="AK69" s="51">
        <f t="shared" si="15"/>
        <v>4273.2359999999999</v>
      </c>
      <c r="AL69" s="51">
        <f t="shared" si="15"/>
        <v>8546.4719999999998</v>
      </c>
      <c r="AM69" s="51">
        <f t="shared" si="15"/>
        <v>17092.944</v>
      </c>
      <c r="AN69" s="51">
        <f t="shared" si="24"/>
        <v>25639.416000000001</v>
      </c>
      <c r="AO69" s="51">
        <f t="shared" si="16"/>
        <v>34185.887999999999</v>
      </c>
      <c r="AP69" s="51">
        <f t="shared" si="16"/>
        <v>42732.36</v>
      </c>
    </row>
    <row r="70" spans="1:42">
      <c r="A70" t="s">
        <v>694</v>
      </c>
      <c r="D70" s="2" t="s">
        <v>650</v>
      </c>
      <c r="G70">
        <v>1</v>
      </c>
      <c r="H70" s="40">
        <v>92.99</v>
      </c>
      <c r="I70" s="40">
        <f t="shared" si="5"/>
        <v>92.99</v>
      </c>
      <c r="L70" s="72">
        <v>44859</v>
      </c>
      <c r="M70" s="42">
        <f t="shared" si="1"/>
        <v>101.3591</v>
      </c>
      <c r="N70" s="2" t="s">
        <v>122</v>
      </c>
      <c r="P70" s="32">
        <f t="shared" si="2"/>
        <v>202.7182</v>
      </c>
      <c r="Q70" s="32">
        <f t="shared" si="19"/>
        <v>18.244637999999998</v>
      </c>
      <c r="R70" s="292">
        <f t="shared" si="7"/>
        <v>220.962838</v>
      </c>
      <c r="T70" s="33">
        <f t="shared" si="3"/>
        <v>304.07729999999998</v>
      </c>
      <c r="U70" s="33">
        <f t="shared" si="8"/>
        <v>24.326183999999998</v>
      </c>
      <c r="V70" s="50">
        <f t="shared" si="9"/>
        <v>328.40348399999999</v>
      </c>
      <c r="X70" s="51">
        <f t="shared" si="15"/>
        <v>328.40348399999999</v>
      </c>
      <c r="Y70" s="51">
        <f t="shared" si="15"/>
        <v>656.80696799999998</v>
      </c>
      <c r="Z70" s="51">
        <f t="shared" si="15"/>
        <v>985.21045200000003</v>
      </c>
      <c r="AA70" s="51">
        <f t="shared" si="15"/>
        <v>1313.613936</v>
      </c>
      <c r="AB70" s="51">
        <f t="shared" si="15"/>
        <v>1642.0174199999999</v>
      </c>
      <c r="AC70" s="51">
        <f t="shared" si="15"/>
        <v>1970.4209040000001</v>
      </c>
      <c r="AD70" s="51">
        <f t="shared" si="15"/>
        <v>2298.824388</v>
      </c>
      <c r="AE70" s="51">
        <f t="shared" si="15"/>
        <v>2627.2278719999999</v>
      </c>
      <c r="AF70" s="51">
        <f t="shared" si="15"/>
        <v>2955.6313559999999</v>
      </c>
      <c r="AG70" s="51">
        <f t="shared" si="15"/>
        <v>3284.0348399999998</v>
      </c>
      <c r="AH70" s="51">
        <f t="shared" si="15"/>
        <v>6568.0696799999996</v>
      </c>
      <c r="AI70" s="51">
        <f t="shared" si="15"/>
        <v>9852.104519999999</v>
      </c>
      <c r="AJ70" s="51">
        <f t="shared" si="15"/>
        <v>13136.139359999999</v>
      </c>
      <c r="AK70" s="51">
        <f t="shared" si="15"/>
        <v>16420.174200000001</v>
      </c>
      <c r="AL70" s="51">
        <f t="shared" si="15"/>
        <v>32840.348400000003</v>
      </c>
      <c r="AM70" s="51">
        <f t="shared" si="15"/>
        <v>65680.696800000005</v>
      </c>
      <c r="AN70" s="51">
        <f t="shared" si="24"/>
        <v>98521.045199999993</v>
      </c>
      <c r="AO70" s="51">
        <f t="shared" si="16"/>
        <v>131361.39360000001</v>
      </c>
      <c r="AP70" s="51">
        <f t="shared" si="16"/>
        <v>164201.742</v>
      </c>
    </row>
    <row r="71" spans="1:42">
      <c r="A71" t="s">
        <v>129</v>
      </c>
      <c r="D71" s="2" t="s">
        <v>650</v>
      </c>
      <c r="G71">
        <v>1000</v>
      </c>
      <c r="H71" s="40">
        <f>27.95/1000</f>
        <v>2.7949999999999999E-2</v>
      </c>
      <c r="I71" s="40">
        <f t="shared" si="5"/>
        <v>27.95</v>
      </c>
      <c r="L71" s="72">
        <v>44859</v>
      </c>
      <c r="M71" s="42">
        <f t="shared" si="1"/>
        <v>3.0465500000000003E-2</v>
      </c>
      <c r="N71" s="2" t="s">
        <v>79</v>
      </c>
      <c r="P71" s="32">
        <f t="shared" si="2"/>
        <v>6.0931000000000006E-2</v>
      </c>
      <c r="Q71" s="32">
        <f t="shared" si="19"/>
        <v>5.4837900000000005E-3</v>
      </c>
      <c r="R71" s="292">
        <f t="shared" si="7"/>
        <v>6.6414790000000001E-2</v>
      </c>
      <c r="T71" s="33">
        <f t="shared" si="3"/>
        <v>9.1396500000000006E-2</v>
      </c>
      <c r="U71" s="33">
        <f t="shared" si="8"/>
        <v>7.3117200000000007E-3</v>
      </c>
      <c r="V71" s="50">
        <f t="shared" si="9"/>
        <v>9.8708220000000013E-2</v>
      </c>
      <c r="X71" s="51">
        <f t="shared" si="15"/>
        <v>9.8708220000000013E-2</v>
      </c>
      <c r="Y71" s="51">
        <f t="shared" si="15"/>
        <v>0.19741644000000003</v>
      </c>
      <c r="Z71" s="51">
        <f t="shared" si="15"/>
        <v>0.29612466000000004</v>
      </c>
      <c r="AA71" s="51">
        <f t="shared" si="15"/>
        <v>0.39483288000000005</v>
      </c>
      <c r="AB71" s="51">
        <f t="shared" si="15"/>
        <v>0.49354110000000007</v>
      </c>
      <c r="AC71" s="51">
        <f t="shared" si="15"/>
        <v>0.59224932000000008</v>
      </c>
      <c r="AD71" s="51">
        <f t="shared" si="15"/>
        <v>0.69095754000000009</v>
      </c>
      <c r="AE71" s="51">
        <f t="shared" si="15"/>
        <v>0.78966576000000011</v>
      </c>
      <c r="AF71" s="51">
        <f t="shared" si="15"/>
        <v>0.88837398000000012</v>
      </c>
      <c r="AG71" s="51">
        <f t="shared" si="15"/>
        <v>0.98708220000000013</v>
      </c>
      <c r="AH71" s="51">
        <f t="shared" si="15"/>
        <v>1.9741644000000003</v>
      </c>
      <c r="AI71" s="51">
        <f t="shared" si="15"/>
        <v>2.9612466000000004</v>
      </c>
      <c r="AJ71" s="51">
        <f t="shared" si="15"/>
        <v>3.9483288000000005</v>
      </c>
      <c r="AK71" s="51">
        <f t="shared" si="15"/>
        <v>4.9354110000000002</v>
      </c>
      <c r="AL71" s="51">
        <f t="shared" si="15"/>
        <v>9.8708220000000004</v>
      </c>
      <c r="AM71" s="51">
        <f t="shared" si="15"/>
        <v>19.741644000000001</v>
      </c>
      <c r="AN71" s="51">
        <f t="shared" si="24"/>
        <v>29.612466000000005</v>
      </c>
      <c r="AO71" s="51">
        <f t="shared" si="16"/>
        <v>39.483288000000002</v>
      </c>
      <c r="AP71" s="51">
        <f t="shared" si="16"/>
        <v>49.354110000000006</v>
      </c>
    </row>
    <row r="72" spans="1:42">
      <c r="A72" t="s">
        <v>695</v>
      </c>
      <c r="B72" s="29" t="s">
        <v>696</v>
      </c>
      <c r="D72" s="2" t="s">
        <v>650</v>
      </c>
      <c r="F72" s="73">
        <f>24.81/17</f>
        <v>1.4594117647058822</v>
      </c>
      <c r="G72">
        <v>17</v>
      </c>
      <c r="H72" s="40">
        <v>1.46</v>
      </c>
      <c r="I72" s="40">
        <f t="shared" si="5"/>
        <v>24.82</v>
      </c>
      <c r="L72" s="72">
        <v>44859</v>
      </c>
      <c r="M72" s="42">
        <f t="shared" si="1"/>
        <v>1.5914000000000001</v>
      </c>
      <c r="N72" s="2" t="s">
        <v>79</v>
      </c>
      <c r="P72" s="32">
        <f t="shared" ref="P72:P106" si="25">M72*$P$2</f>
        <v>3.1828000000000003</v>
      </c>
      <c r="Q72" s="32">
        <f t="shared" si="19"/>
        <v>0.28645200000000004</v>
      </c>
      <c r="R72" s="292">
        <f t="shared" ref="R72:R106" si="26">P72+Q72</f>
        <v>3.4692520000000004</v>
      </c>
      <c r="T72" s="33">
        <f t="shared" ref="T72:T106" si="27">M72*$T$2</f>
        <v>4.7742000000000004</v>
      </c>
      <c r="U72" s="33">
        <f t="shared" ref="U72:U186" si="28">T72*0.08</f>
        <v>0.38193600000000005</v>
      </c>
      <c r="V72" s="50">
        <f t="shared" ref="V72:V106" si="29">T72+U72</f>
        <v>5.1561360000000001</v>
      </c>
      <c r="X72" s="51">
        <f t="shared" ref="X72:AG87" si="30">$V72*X$3</f>
        <v>5.1561360000000001</v>
      </c>
      <c r="Y72" s="51">
        <f t="shared" si="30"/>
        <v>10.312272</v>
      </c>
      <c r="Z72" s="51">
        <f t="shared" si="30"/>
        <v>15.468408</v>
      </c>
      <c r="AA72" s="51">
        <f t="shared" si="30"/>
        <v>20.624544</v>
      </c>
      <c r="AB72" s="51">
        <f t="shared" si="30"/>
        <v>25.78068</v>
      </c>
      <c r="AC72" s="51">
        <f t="shared" si="30"/>
        <v>30.936816</v>
      </c>
      <c r="AD72" s="51">
        <f t="shared" si="30"/>
        <v>36.092951999999997</v>
      </c>
      <c r="AE72" s="51">
        <f t="shared" si="30"/>
        <v>41.249088</v>
      </c>
      <c r="AF72" s="51">
        <f t="shared" si="30"/>
        <v>46.405224000000004</v>
      </c>
      <c r="AG72" s="51">
        <f t="shared" si="30"/>
        <v>51.561360000000001</v>
      </c>
      <c r="AH72" s="51">
        <f t="shared" ref="AH72:AP87" si="31">$V72*AH$3</f>
        <v>103.12272</v>
      </c>
      <c r="AI72" s="51">
        <f t="shared" si="31"/>
        <v>154.68407999999999</v>
      </c>
      <c r="AJ72" s="51">
        <f t="shared" si="31"/>
        <v>206.24544</v>
      </c>
      <c r="AK72" s="51">
        <f t="shared" si="31"/>
        <v>257.80680000000001</v>
      </c>
      <c r="AL72" s="51">
        <f t="shared" si="31"/>
        <v>515.61360000000002</v>
      </c>
      <c r="AM72" s="51">
        <f t="shared" si="31"/>
        <v>1031.2272</v>
      </c>
      <c r="AN72" s="51">
        <f t="shared" si="31"/>
        <v>1546.8407999999999</v>
      </c>
      <c r="AO72" s="51">
        <f t="shared" si="31"/>
        <v>2062.4544000000001</v>
      </c>
      <c r="AP72" s="51">
        <f t="shared" si="31"/>
        <v>2578.0680000000002</v>
      </c>
    </row>
    <row r="73" spans="1:42">
      <c r="A73" t="s">
        <v>697</v>
      </c>
      <c r="D73" s="2" t="s">
        <v>650</v>
      </c>
      <c r="G73">
        <v>1</v>
      </c>
      <c r="H73" s="40">
        <v>2.73</v>
      </c>
      <c r="I73" s="40">
        <f t="shared" si="5"/>
        <v>2.73</v>
      </c>
      <c r="L73" s="72">
        <v>44859</v>
      </c>
      <c r="M73" s="42">
        <f t="shared" si="1"/>
        <v>2.9757000000000002</v>
      </c>
      <c r="N73" s="2" t="s">
        <v>122</v>
      </c>
      <c r="P73" s="32">
        <f t="shared" si="25"/>
        <v>5.9514000000000005</v>
      </c>
      <c r="Q73" s="32">
        <f t="shared" si="19"/>
        <v>0.53562600000000005</v>
      </c>
      <c r="R73" s="292">
        <f t="shared" si="26"/>
        <v>6.4870260000000002</v>
      </c>
      <c r="T73" s="33">
        <f t="shared" si="27"/>
        <v>8.9271000000000011</v>
      </c>
      <c r="U73" s="33">
        <f t="shared" si="28"/>
        <v>0.71416800000000014</v>
      </c>
      <c r="V73" s="50">
        <f t="shared" si="29"/>
        <v>9.6412680000000019</v>
      </c>
      <c r="X73" s="51">
        <f t="shared" si="30"/>
        <v>9.6412680000000019</v>
      </c>
      <c r="Y73" s="51">
        <f t="shared" si="30"/>
        <v>19.282536000000004</v>
      </c>
      <c r="Z73" s="51">
        <f t="shared" si="30"/>
        <v>28.923804000000004</v>
      </c>
      <c r="AA73" s="51">
        <f t="shared" si="30"/>
        <v>38.565072000000008</v>
      </c>
      <c r="AB73" s="51">
        <f t="shared" si="30"/>
        <v>48.206340000000012</v>
      </c>
      <c r="AC73" s="51">
        <f t="shared" si="30"/>
        <v>57.847608000000008</v>
      </c>
      <c r="AD73" s="51">
        <f t="shared" si="30"/>
        <v>67.488876000000019</v>
      </c>
      <c r="AE73" s="51">
        <f t="shared" si="30"/>
        <v>77.130144000000016</v>
      </c>
      <c r="AF73" s="51">
        <f t="shared" si="30"/>
        <v>86.771412000000012</v>
      </c>
      <c r="AG73" s="51">
        <f t="shared" si="30"/>
        <v>96.412680000000023</v>
      </c>
      <c r="AH73" s="51">
        <f t="shared" si="31"/>
        <v>192.82536000000005</v>
      </c>
      <c r="AI73" s="51">
        <f t="shared" si="31"/>
        <v>289.23804000000007</v>
      </c>
      <c r="AJ73" s="51">
        <f t="shared" si="31"/>
        <v>385.65072000000009</v>
      </c>
      <c r="AK73" s="51">
        <f t="shared" si="31"/>
        <v>482.06340000000012</v>
      </c>
      <c r="AL73" s="51">
        <f t="shared" si="31"/>
        <v>964.12680000000023</v>
      </c>
      <c r="AM73" s="51">
        <f t="shared" si="31"/>
        <v>1928.2536000000005</v>
      </c>
      <c r="AN73" s="51">
        <f t="shared" si="31"/>
        <v>2892.3804000000005</v>
      </c>
      <c r="AO73" s="51">
        <f t="shared" si="31"/>
        <v>3856.5072000000009</v>
      </c>
      <c r="AP73" s="51">
        <f t="shared" si="31"/>
        <v>4820.6340000000009</v>
      </c>
    </row>
    <row r="74" spans="1:42">
      <c r="A74" t="s">
        <v>698</v>
      </c>
      <c r="D74" s="2" t="s">
        <v>650</v>
      </c>
      <c r="G74">
        <v>1</v>
      </c>
      <c r="H74" s="40">
        <v>30</v>
      </c>
      <c r="I74" s="40">
        <f t="shared" si="5"/>
        <v>30</v>
      </c>
      <c r="L74" s="72">
        <v>44859</v>
      </c>
      <c r="M74" s="42">
        <f t="shared" si="1"/>
        <v>32.700000000000003</v>
      </c>
      <c r="N74" s="2" t="s">
        <v>122</v>
      </c>
      <c r="P74" s="32">
        <f t="shared" si="25"/>
        <v>65.400000000000006</v>
      </c>
      <c r="Q74" s="32">
        <f t="shared" si="19"/>
        <v>5.8860000000000001</v>
      </c>
      <c r="R74" s="292">
        <f t="shared" si="26"/>
        <v>71.286000000000001</v>
      </c>
      <c r="T74" s="33">
        <f t="shared" si="27"/>
        <v>98.100000000000009</v>
      </c>
      <c r="U74" s="33">
        <f t="shared" si="28"/>
        <v>7.8480000000000008</v>
      </c>
      <c r="V74" s="50">
        <f t="shared" si="29"/>
        <v>105.94800000000001</v>
      </c>
      <c r="X74" s="51">
        <f t="shared" si="30"/>
        <v>105.94800000000001</v>
      </c>
      <c r="Y74" s="51">
        <f t="shared" si="30"/>
        <v>211.89600000000002</v>
      </c>
      <c r="Z74" s="51">
        <f t="shared" si="30"/>
        <v>317.84400000000005</v>
      </c>
      <c r="AA74" s="51">
        <f t="shared" si="30"/>
        <v>423.79200000000003</v>
      </c>
      <c r="AB74" s="51">
        <f t="shared" si="30"/>
        <v>529.74</v>
      </c>
      <c r="AC74" s="51">
        <f t="shared" si="30"/>
        <v>635.6880000000001</v>
      </c>
      <c r="AD74" s="51">
        <f t="shared" si="30"/>
        <v>741.63600000000008</v>
      </c>
      <c r="AE74" s="51">
        <f t="shared" si="30"/>
        <v>847.58400000000006</v>
      </c>
      <c r="AF74" s="51">
        <f t="shared" si="30"/>
        <v>953.53200000000004</v>
      </c>
      <c r="AG74" s="51">
        <f t="shared" si="30"/>
        <v>1059.48</v>
      </c>
      <c r="AH74" s="51">
        <f t="shared" si="31"/>
        <v>2118.96</v>
      </c>
      <c r="AI74" s="51">
        <f t="shared" si="31"/>
        <v>3178.44</v>
      </c>
      <c r="AJ74" s="51">
        <f t="shared" si="31"/>
        <v>4237.92</v>
      </c>
      <c r="AK74" s="51">
        <f t="shared" si="31"/>
        <v>5297.4000000000005</v>
      </c>
      <c r="AL74" s="51">
        <f t="shared" si="31"/>
        <v>10594.800000000001</v>
      </c>
      <c r="AM74" s="51">
        <f t="shared" si="31"/>
        <v>21189.600000000002</v>
      </c>
      <c r="AN74" s="51">
        <f t="shared" si="31"/>
        <v>31784.400000000001</v>
      </c>
      <c r="AO74" s="51">
        <f t="shared" si="31"/>
        <v>42379.200000000004</v>
      </c>
      <c r="AP74" s="51">
        <f t="shared" si="31"/>
        <v>52974.000000000007</v>
      </c>
    </row>
    <row r="75" spans="1:42">
      <c r="A75" t="s">
        <v>699</v>
      </c>
      <c r="D75" s="2" t="s">
        <v>650</v>
      </c>
      <c r="G75">
        <v>1</v>
      </c>
      <c r="H75" s="40">
        <v>11.49</v>
      </c>
      <c r="I75" s="40">
        <f t="shared" si="5"/>
        <v>11.49</v>
      </c>
      <c r="L75" s="72">
        <v>44859</v>
      </c>
      <c r="M75" s="42">
        <f t="shared" si="1"/>
        <v>12.524100000000001</v>
      </c>
      <c r="N75" s="2" t="s">
        <v>122</v>
      </c>
      <c r="P75" s="32">
        <f t="shared" si="25"/>
        <v>25.048200000000001</v>
      </c>
      <c r="Q75" s="32">
        <f t="shared" si="19"/>
        <v>2.2543380000000002</v>
      </c>
      <c r="R75" s="292">
        <f t="shared" si="26"/>
        <v>27.302538000000002</v>
      </c>
      <c r="T75" s="33">
        <f t="shared" si="27"/>
        <v>37.572299999999998</v>
      </c>
      <c r="U75" s="33">
        <f t="shared" si="28"/>
        <v>3.0057839999999998</v>
      </c>
      <c r="V75" s="50">
        <f t="shared" si="29"/>
        <v>40.578083999999997</v>
      </c>
      <c r="X75" s="51">
        <f t="shared" si="30"/>
        <v>40.578083999999997</v>
      </c>
      <c r="Y75" s="51">
        <f t="shared" si="30"/>
        <v>81.156167999999994</v>
      </c>
      <c r="Z75" s="51">
        <f t="shared" si="30"/>
        <v>121.734252</v>
      </c>
      <c r="AA75" s="51">
        <f t="shared" si="30"/>
        <v>162.31233599999999</v>
      </c>
      <c r="AB75" s="51">
        <f t="shared" si="30"/>
        <v>202.89041999999998</v>
      </c>
      <c r="AC75" s="51">
        <f t="shared" si="30"/>
        <v>243.468504</v>
      </c>
      <c r="AD75" s="51">
        <f t="shared" si="30"/>
        <v>284.04658799999999</v>
      </c>
      <c r="AE75" s="51">
        <f t="shared" si="30"/>
        <v>324.62467199999998</v>
      </c>
      <c r="AF75" s="51">
        <f t="shared" si="30"/>
        <v>365.20275599999997</v>
      </c>
      <c r="AG75" s="51">
        <f t="shared" si="30"/>
        <v>405.78083999999996</v>
      </c>
      <c r="AH75" s="51">
        <f t="shared" si="31"/>
        <v>811.56167999999991</v>
      </c>
      <c r="AI75" s="51">
        <f t="shared" si="31"/>
        <v>1217.3425199999999</v>
      </c>
      <c r="AJ75" s="51">
        <f t="shared" si="31"/>
        <v>1623.1233599999998</v>
      </c>
      <c r="AK75" s="51">
        <f t="shared" si="31"/>
        <v>2028.9041999999999</v>
      </c>
      <c r="AL75" s="51">
        <f t="shared" si="31"/>
        <v>4057.8083999999999</v>
      </c>
      <c r="AM75" s="51">
        <f t="shared" si="31"/>
        <v>8115.6167999999998</v>
      </c>
      <c r="AN75" s="51">
        <f t="shared" si="31"/>
        <v>12173.4252</v>
      </c>
      <c r="AO75" s="51">
        <f t="shared" si="31"/>
        <v>16231.2336</v>
      </c>
      <c r="AP75" s="51">
        <f t="shared" si="31"/>
        <v>20289.041999999998</v>
      </c>
    </row>
    <row r="76" spans="1:42">
      <c r="A76" t="s">
        <v>700</v>
      </c>
      <c r="D76" s="2" t="s">
        <v>650</v>
      </c>
      <c r="G76">
        <v>1</v>
      </c>
      <c r="H76" s="40">
        <v>150.16</v>
      </c>
      <c r="I76" s="40">
        <f t="shared" si="5"/>
        <v>150.16</v>
      </c>
      <c r="L76" s="72">
        <v>44859</v>
      </c>
      <c r="M76" s="42">
        <f t="shared" si="1"/>
        <v>163.67440000000002</v>
      </c>
      <c r="N76" s="2" t="s">
        <v>122</v>
      </c>
      <c r="P76" s="32">
        <f t="shared" si="25"/>
        <v>327.34880000000004</v>
      </c>
      <c r="Q76" s="32">
        <f t="shared" si="19"/>
        <v>29.461392000000004</v>
      </c>
      <c r="R76" s="292">
        <f t="shared" si="26"/>
        <v>356.81019200000003</v>
      </c>
      <c r="T76" s="33">
        <f t="shared" si="27"/>
        <v>491.02320000000009</v>
      </c>
      <c r="U76" s="33">
        <f t="shared" si="28"/>
        <v>39.281856000000005</v>
      </c>
      <c r="V76" s="50">
        <f t="shared" si="29"/>
        <v>530.30505600000015</v>
      </c>
      <c r="X76" s="51">
        <f t="shared" si="30"/>
        <v>530.30505600000015</v>
      </c>
      <c r="Y76" s="51">
        <f t="shared" si="30"/>
        <v>1060.6101120000003</v>
      </c>
      <c r="Z76" s="51">
        <f t="shared" si="30"/>
        <v>1590.9151680000004</v>
      </c>
      <c r="AA76" s="51">
        <f t="shared" si="30"/>
        <v>2121.2202240000006</v>
      </c>
      <c r="AB76" s="51">
        <f t="shared" si="30"/>
        <v>2651.5252800000007</v>
      </c>
      <c r="AC76" s="51">
        <f t="shared" si="30"/>
        <v>3181.8303360000009</v>
      </c>
      <c r="AD76" s="51">
        <f t="shared" si="30"/>
        <v>3712.135392000001</v>
      </c>
      <c r="AE76" s="51">
        <f t="shared" si="30"/>
        <v>4242.4404480000012</v>
      </c>
      <c r="AF76" s="51">
        <f t="shared" si="30"/>
        <v>4772.7455040000013</v>
      </c>
      <c r="AG76" s="51">
        <f t="shared" si="30"/>
        <v>5303.0505600000015</v>
      </c>
      <c r="AH76" s="51">
        <f t="shared" si="31"/>
        <v>10606.101120000003</v>
      </c>
      <c r="AI76" s="51">
        <f t="shared" si="31"/>
        <v>15909.151680000004</v>
      </c>
      <c r="AJ76" s="51">
        <f t="shared" si="31"/>
        <v>21212.202240000006</v>
      </c>
      <c r="AK76" s="51">
        <f t="shared" si="31"/>
        <v>26515.252800000009</v>
      </c>
      <c r="AL76" s="51">
        <f t="shared" si="31"/>
        <v>53030.505600000019</v>
      </c>
      <c r="AM76" s="51">
        <f t="shared" si="31"/>
        <v>106061.01120000004</v>
      </c>
      <c r="AN76" s="51">
        <f t="shared" si="31"/>
        <v>159091.51680000004</v>
      </c>
      <c r="AO76" s="51">
        <f t="shared" si="31"/>
        <v>212122.02240000007</v>
      </c>
      <c r="AP76" s="51">
        <f t="shared" si="31"/>
        <v>265152.52800000005</v>
      </c>
    </row>
    <row r="77" spans="1:42">
      <c r="A77" t="s">
        <v>701</v>
      </c>
      <c r="B77" s="29">
        <f>140.25+25.5</f>
        <v>165.75</v>
      </c>
      <c r="C77" t="s">
        <v>702</v>
      </c>
      <c r="D77" s="2" t="s">
        <v>650</v>
      </c>
      <c r="G77">
        <v>1</v>
      </c>
      <c r="H77" s="40">
        <f>B77</f>
        <v>165.75</v>
      </c>
      <c r="I77" s="40">
        <f t="shared" si="5"/>
        <v>165.75</v>
      </c>
      <c r="L77" s="72">
        <v>44881</v>
      </c>
      <c r="M77" s="42">
        <f>SUM(J77:K77)+H77*$M$1</f>
        <v>180.66750000000002</v>
      </c>
      <c r="N77" s="2" t="s">
        <v>122</v>
      </c>
      <c r="P77" s="32">
        <f t="shared" ref="P77:P80" si="32">M77*$P$2</f>
        <v>361.33500000000004</v>
      </c>
      <c r="Q77" s="32">
        <f t="shared" ref="Q77:Q80" si="33">P77*0.09</f>
        <v>32.520150000000001</v>
      </c>
      <c r="R77" s="292">
        <f t="shared" ref="R77:R80" si="34">P77+Q77</f>
        <v>393.85515000000004</v>
      </c>
      <c r="T77" s="33">
        <f t="shared" ref="T77:T80" si="35">M77*$T$2</f>
        <v>542.00250000000005</v>
      </c>
      <c r="U77" s="33">
        <f t="shared" ref="U77:U80" si="36">T77*0.08</f>
        <v>43.360200000000006</v>
      </c>
      <c r="V77" s="50">
        <f t="shared" ref="V77:V80" si="37">T77+U77</f>
        <v>585.36270000000002</v>
      </c>
      <c r="X77" s="51">
        <f t="shared" si="30"/>
        <v>585.36270000000002</v>
      </c>
      <c r="Y77" s="51">
        <f t="shared" si="30"/>
        <v>1170.7254</v>
      </c>
      <c r="Z77" s="51">
        <f t="shared" si="30"/>
        <v>1756.0880999999999</v>
      </c>
      <c r="AA77" s="51">
        <f t="shared" si="30"/>
        <v>2341.4508000000001</v>
      </c>
      <c r="AB77" s="51">
        <f t="shared" si="30"/>
        <v>2926.8135000000002</v>
      </c>
      <c r="AC77" s="51">
        <f t="shared" si="30"/>
        <v>3512.1761999999999</v>
      </c>
      <c r="AD77" s="51">
        <f t="shared" si="30"/>
        <v>4097.5389000000005</v>
      </c>
      <c r="AE77" s="51">
        <f t="shared" si="30"/>
        <v>4682.9016000000001</v>
      </c>
      <c r="AF77" s="51">
        <f t="shared" si="30"/>
        <v>5268.2642999999998</v>
      </c>
      <c r="AG77" s="51">
        <f t="shared" si="30"/>
        <v>5853.6270000000004</v>
      </c>
      <c r="AH77" s="51">
        <f t="shared" si="31"/>
        <v>11707.254000000001</v>
      </c>
      <c r="AI77" s="51">
        <f t="shared" si="31"/>
        <v>17560.881000000001</v>
      </c>
      <c r="AJ77" s="51">
        <f t="shared" si="31"/>
        <v>23414.508000000002</v>
      </c>
      <c r="AK77" s="51">
        <f t="shared" si="31"/>
        <v>29268.135000000002</v>
      </c>
      <c r="AL77" s="51">
        <f t="shared" si="31"/>
        <v>58536.270000000004</v>
      </c>
      <c r="AM77" s="51">
        <f t="shared" si="31"/>
        <v>117072.54000000001</v>
      </c>
      <c r="AN77" s="51">
        <f t="shared" si="31"/>
        <v>175608.81</v>
      </c>
      <c r="AO77" s="51">
        <f t="shared" si="31"/>
        <v>234145.08000000002</v>
      </c>
      <c r="AP77" s="51">
        <f t="shared" si="31"/>
        <v>292681.35000000003</v>
      </c>
    </row>
    <row r="78" spans="1:42">
      <c r="A78" t="s">
        <v>703</v>
      </c>
      <c r="B78" s="29">
        <f>150.25+25.5</f>
        <v>175.75</v>
      </c>
      <c r="C78" t="s">
        <v>702</v>
      </c>
      <c r="D78" s="2" t="s">
        <v>650</v>
      </c>
      <c r="G78">
        <v>1</v>
      </c>
      <c r="H78" s="40">
        <f>B78</f>
        <v>175.75</v>
      </c>
      <c r="I78" s="40">
        <f t="shared" si="5"/>
        <v>175.75</v>
      </c>
      <c r="L78" s="72">
        <v>44881</v>
      </c>
      <c r="M78" s="42">
        <f t="shared" si="1"/>
        <v>191.56750000000002</v>
      </c>
      <c r="N78" s="2" t="s">
        <v>122</v>
      </c>
      <c r="P78" s="32">
        <f t="shared" si="32"/>
        <v>383.13500000000005</v>
      </c>
      <c r="Q78" s="32">
        <f t="shared" si="33"/>
        <v>34.482150000000004</v>
      </c>
      <c r="R78" s="292">
        <f t="shared" si="34"/>
        <v>417.61715000000004</v>
      </c>
      <c r="T78" s="33">
        <f t="shared" si="35"/>
        <v>574.7025000000001</v>
      </c>
      <c r="U78" s="33">
        <f t="shared" si="36"/>
        <v>45.976200000000006</v>
      </c>
      <c r="V78" s="50">
        <f t="shared" si="37"/>
        <v>620.67870000000016</v>
      </c>
      <c r="X78" s="51">
        <f t="shared" si="30"/>
        <v>620.67870000000016</v>
      </c>
      <c r="Y78" s="51">
        <f t="shared" si="30"/>
        <v>1241.3574000000003</v>
      </c>
      <c r="Z78" s="51">
        <f t="shared" si="30"/>
        <v>1862.0361000000005</v>
      </c>
      <c r="AA78" s="51">
        <f t="shared" si="30"/>
        <v>2482.7148000000007</v>
      </c>
      <c r="AB78" s="51">
        <f t="shared" si="30"/>
        <v>3103.393500000001</v>
      </c>
      <c r="AC78" s="51">
        <f t="shared" si="30"/>
        <v>3724.072200000001</v>
      </c>
      <c r="AD78" s="51">
        <f t="shared" si="30"/>
        <v>4344.7509000000009</v>
      </c>
      <c r="AE78" s="51">
        <f t="shared" si="30"/>
        <v>4965.4296000000013</v>
      </c>
      <c r="AF78" s="51">
        <f t="shared" si="30"/>
        <v>5586.1083000000017</v>
      </c>
      <c r="AG78" s="51">
        <f t="shared" si="30"/>
        <v>6206.7870000000021</v>
      </c>
      <c r="AH78" s="51">
        <f t="shared" si="31"/>
        <v>12413.574000000004</v>
      </c>
      <c r="AI78" s="51">
        <f t="shared" si="31"/>
        <v>18620.361000000004</v>
      </c>
      <c r="AJ78" s="51">
        <f t="shared" si="31"/>
        <v>24827.148000000008</v>
      </c>
      <c r="AK78" s="51">
        <f t="shared" si="31"/>
        <v>31033.935000000009</v>
      </c>
      <c r="AL78" s="51">
        <f t="shared" si="31"/>
        <v>62067.870000000017</v>
      </c>
      <c r="AM78" s="51">
        <f t="shared" si="31"/>
        <v>124135.74000000003</v>
      </c>
      <c r="AN78" s="51">
        <f t="shared" si="31"/>
        <v>186203.61000000004</v>
      </c>
      <c r="AO78" s="51">
        <f t="shared" si="31"/>
        <v>248271.48000000007</v>
      </c>
      <c r="AP78" s="51">
        <f t="shared" si="31"/>
        <v>310339.35000000009</v>
      </c>
    </row>
    <row r="79" spans="1:42">
      <c r="A79" t="s">
        <v>704</v>
      </c>
      <c r="B79" s="29">
        <f>145.35+25.5</f>
        <v>170.85</v>
      </c>
      <c r="C79" t="s">
        <v>702</v>
      </c>
      <c r="D79" s="2" t="s">
        <v>650</v>
      </c>
      <c r="G79">
        <v>1</v>
      </c>
      <c r="H79" s="40">
        <f>B79</f>
        <v>170.85</v>
      </c>
      <c r="I79" s="40">
        <f t="shared" si="5"/>
        <v>170.85</v>
      </c>
      <c r="L79" s="72">
        <v>44881</v>
      </c>
      <c r="M79" s="42">
        <f t="shared" si="1"/>
        <v>186.22650000000002</v>
      </c>
      <c r="N79" s="2" t="s">
        <v>122</v>
      </c>
      <c r="P79" s="32">
        <f t="shared" si="32"/>
        <v>372.45300000000003</v>
      </c>
      <c r="Q79" s="32">
        <f t="shared" si="33"/>
        <v>33.520769999999999</v>
      </c>
      <c r="R79" s="292">
        <f t="shared" si="34"/>
        <v>405.97377000000006</v>
      </c>
      <c r="T79" s="33">
        <f t="shared" si="35"/>
        <v>558.67950000000008</v>
      </c>
      <c r="U79" s="33">
        <f t="shared" si="36"/>
        <v>44.69436000000001</v>
      </c>
      <c r="V79" s="50">
        <f t="shared" si="37"/>
        <v>603.37386000000004</v>
      </c>
      <c r="X79" s="51">
        <f t="shared" si="30"/>
        <v>603.37386000000004</v>
      </c>
      <c r="Y79" s="51">
        <f t="shared" si="30"/>
        <v>1206.7477200000001</v>
      </c>
      <c r="Z79" s="51">
        <f t="shared" si="30"/>
        <v>1810.12158</v>
      </c>
      <c r="AA79" s="51">
        <f t="shared" si="30"/>
        <v>2413.4954400000001</v>
      </c>
      <c r="AB79" s="51">
        <f t="shared" si="30"/>
        <v>3016.8693000000003</v>
      </c>
      <c r="AC79" s="51">
        <f t="shared" si="30"/>
        <v>3620.24316</v>
      </c>
      <c r="AD79" s="51">
        <f t="shared" si="30"/>
        <v>4223.6170200000006</v>
      </c>
      <c r="AE79" s="51">
        <f t="shared" si="30"/>
        <v>4826.9908800000003</v>
      </c>
      <c r="AF79" s="51">
        <f t="shared" si="30"/>
        <v>5430.36474</v>
      </c>
      <c r="AG79" s="51">
        <f t="shared" si="30"/>
        <v>6033.7386000000006</v>
      </c>
      <c r="AH79" s="51">
        <f t="shared" si="31"/>
        <v>12067.477200000001</v>
      </c>
      <c r="AI79" s="51">
        <f t="shared" si="31"/>
        <v>18101.215800000002</v>
      </c>
      <c r="AJ79" s="51">
        <f t="shared" si="31"/>
        <v>24134.954400000002</v>
      </c>
      <c r="AK79" s="51">
        <f t="shared" si="31"/>
        <v>30168.693000000003</v>
      </c>
      <c r="AL79" s="51">
        <f t="shared" si="31"/>
        <v>60337.386000000006</v>
      </c>
      <c r="AM79" s="51">
        <f t="shared" si="31"/>
        <v>120674.77200000001</v>
      </c>
      <c r="AN79" s="51">
        <f t="shared" si="31"/>
        <v>181012.15800000002</v>
      </c>
      <c r="AO79" s="51">
        <f t="shared" si="31"/>
        <v>241349.54400000002</v>
      </c>
      <c r="AP79" s="51">
        <f t="shared" si="31"/>
        <v>301686.93</v>
      </c>
    </row>
    <row r="80" spans="1:42">
      <c r="A80" t="s">
        <v>705</v>
      </c>
      <c r="B80" s="29">
        <f>155.25+25.5</f>
        <v>180.75</v>
      </c>
      <c r="C80" t="s">
        <v>702</v>
      </c>
      <c r="D80" s="2" t="s">
        <v>650</v>
      </c>
      <c r="G80">
        <v>1</v>
      </c>
      <c r="H80" s="40">
        <f>B80</f>
        <v>180.75</v>
      </c>
      <c r="I80" s="40">
        <f t="shared" si="5"/>
        <v>180.75</v>
      </c>
      <c r="L80" s="72">
        <v>44881</v>
      </c>
      <c r="M80" s="42">
        <f>SUM(J80:K80)+H80*$M$1</f>
        <v>197.01750000000001</v>
      </c>
      <c r="N80" s="2" t="s">
        <v>122</v>
      </c>
      <c r="P80" s="32">
        <f t="shared" si="32"/>
        <v>394.03500000000003</v>
      </c>
      <c r="Q80" s="32">
        <f t="shared" si="33"/>
        <v>35.463149999999999</v>
      </c>
      <c r="R80" s="292">
        <f t="shared" si="34"/>
        <v>429.49815000000001</v>
      </c>
      <c r="T80" s="33">
        <f t="shared" si="35"/>
        <v>591.05250000000001</v>
      </c>
      <c r="U80" s="33">
        <f t="shared" si="36"/>
        <v>47.284199999999998</v>
      </c>
      <c r="V80" s="50">
        <f t="shared" si="37"/>
        <v>638.33670000000006</v>
      </c>
      <c r="X80" s="51">
        <f t="shared" si="30"/>
        <v>638.33670000000006</v>
      </c>
      <c r="Y80" s="51">
        <f t="shared" si="30"/>
        <v>1276.6734000000001</v>
      </c>
      <c r="Z80" s="51">
        <f t="shared" si="30"/>
        <v>1915.0101000000002</v>
      </c>
      <c r="AA80" s="51">
        <f t="shared" si="30"/>
        <v>2553.3468000000003</v>
      </c>
      <c r="AB80" s="51">
        <f t="shared" si="30"/>
        <v>3191.6835000000001</v>
      </c>
      <c r="AC80" s="51">
        <f t="shared" si="30"/>
        <v>3830.0202000000004</v>
      </c>
      <c r="AD80" s="51">
        <f t="shared" si="30"/>
        <v>4468.3569000000007</v>
      </c>
      <c r="AE80" s="51">
        <f t="shared" si="30"/>
        <v>5106.6936000000005</v>
      </c>
      <c r="AF80" s="51">
        <f t="shared" si="30"/>
        <v>5745.0303000000004</v>
      </c>
      <c r="AG80" s="51">
        <f t="shared" si="30"/>
        <v>6383.3670000000002</v>
      </c>
      <c r="AH80" s="51">
        <f t="shared" si="31"/>
        <v>12766.734</v>
      </c>
      <c r="AI80" s="51">
        <f t="shared" si="31"/>
        <v>19150.101000000002</v>
      </c>
      <c r="AJ80" s="51">
        <f t="shared" si="31"/>
        <v>25533.468000000001</v>
      </c>
      <c r="AK80" s="51">
        <f t="shared" si="31"/>
        <v>31916.835000000003</v>
      </c>
      <c r="AL80" s="51">
        <f t="shared" si="31"/>
        <v>63833.670000000006</v>
      </c>
      <c r="AM80" s="51">
        <f t="shared" si="31"/>
        <v>127667.34000000001</v>
      </c>
      <c r="AN80" s="51">
        <f t="shared" si="31"/>
        <v>191501.01</v>
      </c>
      <c r="AO80" s="51">
        <f t="shared" si="31"/>
        <v>255334.68000000002</v>
      </c>
      <c r="AP80" s="51">
        <f t="shared" si="31"/>
        <v>319168.35000000003</v>
      </c>
    </row>
    <row r="81" spans="1:42">
      <c r="A81" t="s">
        <v>706</v>
      </c>
      <c r="D81" s="2" t="s">
        <v>707</v>
      </c>
      <c r="G81">
        <v>1</v>
      </c>
      <c r="H81" s="40">
        <v>8.94</v>
      </c>
      <c r="I81" s="40">
        <f t="shared" si="5"/>
        <v>8.94</v>
      </c>
      <c r="L81" s="72">
        <v>44859</v>
      </c>
      <c r="M81" s="42">
        <f t="shared" si="1"/>
        <v>9.7446000000000002</v>
      </c>
      <c r="N81" s="2" t="s">
        <v>122</v>
      </c>
      <c r="P81" s="32">
        <f t="shared" si="25"/>
        <v>19.4892</v>
      </c>
      <c r="Q81" s="32">
        <f t="shared" si="19"/>
        <v>1.7540279999999999</v>
      </c>
      <c r="R81" s="292">
        <f t="shared" si="26"/>
        <v>21.243228000000002</v>
      </c>
      <c r="T81" s="33">
        <f t="shared" si="27"/>
        <v>29.233800000000002</v>
      </c>
      <c r="U81" s="33">
        <f t="shared" si="28"/>
        <v>2.3387040000000003</v>
      </c>
      <c r="V81" s="50">
        <f t="shared" si="29"/>
        <v>31.572504000000002</v>
      </c>
      <c r="X81" s="51">
        <f t="shared" si="30"/>
        <v>31.572504000000002</v>
      </c>
      <c r="Y81" s="51">
        <f t="shared" si="30"/>
        <v>63.145008000000004</v>
      </c>
      <c r="Z81" s="51">
        <f t="shared" si="30"/>
        <v>94.717511999999999</v>
      </c>
      <c r="AA81" s="51">
        <f t="shared" si="30"/>
        <v>126.29001600000001</v>
      </c>
      <c r="AB81" s="51">
        <f t="shared" si="30"/>
        <v>157.86252000000002</v>
      </c>
      <c r="AC81" s="51">
        <f t="shared" si="30"/>
        <v>189.435024</v>
      </c>
      <c r="AD81" s="51">
        <f t="shared" si="30"/>
        <v>221.00752800000001</v>
      </c>
      <c r="AE81" s="51">
        <f t="shared" si="30"/>
        <v>252.58003200000002</v>
      </c>
      <c r="AF81" s="51">
        <f t="shared" si="30"/>
        <v>284.152536</v>
      </c>
      <c r="AG81" s="51">
        <f t="shared" si="30"/>
        <v>315.72504000000004</v>
      </c>
      <c r="AH81" s="51">
        <f t="shared" si="31"/>
        <v>631.45008000000007</v>
      </c>
      <c r="AI81" s="51">
        <f t="shared" si="31"/>
        <v>947.17512000000011</v>
      </c>
      <c r="AJ81" s="51">
        <f t="shared" si="31"/>
        <v>1262.9001600000001</v>
      </c>
      <c r="AK81" s="51">
        <f t="shared" si="31"/>
        <v>1578.6252000000002</v>
      </c>
      <c r="AL81" s="51">
        <f t="shared" si="31"/>
        <v>3157.2504000000004</v>
      </c>
      <c r="AM81" s="51">
        <f t="shared" si="31"/>
        <v>6314.5008000000007</v>
      </c>
      <c r="AN81" s="51">
        <f t="shared" si="31"/>
        <v>9471.7512000000006</v>
      </c>
      <c r="AO81" s="51">
        <f t="shared" si="31"/>
        <v>12629.001600000001</v>
      </c>
      <c r="AP81" s="51">
        <f t="shared" si="31"/>
        <v>15786.252</v>
      </c>
    </row>
    <row r="82" spans="1:42">
      <c r="A82" t="s">
        <v>708</v>
      </c>
      <c r="C82" t="s">
        <v>709</v>
      </c>
      <c r="D82" s="2" t="s">
        <v>710</v>
      </c>
      <c r="G82">
        <v>1</v>
      </c>
      <c r="H82" s="40">
        <v>75.56</v>
      </c>
      <c r="I82" s="40">
        <f t="shared" si="5"/>
        <v>75.56</v>
      </c>
      <c r="K82" s="40">
        <v>1</v>
      </c>
      <c r="L82" s="72">
        <v>44859</v>
      </c>
      <c r="M82" s="42">
        <f t="shared" si="1"/>
        <v>83.360400000000013</v>
      </c>
      <c r="N82" s="2" t="s">
        <v>122</v>
      </c>
      <c r="P82" s="32">
        <f t="shared" si="25"/>
        <v>166.72080000000003</v>
      </c>
      <c r="Q82" s="32">
        <f t="shared" si="19"/>
        <v>15.004872000000002</v>
      </c>
      <c r="R82" s="292">
        <f t="shared" si="26"/>
        <v>181.72567200000003</v>
      </c>
      <c r="T82" s="33">
        <f t="shared" si="27"/>
        <v>250.08120000000002</v>
      </c>
      <c r="U82" s="33">
        <f t="shared" si="28"/>
        <v>20.006496000000002</v>
      </c>
      <c r="V82" s="50">
        <f t="shared" si="29"/>
        <v>270.08769600000005</v>
      </c>
      <c r="X82" s="51">
        <f t="shared" si="30"/>
        <v>270.08769600000005</v>
      </c>
      <c r="Y82" s="51">
        <f t="shared" si="30"/>
        <v>540.1753920000001</v>
      </c>
      <c r="Z82" s="51">
        <f t="shared" si="30"/>
        <v>810.26308800000015</v>
      </c>
      <c r="AA82" s="51">
        <f t="shared" si="30"/>
        <v>1080.3507840000002</v>
      </c>
      <c r="AB82" s="51">
        <f t="shared" si="30"/>
        <v>1350.4384800000003</v>
      </c>
      <c r="AC82" s="51">
        <f t="shared" si="30"/>
        <v>1620.5261760000003</v>
      </c>
      <c r="AD82" s="51">
        <f t="shared" si="30"/>
        <v>1890.6138720000004</v>
      </c>
      <c r="AE82" s="51">
        <f t="shared" si="30"/>
        <v>2160.7015680000004</v>
      </c>
      <c r="AF82" s="51">
        <f t="shared" si="30"/>
        <v>2430.7892640000005</v>
      </c>
      <c r="AG82" s="51">
        <f t="shared" si="30"/>
        <v>2700.8769600000005</v>
      </c>
      <c r="AH82" s="51">
        <f t="shared" si="31"/>
        <v>5401.753920000001</v>
      </c>
      <c r="AI82" s="51">
        <f t="shared" si="31"/>
        <v>8102.6308800000015</v>
      </c>
      <c r="AJ82" s="51">
        <f t="shared" si="31"/>
        <v>10803.507840000002</v>
      </c>
      <c r="AK82" s="51">
        <f t="shared" si="31"/>
        <v>13504.384800000003</v>
      </c>
      <c r="AL82" s="51">
        <f t="shared" si="31"/>
        <v>27008.769600000007</v>
      </c>
      <c r="AM82" s="51">
        <f t="shared" si="31"/>
        <v>54017.539200000014</v>
      </c>
      <c r="AN82" s="51">
        <f t="shared" si="31"/>
        <v>81026.308800000013</v>
      </c>
      <c r="AO82" s="51">
        <f t="shared" si="31"/>
        <v>108035.07840000003</v>
      </c>
      <c r="AP82" s="51">
        <f t="shared" si="31"/>
        <v>135043.84800000003</v>
      </c>
    </row>
    <row r="83" spans="1:42">
      <c r="A83" t="s">
        <v>711</v>
      </c>
      <c r="C83" t="s">
        <v>712</v>
      </c>
      <c r="D83" s="2" t="s">
        <v>710</v>
      </c>
      <c r="G83">
        <v>1</v>
      </c>
      <c r="H83" s="40">
        <v>61.75</v>
      </c>
      <c r="I83" s="40">
        <f t="shared" si="5"/>
        <v>61.75</v>
      </c>
      <c r="K83" s="40">
        <v>1</v>
      </c>
      <c r="L83" s="72">
        <v>44859</v>
      </c>
      <c r="M83" s="42">
        <f t="shared" si="1"/>
        <v>68.307500000000005</v>
      </c>
      <c r="N83" s="2" t="s">
        <v>122</v>
      </c>
      <c r="P83" s="32">
        <f t="shared" ref="P83" si="38">M83*$P$2</f>
        <v>136.61500000000001</v>
      </c>
      <c r="Q83" s="32">
        <f t="shared" si="19"/>
        <v>12.295350000000001</v>
      </c>
      <c r="R83" s="292">
        <f t="shared" ref="R83" si="39">P83+Q83</f>
        <v>148.91035000000002</v>
      </c>
      <c r="T83" s="33">
        <f t="shared" ref="T83" si="40">M83*$T$2</f>
        <v>204.92250000000001</v>
      </c>
      <c r="U83" s="33">
        <f t="shared" si="28"/>
        <v>16.393800000000002</v>
      </c>
      <c r="V83" s="50">
        <f t="shared" ref="V83" si="41">T83+U83</f>
        <v>221.31630000000001</v>
      </c>
      <c r="X83" s="51">
        <f t="shared" si="30"/>
        <v>221.31630000000001</v>
      </c>
      <c r="Y83" s="51">
        <f t="shared" si="30"/>
        <v>442.63260000000002</v>
      </c>
      <c r="Z83" s="51">
        <f t="shared" si="30"/>
        <v>663.94890000000009</v>
      </c>
      <c r="AA83" s="51">
        <f t="shared" si="30"/>
        <v>885.26520000000005</v>
      </c>
      <c r="AB83" s="51">
        <f t="shared" si="30"/>
        <v>1106.5815</v>
      </c>
      <c r="AC83" s="51">
        <f t="shared" si="30"/>
        <v>1327.8978000000002</v>
      </c>
      <c r="AD83" s="51">
        <f t="shared" si="30"/>
        <v>1549.2141000000001</v>
      </c>
      <c r="AE83" s="51">
        <f t="shared" si="30"/>
        <v>1770.5304000000001</v>
      </c>
      <c r="AF83" s="51">
        <f t="shared" si="30"/>
        <v>1991.8467000000001</v>
      </c>
      <c r="AG83" s="51">
        <f t="shared" si="30"/>
        <v>2213.163</v>
      </c>
      <c r="AH83" s="51">
        <f t="shared" si="31"/>
        <v>4426.326</v>
      </c>
      <c r="AI83" s="51">
        <f t="shared" si="31"/>
        <v>6639.4890000000005</v>
      </c>
      <c r="AJ83" s="51">
        <f t="shared" si="31"/>
        <v>8852.652</v>
      </c>
      <c r="AK83" s="51">
        <f t="shared" si="31"/>
        <v>11065.815000000001</v>
      </c>
      <c r="AL83" s="51">
        <f t="shared" si="31"/>
        <v>22131.63</v>
      </c>
      <c r="AM83" s="51">
        <f t="shared" si="31"/>
        <v>44263.26</v>
      </c>
      <c r="AN83" s="51">
        <f t="shared" si="31"/>
        <v>66394.89</v>
      </c>
      <c r="AO83" s="51">
        <f t="shared" si="31"/>
        <v>88526.52</v>
      </c>
      <c r="AP83" s="51">
        <f t="shared" si="31"/>
        <v>110658.15000000001</v>
      </c>
    </row>
    <row r="84" spans="1:42">
      <c r="A84" t="s">
        <v>713</v>
      </c>
      <c r="C84" t="s">
        <v>714</v>
      </c>
      <c r="D84" s="2" t="s">
        <v>710</v>
      </c>
      <c r="G84">
        <v>1</v>
      </c>
      <c r="H84" s="40">
        <v>49.45</v>
      </c>
      <c r="I84" s="40">
        <f t="shared" si="5"/>
        <v>49.45</v>
      </c>
      <c r="K84" s="40">
        <v>1</v>
      </c>
      <c r="L84" s="72">
        <v>44859</v>
      </c>
      <c r="M84" s="42">
        <f t="shared" si="1"/>
        <v>54.900500000000008</v>
      </c>
      <c r="N84" s="2" t="s">
        <v>122</v>
      </c>
      <c r="P84" s="32">
        <f t="shared" ref="P84" si="42">M84*$P$2</f>
        <v>109.80100000000002</v>
      </c>
      <c r="Q84" s="32">
        <f t="shared" si="19"/>
        <v>9.8820900000000016</v>
      </c>
      <c r="R84" s="292">
        <f t="shared" ref="R84" si="43">P84+Q84</f>
        <v>119.68309000000002</v>
      </c>
      <c r="T84" s="33">
        <f t="shared" ref="T84" si="44">M84*$T$2</f>
        <v>164.70150000000001</v>
      </c>
      <c r="U84" s="33">
        <f t="shared" si="28"/>
        <v>13.176120000000001</v>
      </c>
      <c r="V84" s="50">
        <f t="shared" ref="V84" si="45">T84+U84</f>
        <v>177.87762000000001</v>
      </c>
      <c r="X84" s="51">
        <f t="shared" si="30"/>
        <v>177.87762000000001</v>
      </c>
      <c r="Y84" s="51">
        <f t="shared" si="30"/>
        <v>355.75524000000001</v>
      </c>
      <c r="Z84" s="51">
        <f t="shared" si="30"/>
        <v>533.63286000000005</v>
      </c>
      <c r="AA84" s="51">
        <f t="shared" si="30"/>
        <v>711.51048000000003</v>
      </c>
      <c r="AB84" s="51">
        <f t="shared" si="30"/>
        <v>889.38810000000001</v>
      </c>
      <c r="AC84" s="51">
        <f t="shared" si="30"/>
        <v>1067.2657200000001</v>
      </c>
      <c r="AD84" s="51">
        <f t="shared" si="30"/>
        <v>1245.1433400000001</v>
      </c>
      <c r="AE84" s="51">
        <f t="shared" si="30"/>
        <v>1423.0209600000001</v>
      </c>
      <c r="AF84" s="51">
        <f t="shared" si="30"/>
        <v>1600.89858</v>
      </c>
      <c r="AG84" s="51">
        <f t="shared" si="30"/>
        <v>1778.7762</v>
      </c>
      <c r="AH84" s="51">
        <f t="shared" si="31"/>
        <v>3557.5524</v>
      </c>
      <c r="AI84" s="51">
        <f t="shared" si="31"/>
        <v>5336.3285999999998</v>
      </c>
      <c r="AJ84" s="51">
        <f t="shared" si="31"/>
        <v>7115.1048000000001</v>
      </c>
      <c r="AK84" s="51">
        <f t="shared" si="31"/>
        <v>8893.8810000000012</v>
      </c>
      <c r="AL84" s="51">
        <f t="shared" si="31"/>
        <v>17787.762000000002</v>
      </c>
      <c r="AM84" s="51">
        <f t="shared" si="31"/>
        <v>35575.524000000005</v>
      </c>
      <c r="AN84" s="51">
        <f t="shared" si="31"/>
        <v>53363.286</v>
      </c>
      <c r="AO84" s="51">
        <f t="shared" si="31"/>
        <v>71151.04800000001</v>
      </c>
      <c r="AP84" s="51">
        <f t="shared" si="31"/>
        <v>88938.81</v>
      </c>
    </row>
    <row r="85" spans="1:42">
      <c r="A85" t="s">
        <v>715</v>
      </c>
      <c r="C85" t="s">
        <v>716</v>
      </c>
      <c r="D85" s="2" t="s">
        <v>717</v>
      </c>
      <c r="G85">
        <v>1</v>
      </c>
      <c r="H85" s="40">
        <v>6.25</v>
      </c>
      <c r="I85" s="40">
        <f t="shared" si="5"/>
        <v>6.25</v>
      </c>
      <c r="L85" s="72">
        <v>44838</v>
      </c>
      <c r="M85" s="42">
        <f t="shared" si="1"/>
        <v>6.8125000000000009</v>
      </c>
      <c r="N85" s="2" t="s">
        <v>122</v>
      </c>
      <c r="P85" s="32">
        <f t="shared" si="25"/>
        <v>13.625000000000002</v>
      </c>
      <c r="Q85" s="32">
        <f t="shared" si="19"/>
        <v>1.2262500000000001</v>
      </c>
      <c r="R85" s="292">
        <f t="shared" si="26"/>
        <v>14.851250000000002</v>
      </c>
      <c r="T85" s="33">
        <f t="shared" si="27"/>
        <v>20.437500000000004</v>
      </c>
      <c r="U85" s="33">
        <f t="shared" si="28"/>
        <v>1.6350000000000002</v>
      </c>
      <c r="V85" s="50">
        <f t="shared" si="29"/>
        <v>22.072500000000005</v>
      </c>
      <c r="X85" s="51">
        <f t="shared" si="30"/>
        <v>22.072500000000005</v>
      </c>
      <c r="Y85" s="51">
        <f t="shared" si="30"/>
        <v>44.14500000000001</v>
      </c>
      <c r="Z85" s="51">
        <f t="shared" si="30"/>
        <v>66.217500000000015</v>
      </c>
      <c r="AA85" s="51">
        <f t="shared" si="30"/>
        <v>88.29000000000002</v>
      </c>
      <c r="AB85" s="51">
        <f t="shared" si="30"/>
        <v>110.36250000000003</v>
      </c>
      <c r="AC85" s="51">
        <f t="shared" si="30"/>
        <v>132.43500000000003</v>
      </c>
      <c r="AD85" s="51">
        <f t="shared" si="30"/>
        <v>154.50750000000005</v>
      </c>
      <c r="AE85" s="51">
        <f t="shared" si="30"/>
        <v>176.58000000000004</v>
      </c>
      <c r="AF85" s="51">
        <f t="shared" si="30"/>
        <v>198.65250000000003</v>
      </c>
      <c r="AG85" s="51">
        <f t="shared" si="30"/>
        <v>220.72500000000005</v>
      </c>
      <c r="AH85" s="51">
        <f t="shared" si="31"/>
        <v>441.4500000000001</v>
      </c>
      <c r="AI85" s="51">
        <f t="shared" si="31"/>
        <v>662.17500000000018</v>
      </c>
      <c r="AJ85" s="51">
        <f t="shared" si="31"/>
        <v>882.9000000000002</v>
      </c>
      <c r="AK85" s="51">
        <f t="shared" si="31"/>
        <v>1103.6250000000002</v>
      </c>
      <c r="AL85" s="51">
        <f t="shared" si="31"/>
        <v>2207.2500000000005</v>
      </c>
      <c r="AM85" s="51">
        <f t="shared" si="31"/>
        <v>4414.5000000000009</v>
      </c>
      <c r="AN85" s="51">
        <f t="shared" si="31"/>
        <v>6621.7500000000018</v>
      </c>
      <c r="AO85" s="51">
        <f t="shared" si="31"/>
        <v>8829.0000000000018</v>
      </c>
      <c r="AP85" s="51">
        <f t="shared" si="31"/>
        <v>11036.250000000002</v>
      </c>
    </row>
    <row r="86" spans="1:42">
      <c r="A86" t="s">
        <v>718</v>
      </c>
      <c r="C86">
        <v>3013</v>
      </c>
      <c r="D86" s="2" t="s">
        <v>719</v>
      </c>
      <c r="G86">
        <v>19</v>
      </c>
      <c r="H86" s="40">
        <v>1.01</v>
      </c>
      <c r="I86" s="40">
        <f t="shared" si="5"/>
        <v>19.190000000000001</v>
      </c>
      <c r="K86" s="40">
        <v>0.02</v>
      </c>
      <c r="L86" s="72">
        <v>44886</v>
      </c>
      <c r="M86" s="42">
        <f t="shared" si="1"/>
        <v>1.1209</v>
      </c>
      <c r="N86" s="2" t="s">
        <v>79</v>
      </c>
      <c r="P86" s="32">
        <f t="shared" si="25"/>
        <v>2.2418</v>
      </c>
      <c r="Q86" s="32">
        <f t="shared" si="19"/>
        <v>0.201762</v>
      </c>
      <c r="R86" s="292">
        <f t="shared" si="26"/>
        <v>2.443562</v>
      </c>
      <c r="T86" s="33">
        <f t="shared" si="27"/>
        <v>3.3627000000000002</v>
      </c>
      <c r="U86" s="33">
        <f t="shared" si="28"/>
        <v>0.26901600000000003</v>
      </c>
      <c r="V86" s="50">
        <f t="shared" si="29"/>
        <v>3.6317160000000004</v>
      </c>
      <c r="X86" s="51">
        <f t="shared" si="30"/>
        <v>3.6317160000000004</v>
      </c>
      <c r="Y86" s="51">
        <f t="shared" si="30"/>
        <v>7.2634320000000008</v>
      </c>
      <c r="Z86" s="51">
        <f t="shared" si="30"/>
        <v>10.895148000000001</v>
      </c>
      <c r="AA86" s="51">
        <f t="shared" si="30"/>
        <v>14.526864000000002</v>
      </c>
      <c r="AB86" s="51">
        <f t="shared" si="30"/>
        <v>18.158580000000001</v>
      </c>
      <c r="AC86" s="51">
        <f t="shared" si="30"/>
        <v>21.790296000000001</v>
      </c>
      <c r="AD86" s="51">
        <f t="shared" si="30"/>
        <v>25.422012000000002</v>
      </c>
      <c r="AE86" s="51">
        <f t="shared" si="30"/>
        <v>29.053728000000003</v>
      </c>
      <c r="AF86" s="51">
        <f t="shared" si="30"/>
        <v>32.685444000000004</v>
      </c>
      <c r="AG86" s="51">
        <f t="shared" si="30"/>
        <v>36.317160000000001</v>
      </c>
      <c r="AH86" s="51">
        <f t="shared" si="31"/>
        <v>72.634320000000002</v>
      </c>
      <c r="AI86" s="51">
        <f t="shared" si="31"/>
        <v>108.95148000000002</v>
      </c>
      <c r="AJ86" s="51">
        <f t="shared" si="31"/>
        <v>145.26864</v>
      </c>
      <c r="AK86" s="51">
        <f t="shared" si="31"/>
        <v>181.58580000000001</v>
      </c>
      <c r="AL86" s="51">
        <f t="shared" si="31"/>
        <v>363.17160000000001</v>
      </c>
      <c r="AM86" s="51">
        <f t="shared" si="31"/>
        <v>726.34320000000002</v>
      </c>
      <c r="AN86" s="51">
        <f t="shared" si="31"/>
        <v>1089.5148000000002</v>
      </c>
      <c r="AO86" s="51">
        <f t="shared" si="31"/>
        <v>1452.6864</v>
      </c>
      <c r="AP86" s="51">
        <f t="shared" si="31"/>
        <v>1815.8580000000002</v>
      </c>
    </row>
    <row r="87" spans="1:42">
      <c r="A87" t="s">
        <v>720</v>
      </c>
      <c r="B87" s="29" t="s">
        <v>721</v>
      </c>
      <c r="C87" t="s">
        <v>722</v>
      </c>
      <c r="D87" s="2" t="s">
        <v>719</v>
      </c>
      <c r="G87">
        <v>19</v>
      </c>
      <c r="H87" s="40">
        <f>47.8/19+0.15</f>
        <v>2.6657894736842103</v>
      </c>
      <c r="I87" s="40">
        <f t="shared" si="5"/>
        <v>50.649999999999991</v>
      </c>
      <c r="K87" s="40">
        <v>0.02</v>
      </c>
      <c r="L87" s="72">
        <v>44886</v>
      </c>
      <c r="M87" s="42">
        <f t="shared" si="1"/>
        <v>2.9257105263157892</v>
      </c>
      <c r="N87" s="2" t="s">
        <v>79</v>
      </c>
      <c r="P87" s="32">
        <f t="shared" si="25"/>
        <v>5.8514210526315784</v>
      </c>
      <c r="Q87" s="32">
        <f t="shared" si="19"/>
        <v>0.52662789473684202</v>
      </c>
      <c r="R87" s="292">
        <f t="shared" si="26"/>
        <v>6.3780489473684208</v>
      </c>
      <c r="T87" s="33">
        <f t="shared" si="27"/>
        <v>8.7771315789473672</v>
      </c>
      <c r="U87" s="33">
        <f t="shared" si="28"/>
        <v>0.70217052631578936</v>
      </c>
      <c r="V87" s="50">
        <f t="shared" si="29"/>
        <v>9.479302105263157</v>
      </c>
      <c r="X87" s="51">
        <f t="shared" si="30"/>
        <v>9.479302105263157</v>
      </c>
      <c r="Y87" s="51">
        <f t="shared" si="30"/>
        <v>18.958604210526314</v>
      </c>
      <c r="Z87" s="51">
        <f t="shared" si="30"/>
        <v>28.437906315789469</v>
      </c>
      <c r="AA87" s="51">
        <f t="shared" si="30"/>
        <v>37.917208421052628</v>
      </c>
      <c r="AB87" s="51">
        <f t="shared" si="30"/>
        <v>47.396510526315787</v>
      </c>
      <c r="AC87" s="51">
        <f t="shared" si="30"/>
        <v>56.875812631578938</v>
      </c>
      <c r="AD87" s="51">
        <f t="shared" si="30"/>
        <v>66.355114736842097</v>
      </c>
      <c r="AE87" s="51">
        <f t="shared" si="30"/>
        <v>75.834416842105256</v>
      </c>
      <c r="AF87" s="51">
        <f t="shared" si="30"/>
        <v>85.313718947368415</v>
      </c>
      <c r="AG87" s="51">
        <f t="shared" si="30"/>
        <v>94.793021052631573</v>
      </c>
      <c r="AH87" s="51">
        <f t="shared" si="31"/>
        <v>189.58604210526315</v>
      </c>
      <c r="AI87" s="51">
        <f t="shared" si="31"/>
        <v>284.37906315789473</v>
      </c>
      <c r="AJ87" s="51">
        <f t="shared" si="31"/>
        <v>379.17208421052629</v>
      </c>
      <c r="AK87" s="51">
        <f t="shared" si="31"/>
        <v>473.96510526315785</v>
      </c>
      <c r="AL87" s="51">
        <f t="shared" si="31"/>
        <v>947.9302105263157</v>
      </c>
      <c r="AM87" s="51">
        <f t="shared" si="31"/>
        <v>1895.8604210526314</v>
      </c>
      <c r="AN87" s="51">
        <f t="shared" si="31"/>
        <v>2843.7906315789469</v>
      </c>
      <c r="AO87" s="51">
        <f t="shared" si="31"/>
        <v>3791.7208421052628</v>
      </c>
      <c r="AP87" s="51">
        <f t="shared" si="31"/>
        <v>4739.6510526315788</v>
      </c>
    </row>
    <row r="88" spans="1:42">
      <c r="A88" t="s">
        <v>723</v>
      </c>
      <c r="B88" s="29" t="s">
        <v>724</v>
      </c>
      <c r="C88">
        <v>3030</v>
      </c>
      <c r="D88" s="2" t="s">
        <v>719</v>
      </c>
      <c r="G88">
        <v>20</v>
      </c>
      <c r="H88" s="40">
        <v>1.64</v>
      </c>
      <c r="I88" s="40">
        <f t="shared" si="5"/>
        <v>32.799999999999997</v>
      </c>
      <c r="K88" s="40">
        <v>0.02</v>
      </c>
      <c r="L88" s="72">
        <v>44886</v>
      </c>
      <c r="M88" s="42">
        <f t="shared" si="1"/>
        <v>1.8076000000000001</v>
      </c>
      <c r="N88" s="2" t="s">
        <v>79</v>
      </c>
      <c r="P88" s="32">
        <f t="shared" si="25"/>
        <v>3.6152000000000002</v>
      </c>
      <c r="Q88" s="32">
        <f t="shared" si="19"/>
        <v>0.32536799999999999</v>
      </c>
      <c r="R88" s="292">
        <f t="shared" si="26"/>
        <v>3.9405680000000003</v>
      </c>
      <c r="T88" s="33">
        <f t="shared" si="27"/>
        <v>5.4228000000000005</v>
      </c>
      <c r="U88" s="33">
        <f t="shared" si="28"/>
        <v>0.43382400000000004</v>
      </c>
      <c r="V88" s="50">
        <f t="shared" si="29"/>
        <v>5.8566240000000009</v>
      </c>
      <c r="X88" s="51">
        <f t="shared" ref="X88:AG183" si="46">$V88*X$3</f>
        <v>5.8566240000000009</v>
      </c>
      <c r="Y88" s="51">
        <f t="shared" si="46"/>
        <v>11.713248000000002</v>
      </c>
      <c r="Z88" s="51">
        <f t="shared" si="46"/>
        <v>17.569872000000004</v>
      </c>
      <c r="AA88" s="51">
        <f t="shared" si="46"/>
        <v>23.426496000000004</v>
      </c>
      <c r="AB88" s="51">
        <f t="shared" si="46"/>
        <v>29.283120000000004</v>
      </c>
      <c r="AC88" s="51">
        <f t="shared" si="46"/>
        <v>35.139744000000007</v>
      </c>
      <c r="AD88" s="51">
        <f t="shared" si="46"/>
        <v>40.996368000000004</v>
      </c>
      <c r="AE88" s="51">
        <f t="shared" si="46"/>
        <v>46.852992000000008</v>
      </c>
      <c r="AF88" s="51">
        <f t="shared" si="46"/>
        <v>52.709616000000011</v>
      </c>
      <c r="AG88" s="51">
        <f t="shared" si="46"/>
        <v>58.566240000000008</v>
      </c>
      <c r="AH88" s="51">
        <f t="shared" ref="AH88:AP183" si="47">$V88*AH$3</f>
        <v>117.13248000000002</v>
      </c>
      <c r="AI88" s="51">
        <f t="shared" si="47"/>
        <v>175.69872000000004</v>
      </c>
      <c r="AJ88" s="51">
        <f t="shared" si="47"/>
        <v>234.26496000000003</v>
      </c>
      <c r="AK88" s="51">
        <f t="shared" si="47"/>
        <v>292.83120000000002</v>
      </c>
      <c r="AL88" s="51">
        <f t="shared" si="47"/>
        <v>585.66240000000005</v>
      </c>
      <c r="AM88" s="51">
        <f t="shared" si="47"/>
        <v>1171.3248000000001</v>
      </c>
      <c r="AN88" s="51">
        <f t="shared" si="47"/>
        <v>1756.9872000000003</v>
      </c>
      <c r="AO88" s="51">
        <f t="shared" si="47"/>
        <v>2342.6496000000002</v>
      </c>
      <c r="AP88" s="51">
        <f t="shared" si="47"/>
        <v>2928.3120000000004</v>
      </c>
    </row>
    <row r="89" spans="1:42">
      <c r="A89" t="s">
        <v>725</v>
      </c>
      <c r="B89" s="29" t="s">
        <v>726</v>
      </c>
      <c r="C89" t="s">
        <v>727</v>
      </c>
      <c r="D89" s="2" t="s">
        <v>728</v>
      </c>
      <c r="G89">
        <v>20</v>
      </c>
      <c r="H89" s="40">
        <f>26.03/19+0.15</f>
        <v>1.52</v>
      </c>
      <c r="I89" s="40">
        <f t="shared" si="5"/>
        <v>30.4</v>
      </c>
      <c r="K89" s="40">
        <v>0.02</v>
      </c>
      <c r="L89" s="72">
        <v>44886</v>
      </c>
      <c r="M89" s="42">
        <f t="shared" si="1"/>
        <v>1.6768000000000001</v>
      </c>
      <c r="N89" s="2" t="s">
        <v>79</v>
      </c>
      <c r="P89" s="32">
        <f t="shared" si="25"/>
        <v>3.3536000000000001</v>
      </c>
      <c r="Q89" s="32">
        <f t="shared" si="19"/>
        <v>0.30182399999999998</v>
      </c>
      <c r="R89" s="292">
        <f t="shared" si="26"/>
        <v>3.655424</v>
      </c>
      <c r="T89" s="33">
        <f t="shared" si="27"/>
        <v>5.0304000000000002</v>
      </c>
      <c r="U89" s="33">
        <f t="shared" si="28"/>
        <v>0.40243200000000001</v>
      </c>
      <c r="V89" s="50">
        <f t="shared" si="29"/>
        <v>5.4328320000000003</v>
      </c>
      <c r="X89" s="51">
        <f t="shared" si="46"/>
        <v>5.4328320000000003</v>
      </c>
      <c r="Y89" s="51">
        <f t="shared" si="46"/>
        <v>10.865664000000001</v>
      </c>
      <c r="Z89" s="51">
        <f t="shared" si="46"/>
        <v>16.298496</v>
      </c>
      <c r="AA89" s="51">
        <f t="shared" si="46"/>
        <v>21.731328000000001</v>
      </c>
      <c r="AB89" s="51">
        <f t="shared" si="46"/>
        <v>27.164160000000003</v>
      </c>
      <c r="AC89" s="51">
        <f t="shared" si="46"/>
        <v>32.596992</v>
      </c>
      <c r="AD89" s="51">
        <f t="shared" si="46"/>
        <v>38.029824000000005</v>
      </c>
      <c r="AE89" s="51">
        <f t="shared" si="46"/>
        <v>43.462656000000003</v>
      </c>
      <c r="AF89" s="51">
        <f t="shared" si="46"/>
        <v>48.895488</v>
      </c>
      <c r="AG89" s="51">
        <f t="shared" si="46"/>
        <v>54.328320000000005</v>
      </c>
      <c r="AH89" s="51">
        <f t="shared" si="47"/>
        <v>108.65664000000001</v>
      </c>
      <c r="AI89" s="51">
        <f t="shared" si="47"/>
        <v>162.98496</v>
      </c>
      <c r="AJ89" s="51">
        <f t="shared" si="47"/>
        <v>217.31328000000002</v>
      </c>
      <c r="AK89" s="51">
        <f t="shared" si="47"/>
        <v>271.64160000000004</v>
      </c>
      <c r="AL89" s="51">
        <f t="shared" si="47"/>
        <v>543.28320000000008</v>
      </c>
      <c r="AM89" s="51">
        <f t="shared" si="47"/>
        <v>1086.5664000000002</v>
      </c>
      <c r="AN89" s="51">
        <f t="shared" si="47"/>
        <v>1629.8496</v>
      </c>
      <c r="AO89" s="51">
        <f t="shared" si="47"/>
        <v>2173.1328000000003</v>
      </c>
      <c r="AP89" s="51">
        <f t="shared" si="47"/>
        <v>2716.4160000000002</v>
      </c>
    </row>
    <row r="90" spans="1:42">
      <c r="A90" t="s">
        <v>729</v>
      </c>
      <c r="C90">
        <v>3053</v>
      </c>
      <c r="D90" s="2" t="s">
        <v>719</v>
      </c>
      <c r="G90">
        <v>20</v>
      </c>
      <c r="H90" s="40">
        <v>0.74</v>
      </c>
      <c r="I90" s="40">
        <f t="shared" si="5"/>
        <v>14.8</v>
      </c>
      <c r="K90" s="40">
        <v>0.02</v>
      </c>
      <c r="L90" s="72">
        <v>44886</v>
      </c>
      <c r="M90" s="42">
        <f t="shared" si="1"/>
        <v>0.82660000000000011</v>
      </c>
      <c r="N90" s="2" t="s">
        <v>79</v>
      </c>
      <c r="P90" s="32">
        <f t="shared" ref="P90:P98" si="48">M90*$P$2</f>
        <v>1.6532000000000002</v>
      </c>
      <c r="Q90" s="32">
        <f t="shared" ref="Q90:Q98" si="49">P90*0.09</f>
        <v>0.148788</v>
      </c>
      <c r="R90" s="292">
        <f t="shared" ref="R90:R98" si="50">P90+Q90</f>
        <v>1.8019880000000001</v>
      </c>
      <c r="T90" s="33">
        <f t="shared" ref="T90:T98" si="51">M90*$T$2</f>
        <v>2.4798000000000004</v>
      </c>
      <c r="U90" s="33">
        <f t="shared" ref="U90:U98" si="52">T90*0.08</f>
        <v>0.19838400000000003</v>
      </c>
      <c r="V90" s="50">
        <f t="shared" ref="V90:V98" si="53">T90+U90</f>
        <v>2.6781840000000003</v>
      </c>
      <c r="X90" s="51">
        <f t="shared" ref="X90:AM98" si="54">$V90*X$3</f>
        <v>2.6781840000000003</v>
      </c>
      <c r="Y90" s="51">
        <f t="shared" si="54"/>
        <v>5.3563680000000007</v>
      </c>
      <c r="Z90" s="51">
        <f t="shared" si="54"/>
        <v>8.0345520000000015</v>
      </c>
      <c r="AA90" s="51">
        <f t="shared" si="54"/>
        <v>10.712736000000001</v>
      </c>
      <c r="AB90" s="51">
        <f t="shared" si="54"/>
        <v>13.390920000000001</v>
      </c>
      <c r="AC90" s="51">
        <f t="shared" si="54"/>
        <v>16.069104000000003</v>
      </c>
      <c r="AD90" s="51">
        <f t="shared" si="54"/>
        <v>18.747288000000001</v>
      </c>
      <c r="AE90" s="51">
        <f t="shared" si="54"/>
        <v>21.425472000000003</v>
      </c>
      <c r="AF90" s="51">
        <f t="shared" si="54"/>
        <v>24.103656000000004</v>
      </c>
      <c r="AG90" s="51">
        <f t="shared" si="54"/>
        <v>26.781840000000003</v>
      </c>
      <c r="AH90" s="51">
        <f t="shared" si="54"/>
        <v>53.563680000000005</v>
      </c>
      <c r="AI90" s="51">
        <f t="shared" si="54"/>
        <v>80.345520000000008</v>
      </c>
      <c r="AJ90" s="51">
        <f t="shared" si="54"/>
        <v>107.12736000000001</v>
      </c>
      <c r="AK90" s="51">
        <f t="shared" si="54"/>
        <v>133.90920000000003</v>
      </c>
      <c r="AL90" s="51">
        <f t="shared" si="54"/>
        <v>267.81840000000005</v>
      </c>
      <c r="AM90" s="51">
        <f t="shared" si="54"/>
        <v>535.63680000000011</v>
      </c>
      <c r="AN90" s="51">
        <f t="shared" ref="AH90:AP98" si="55">$V90*AN$3</f>
        <v>803.4552000000001</v>
      </c>
      <c r="AO90" s="51">
        <f t="shared" si="55"/>
        <v>1071.2736000000002</v>
      </c>
      <c r="AP90" s="51">
        <f t="shared" si="55"/>
        <v>1339.0920000000001</v>
      </c>
    </row>
    <row r="91" spans="1:42">
      <c r="A91" t="s">
        <v>730</v>
      </c>
      <c r="C91">
        <v>3009</v>
      </c>
      <c r="D91" s="2" t="s">
        <v>719</v>
      </c>
      <c r="G91">
        <v>20</v>
      </c>
      <c r="H91" s="40">
        <v>2.0499999999999998</v>
      </c>
      <c r="I91" s="40">
        <f t="shared" si="5"/>
        <v>41</v>
      </c>
      <c r="K91" s="40">
        <v>0.02</v>
      </c>
      <c r="L91" s="72">
        <v>44886</v>
      </c>
      <c r="M91" s="42">
        <f t="shared" si="1"/>
        <v>2.2545000000000002</v>
      </c>
      <c r="N91" s="2" t="s">
        <v>79</v>
      </c>
      <c r="P91" s="32">
        <f t="shared" si="48"/>
        <v>4.5090000000000003</v>
      </c>
      <c r="Q91" s="32">
        <f t="shared" si="49"/>
        <v>0.40581</v>
      </c>
      <c r="R91" s="292">
        <f t="shared" si="50"/>
        <v>4.9148100000000001</v>
      </c>
      <c r="T91" s="33">
        <f t="shared" si="51"/>
        <v>6.7635000000000005</v>
      </c>
      <c r="U91" s="33">
        <f t="shared" si="52"/>
        <v>0.54108000000000001</v>
      </c>
      <c r="V91" s="50">
        <f t="shared" si="53"/>
        <v>7.3045800000000005</v>
      </c>
      <c r="X91" s="51">
        <f t="shared" si="54"/>
        <v>7.3045800000000005</v>
      </c>
      <c r="Y91" s="51">
        <f t="shared" si="54"/>
        <v>14.609160000000001</v>
      </c>
      <c r="Z91" s="51">
        <f t="shared" si="54"/>
        <v>21.913740000000001</v>
      </c>
      <c r="AA91" s="51">
        <f t="shared" si="54"/>
        <v>29.218320000000002</v>
      </c>
      <c r="AB91" s="51">
        <f t="shared" si="54"/>
        <v>36.5229</v>
      </c>
      <c r="AC91" s="51">
        <f t="shared" si="54"/>
        <v>43.827480000000001</v>
      </c>
      <c r="AD91" s="51">
        <f t="shared" si="54"/>
        <v>51.132060000000003</v>
      </c>
      <c r="AE91" s="51">
        <f t="shared" si="54"/>
        <v>58.436640000000004</v>
      </c>
      <c r="AF91" s="51">
        <f t="shared" si="54"/>
        <v>65.741219999999998</v>
      </c>
      <c r="AG91" s="51">
        <f t="shared" si="54"/>
        <v>73.0458</v>
      </c>
      <c r="AH91" s="51">
        <f t="shared" si="55"/>
        <v>146.0916</v>
      </c>
      <c r="AI91" s="51">
        <f t="shared" si="55"/>
        <v>219.13740000000001</v>
      </c>
      <c r="AJ91" s="51">
        <f t="shared" si="55"/>
        <v>292.1832</v>
      </c>
      <c r="AK91" s="51">
        <f t="shared" si="55"/>
        <v>365.22900000000004</v>
      </c>
      <c r="AL91" s="51">
        <f t="shared" si="55"/>
        <v>730.45800000000008</v>
      </c>
      <c r="AM91" s="51">
        <f t="shared" si="55"/>
        <v>1460.9160000000002</v>
      </c>
      <c r="AN91" s="51">
        <f t="shared" si="55"/>
        <v>2191.3740000000003</v>
      </c>
      <c r="AO91" s="51">
        <f t="shared" si="55"/>
        <v>2921.8320000000003</v>
      </c>
      <c r="AP91" s="51">
        <f t="shared" si="55"/>
        <v>3652.2900000000004</v>
      </c>
    </row>
    <row r="92" spans="1:42">
      <c r="A92" t="s">
        <v>563</v>
      </c>
      <c r="C92">
        <v>3008</v>
      </c>
      <c r="D92" s="2" t="s">
        <v>719</v>
      </c>
      <c r="G92">
        <v>20</v>
      </c>
      <c r="H92" s="40">
        <v>3</v>
      </c>
      <c r="I92" s="40">
        <f t="shared" si="5"/>
        <v>60</v>
      </c>
      <c r="K92" s="40">
        <v>0.02</v>
      </c>
      <c r="L92" s="72">
        <v>44886</v>
      </c>
      <c r="M92" s="42">
        <f t="shared" si="1"/>
        <v>3.2900000000000005</v>
      </c>
      <c r="N92" s="2" t="s">
        <v>79</v>
      </c>
      <c r="P92" s="32">
        <f t="shared" si="48"/>
        <v>6.580000000000001</v>
      </c>
      <c r="Q92" s="32">
        <f t="shared" si="49"/>
        <v>0.59220000000000006</v>
      </c>
      <c r="R92" s="292">
        <f t="shared" si="50"/>
        <v>7.172200000000001</v>
      </c>
      <c r="T92" s="33">
        <f t="shared" si="51"/>
        <v>9.870000000000001</v>
      </c>
      <c r="U92" s="33">
        <f t="shared" si="52"/>
        <v>0.78960000000000008</v>
      </c>
      <c r="V92" s="50">
        <f t="shared" si="53"/>
        <v>10.659600000000001</v>
      </c>
      <c r="X92" s="51">
        <f t="shared" si="54"/>
        <v>10.659600000000001</v>
      </c>
      <c r="Y92" s="51">
        <f t="shared" si="54"/>
        <v>21.319200000000002</v>
      </c>
      <c r="Z92" s="51">
        <f t="shared" si="54"/>
        <v>31.978800000000003</v>
      </c>
      <c r="AA92" s="51">
        <f t="shared" si="54"/>
        <v>42.638400000000004</v>
      </c>
      <c r="AB92" s="51">
        <f t="shared" si="54"/>
        <v>53.298000000000002</v>
      </c>
      <c r="AC92" s="51">
        <f t="shared" si="54"/>
        <v>63.957600000000006</v>
      </c>
      <c r="AD92" s="51">
        <f t="shared" si="54"/>
        <v>74.617200000000011</v>
      </c>
      <c r="AE92" s="51">
        <f t="shared" si="54"/>
        <v>85.276800000000009</v>
      </c>
      <c r="AF92" s="51">
        <f t="shared" si="54"/>
        <v>95.936400000000006</v>
      </c>
      <c r="AG92" s="51">
        <f t="shared" si="54"/>
        <v>106.596</v>
      </c>
      <c r="AH92" s="51">
        <f t="shared" si="55"/>
        <v>213.19200000000001</v>
      </c>
      <c r="AI92" s="51">
        <f t="shared" si="55"/>
        <v>319.78800000000001</v>
      </c>
      <c r="AJ92" s="51">
        <f t="shared" si="55"/>
        <v>426.38400000000001</v>
      </c>
      <c r="AK92" s="51">
        <f t="shared" si="55"/>
        <v>532.98</v>
      </c>
      <c r="AL92" s="51">
        <f t="shared" si="55"/>
        <v>1065.96</v>
      </c>
      <c r="AM92" s="51">
        <f t="shared" si="55"/>
        <v>2131.92</v>
      </c>
      <c r="AN92" s="51">
        <f t="shared" si="55"/>
        <v>3197.88</v>
      </c>
      <c r="AO92" s="51">
        <f t="shared" si="55"/>
        <v>4263.84</v>
      </c>
      <c r="AP92" s="51">
        <f t="shared" si="55"/>
        <v>5329.8</v>
      </c>
    </row>
    <row r="93" spans="1:42">
      <c r="A93" t="s">
        <v>731</v>
      </c>
      <c r="C93">
        <v>3014</v>
      </c>
      <c r="D93" s="2" t="s">
        <v>719</v>
      </c>
      <c r="G93">
        <v>20</v>
      </c>
      <c r="H93" s="40">
        <v>1.88</v>
      </c>
      <c r="I93" s="40">
        <f t="shared" si="5"/>
        <v>37.599999999999994</v>
      </c>
      <c r="K93" s="40">
        <v>0.02</v>
      </c>
      <c r="L93" s="72">
        <v>44886</v>
      </c>
      <c r="M93" s="42">
        <f t="shared" si="1"/>
        <v>2.0691999999999999</v>
      </c>
      <c r="N93" s="2" t="s">
        <v>79</v>
      </c>
      <c r="P93" s="32">
        <f t="shared" si="48"/>
        <v>4.1383999999999999</v>
      </c>
      <c r="Q93" s="32">
        <f t="shared" si="49"/>
        <v>0.37245599999999995</v>
      </c>
      <c r="R93" s="292">
        <f t="shared" si="50"/>
        <v>4.5108559999999995</v>
      </c>
      <c r="T93" s="33">
        <f t="shared" si="51"/>
        <v>6.2075999999999993</v>
      </c>
      <c r="U93" s="33">
        <f t="shared" si="52"/>
        <v>0.49660799999999994</v>
      </c>
      <c r="V93" s="50">
        <f t="shared" si="53"/>
        <v>6.7042079999999995</v>
      </c>
      <c r="X93" s="51">
        <f t="shared" si="54"/>
        <v>6.7042079999999995</v>
      </c>
      <c r="Y93" s="51">
        <f t="shared" si="54"/>
        <v>13.408415999999999</v>
      </c>
      <c r="Z93" s="51">
        <f t="shared" si="54"/>
        <v>20.112623999999997</v>
      </c>
      <c r="AA93" s="51">
        <f t="shared" si="54"/>
        <v>26.816831999999998</v>
      </c>
      <c r="AB93" s="51">
        <f t="shared" si="54"/>
        <v>33.521039999999999</v>
      </c>
      <c r="AC93" s="51">
        <f t="shared" si="54"/>
        <v>40.225247999999993</v>
      </c>
      <c r="AD93" s="51">
        <f t="shared" si="54"/>
        <v>46.929455999999995</v>
      </c>
      <c r="AE93" s="51">
        <f t="shared" si="54"/>
        <v>53.633663999999996</v>
      </c>
      <c r="AF93" s="51">
        <f t="shared" si="54"/>
        <v>60.337871999999997</v>
      </c>
      <c r="AG93" s="51">
        <f t="shared" si="54"/>
        <v>67.042079999999999</v>
      </c>
      <c r="AH93" s="51">
        <f t="shared" si="55"/>
        <v>134.08416</v>
      </c>
      <c r="AI93" s="51">
        <f t="shared" si="55"/>
        <v>201.12624</v>
      </c>
      <c r="AJ93" s="51">
        <f t="shared" si="55"/>
        <v>268.16831999999999</v>
      </c>
      <c r="AK93" s="51">
        <f t="shared" si="55"/>
        <v>335.21039999999999</v>
      </c>
      <c r="AL93" s="51">
        <f t="shared" si="55"/>
        <v>670.42079999999999</v>
      </c>
      <c r="AM93" s="51">
        <f t="shared" si="55"/>
        <v>1340.8416</v>
      </c>
      <c r="AN93" s="51">
        <f t="shared" si="55"/>
        <v>2011.2623999999998</v>
      </c>
      <c r="AO93" s="51">
        <f t="shared" si="55"/>
        <v>2681.6831999999999</v>
      </c>
      <c r="AP93" s="51">
        <f t="shared" si="55"/>
        <v>3352.1039999999998</v>
      </c>
    </row>
    <row r="94" spans="1:42">
      <c r="A94" t="s">
        <v>732</v>
      </c>
      <c r="C94">
        <v>3385</v>
      </c>
      <c r="D94" s="2" t="s">
        <v>719</v>
      </c>
      <c r="G94">
        <v>20</v>
      </c>
      <c r="H94" s="40">
        <v>1.71</v>
      </c>
      <c r="I94" s="40">
        <f t="shared" si="5"/>
        <v>34.200000000000003</v>
      </c>
      <c r="K94" s="40">
        <v>0.02</v>
      </c>
      <c r="L94" s="72">
        <v>44886</v>
      </c>
      <c r="M94" s="42">
        <f t="shared" si="1"/>
        <v>1.8839000000000001</v>
      </c>
      <c r="N94" s="2" t="s">
        <v>79</v>
      </c>
      <c r="P94" s="32">
        <f t="shared" si="48"/>
        <v>3.7678000000000003</v>
      </c>
      <c r="Q94" s="32">
        <f t="shared" si="49"/>
        <v>0.33910200000000001</v>
      </c>
      <c r="R94" s="292">
        <f t="shared" si="50"/>
        <v>4.1069019999999998</v>
      </c>
      <c r="T94" s="33">
        <f t="shared" si="51"/>
        <v>5.6516999999999999</v>
      </c>
      <c r="U94" s="33">
        <f t="shared" si="52"/>
        <v>0.45213599999999998</v>
      </c>
      <c r="V94" s="50">
        <f t="shared" si="53"/>
        <v>6.1038360000000003</v>
      </c>
      <c r="X94" s="51">
        <f t="shared" si="54"/>
        <v>6.1038360000000003</v>
      </c>
      <c r="Y94" s="51">
        <f t="shared" si="54"/>
        <v>12.207672000000001</v>
      </c>
      <c r="Z94" s="51">
        <f t="shared" si="54"/>
        <v>18.311508</v>
      </c>
      <c r="AA94" s="51">
        <f t="shared" si="54"/>
        <v>24.415344000000001</v>
      </c>
      <c r="AB94" s="51">
        <f t="shared" si="54"/>
        <v>30.519180000000002</v>
      </c>
      <c r="AC94" s="51">
        <f t="shared" si="54"/>
        <v>36.623016</v>
      </c>
      <c r="AD94" s="51">
        <f t="shared" si="54"/>
        <v>42.726852000000001</v>
      </c>
      <c r="AE94" s="51">
        <f t="shared" si="54"/>
        <v>48.830688000000002</v>
      </c>
      <c r="AF94" s="51">
        <f t="shared" si="54"/>
        <v>54.934524000000003</v>
      </c>
      <c r="AG94" s="51">
        <f t="shared" si="54"/>
        <v>61.038360000000004</v>
      </c>
      <c r="AH94" s="51">
        <f t="shared" si="55"/>
        <v>122.07672000000001</v>
      </c>
      <c r="AI94" s="51">
        <f t="shared" si="55"/>
        <v>183.11508000000001</v>
      </c>
      <c r="AJ94" s="51">
        <f t="shared" si="55"/>
        <v>244.15344000000002</v>
      </c>
      <c r="AK94" s="51">
        <f t="shared" si="55"/>
        <v>305.1918</v>
      </c>
      <c r="AL94" s="51">
        <f t="shared" si="55"/>
        <v>610.3836</v>
      </c>
      <c r="AM94" s="51">
        <f t="shared" si="55"/>
        <v>1220.7672</v>
      </c>
      <c r="AN94" s="51">
        <f t="shared" si="55"/>
        <v>1831.1508000000001</v>
      </c>
      <c r="AO94" s="51">
        <f t="shared" si="55"/>
        <v>2441.5344</v>
      </c>
      <c r="AP94" s="51">
        <f t="shared" si="55"/>
        <v>3051.9180000000001</v>
      </c>
    </row>
    <row r="95" spans="1:42">
      <c r="A95" t="s">
        <v>733</v>
      </c>
      <c r="C95">
        <v>5016</v>
      </c>
      <c r="D95" s="2" t="s">
        <v>719</v>
      </c>
      <c r="G95">
        <v>1</v>
      </c>
      <c r="H95" s="40">
        <v>0.73</v>
      </c>
      <c r="I95" s="40">
        <f t="shared" si="5"/>
        <v>0.73</v>
      </c>
      <c r="K95" s="40">
        <v>0.02</v>
      </c>
      <c r="L95" s="72">
        <v>44886</v>
      </c>
      <c r="M95" s="42">
        <f t="shared" si="1"/>
        <v>0.81570000000000009</v>
      </c>
      <c r="N95" s="2" t="s">
        <v>122</v>
      </c>
      <c r="P95" s="32">
        <f t="shared" si="48"/>
        <v>1.6314000000000002</v>
      </c>
      <c r="Q95" s="32">
        <f t="shared" si="49"/>
        <v>0.14682600000000001</v>
      </c>
      <c r="R95" s="292">
        <f t="shared" si="50"/>
        <v>1.7782260000000001</v>
      </c>
      <c r="T95" s="33">
        <f t="shared" si="51"/>
        <v>2.4471000000000003</v>
      </c>
      <c r="U95" s="33">
        <f t="shared" si="52"/>
        <v>0.19576800000000003</v>
      </c>
      <c r="V95" s="50">
        <f t="shared" si="53"/>
        <v>2.6428680000000004</v>
      </c>
      <c r="X95" s="51">
        <f t="shared" si="54"/>
        <v>2.6428680000000004</v>
      </c>
      <c r="Y95" s="51">
        <f t="shared" si="54"/>
        <v>5.2857360000000009</v>
      </c>
      <c r="Z95" s="51">
        <f t="shared" si="54"/>
        <v>7.9286040000000018</v>
      </c>
      <c r="AA95" s="51">
        <f t="shared" si="54"/>
        <v>10.571472000000002</v>
      </c>
      <c r="AB95" s="51">
        <f t="shared" si="54"/>
        <v>13.214340000000002</v>
      </c>
      <c r="AC95" s="51">
        <f t="shared" si="54"/>
        <v>15.857208000000004</v>
      </c>
      <c r="AD95" s="51">
        <f t="shared" si="54"/>
        <v>18.500076000000004</v>
      </c>
      <c r="AE95" s="51">
        <f t="shared" si="54"/>
        <v>21.142944000000004</v>
      </c>
      <c r="AF95" s="51">
        <f t="shared" si="54"/>
        <v>23.785812000000004</v>
      </c>
      <c r="AG95" s="51">
        <f t="shared" si="54"/>
        <v>26.428680000000004</v>
      </c>
      <c r="AH95" s="51">
        <f t="shared" si="55"/>
        <v>52.857360000000007</v>
      </c>
      <c r="AI95" s="51">
        <f t="shared" si="55"/>
        <v>79.286040000000014</v>
      </c>
      <c r="AJ95" s="51">
        <f t="shared" si="55"/>
        <v>105.71472000000001</v>
      </c>
      <c r="AK95" s="51">
        <f t="shared" si="55"/>
        <v>132.14340000000001</v>
      </c>
      <c r="AL95" s="51">
        <f t="shared" si="55"/>
        <v>264.28680000000003</v>
      </c>
      <c r="AM95" s="51">
        <f t="shared" si="55"/>
        <v>528.57360000000006</v>
      </c>
      <c r="AN95" s="51">
        <f t="shared" si="55"/>
        <v>792.86040000000014</v>
      </c>
      <c r="AO95" s="51">
        <f t="shared" si="55"/>
        <v>1057.1472000000001</v>
      </c>
      <c r="AP95" s="51">
        <f t="shared" si="55"/>
        <v>1321.4340000000002</v>
      </c>
    </row>
    <row r="96" spans="1:42">
      <c r="A96" t="s">
        <v>734</v>
      </c>
      <c r="C96">
        <v>5017</v>
      </c>
      <c r="D96" s="2" t="s">
        <v>719</v>
      </c>
      <c r="G96">
        <v>1</v>
      </c>
      <c r="H96" s="40">
        <v>0.6</v>
      </c>
      <c r="I96" s="40">
        <f t="shared" si="5"/>
        <v>0.6</v>
      </c>
      <c r="K96" s="40">
        <v>0.02</v>
      </c>
      <c r="L96" s="72">
        <v>44886</v>
      </c>
      <c r="M96" s="42">
        <f t="shared" si="1"/>
        <v>0.67400000000000004</v>
      </c>
      <c r="N96" s="2" t="s">
        <v>122</v>
      </c>
      <c r="P96" s="32">
        <f t="shared" si="48"/>
        <v>1.3480000000000001</v>
      </c>
      <c r="Q96" s="32">
        <f t="shared" si="49"/>
        <v>0.12132</v>
      </c>
      <c r="R96" s="292">
        <f t="shared" si="50"/>
        <v>1.4693200000000002</v>
      </c>
      <c r="T96" s="33">
        <f t="shared" si="51"/>
        <v>2.0220000000000002</v>
      </c>
      <c r="U96" s="33">
        <f t="shared" si="52"/>
        <v>0.16176000000000001</v>
      </c>
      <c r="V96" s="50">
        <f t="shared" si="53"/>
        <v>2.1837600000000004</v>
      </c>
      <c r="X96" s="51">
        <f t="shared" si="54"/>
        <v>2.1837600000000004</v>
      </c>
      <c r="Y96" s="51">
        <f t="shared" si="54"/>
        <v>4.3675200000000007</v>
      </c>
      <c r="Z96" s="51">
        <f t="shared" si="54"/>
        <v>6.5512800000000011</v>
      </c>
      <c r="AA96" s="51">
        <f t="shared" si="54"/>
        <v>8.7350400000000015</v>
      </c>
      <c r="AB96" s="51">
        <f t="shared" si="54"/>
        <v>10.918800000000001</v>
      </c>
      <c r="AC96" s="51">
        <f t="shared" si="54"/>
        <v>13.102560000000002</v>
      </c>
      <c r="AD96" s="51">
        <f t="shared" si="54"/>
        <v>15.286320000000003</v>
      </c>
      <c r="AE96" s="51">
        <f t="shared" si="54"/>
        <v>17.470080000000003</v>
      </c>
      <c r="AF96" s="51">
        <f t="shared" si="54"/>
        <v>19.653840000000002</v>
      </c>
      <c r="AG96" s="51">
        <f t="shared" si="54"/>
        <v>21.837600000000002</v>
      </c>
      <c r="AH96" s="51">
        <f t="shared" si="55"/>
        <v>43.675200000000004</v>
      </c>
      <c r="AI96" s="51">
        <f t="shared" si="55"/>
        <v>65.512800000000013</v>
      </c>
      <c r="AJ96" s="51">
        <f t="shared" si="55"/>
        <v>87.350400000000008</v>
      </c>
      <c r="AK96" s="51">
        <f t="shared" si="55"/>
        <v>109.18800000000002</v>
      </c>
      <c r="AL96" s="51">
        <f t="shared" si="55"/>
        <v>218.37600000000003</v>
      </c>
      <c r="AM96" s="51">
        <f t="shared" si="55"/>
        <v>436.75200000000007</v>
      </c>
      <c r="AN96" s="51">
        <f t="shared" si="55"/>
        <v>655.12800000000016</v>
      </c>
      <c r="AO96" s="51">
        <f t="shared" si="55"/>
        <v>873.50400000000013</v>
      </c>
      <c r="AP96" s="51">
        <f t="shared" si="55"/>
        <v>1091.8800000000001</v>
      </c>
    </row>
    <row r="97" spans="1:42">
      <c r="A97" t="s">
        <v>735</v>
      </c>
      <c r="C97">
        <v>3030</v>
      </c>
      <c r="D97" s="2" t="s">
        <v>719</v>
      </c>
      <c r="G97">
        <v>20</v>
      </c>
      <c r="H97" s="40">
        <v>1.64</v>
      </c>
      <c r="I97" s="40">
        <f t="shared" si="5"/>
        <v>32.799999999999997</v>
      </c>
      <c r="K97" s="40">
        <v>0.02</v>
      </c>
      <c r="L97" s="72">
        <v>44886</v>
      </c>
      <c r="M97" s="42">
        <f t="shared" si="1"/>
        <v>1.8076000000000001</v>
      </c>
      <c r="N97" s="2" t="s">
        <v>79</v>
      </c>
      <c r="P97" s="32">
        <f t="shared" si="48"/>
        <v>3.6152000000000002</v>
      </c>
      <c r="Q97" s="32">
        <f t="shared" si="49"/>
        <v>0.32536799999999999</v>
      </c>
      <c r="R97" s="292">
        <f t="shared" si="50"/>
        <v>3.9405680000000003</v>
      </c>
      <c r="T97" s="33">
        <f t="shared" si="51"/>
        <v>5.4228000000000005</v>
      </c>
      <c r="U97" s="33">
        <f t="shared" si="52"/>
        <v>0.43382400000000004</v>
      </c>
      <c r="V97" s="50">
        <f t="shared" si="53"/>
        <v>5.8566240000000009</v>
      </c>
      <c r="X97" s="51">
        <f t="shared" si="54"/>
        <v>5.8566240000000009</v>
      </c>
      <c r="Y97" s="51">
        <f t="shared" si="54"/>
        <v>11.713248000000002</v>
      </c>
      <c r="Z97" s="51">
        <f t="shared" si="54"/>
        <v>17.569872000000004</v>
      </c>
      <c r="AA97" s="51">
        <f t="shared" si="54"/>
        <v>23.426496000000004</v>
      </c>
      <c r="AB97" s="51">
        <f t="shared" si="54"/>
        <v>29.283120000000004</v>
      </c>
      <c r="AC97" s="51">
        <f t="shared" si="54"/>
        <v>35.139744000000007</v>
      </c>
      <c r="AD97" s="51">
        <f t="shared" si="54"/>
        <v>40.996368000000004</v>
      </c>
      <c r="AE97" s="51">
        <f t="shared" si="54"/>
        <v>46.852992000000008</v>
      </c>
      <c r="AF97" s="51">
        <f t="shared" si="54"/>
        <v>52.709616000000011</v>
      </c>
      <c r="AG97" s="51">
        <f t="shared" si="54"/>
        <v>58.566240000000008</v>
      </c>
      <c r="AH97" s="51">
        <f t="shared" si="55"/>
        <v>117.13248000000002</v>
      </c>
      <c r="AI97" s="51">
        <f t="shared" si="55"/>
        <v>175.69872000000004</v>
      </c>
      <c r="AJ97" s="51">
        <f t="shared" si="55"/>
        <v>234.26496000000003</v>
      </c>
      <c r="AK97" s="51">
        <f t="shared" si="55"/>
        <v>292.83120000000002</v>
      </c>
      <c r="AL97" s="51">
        <f t="shared" si="55"/>
        <v>585.66240000000005</v>
      </c>
      <c r="AM97" s="51">
        <f t="shared" si="55"/>
        <v>1171.3248000000001</v>
      </c>
      <c r="AN97" s="51">
        <f t="shared" si="55"/>
        <v>1756.9872000000003</v>
      </c>
      <c r="AO97" s="51">
        <f t="shared" si="55"/>
        <v>2342.6496000000002</v>
      </c>
      <c r="AP97" s="51">
        <f t="shared" si="55"/>
        <v>2928.3120000000004</v>
      </c>
    </row>
    <row r="98" spans="1:42">
      <c r="A98" t="s">
        <v>736</v>
      </c>
      <c r="C98">
        <v>5002</v>
      </c>
      <c r="D98" s="2" t="s">
        <v>719</v>
      </c>
      <c r="G98">
        <v>1</v>
      </c>
      <c r="H98" s="40">
        <v>1.5</v>
      </c>
      <c r="I98" s="40">
        <f t="shared" si="5"/>
        <v>1.5</v>
      </c>
      <c r="K98" s="40">
        <v>0.02</v>
      </c>
      <c r="L98" s="72">
        <v>44886</v>
      </c>
      <c r="M98" s="42">
        <f t="shared" si="1"/>
        <v>1.6550000000000002</v>
      </c>
      <c r="N98" s="2" t="s">
        <v>79</v>
      </c>
      <c r="P98" s="32">
        <f t="shared" si="48"/>
        <v>3.3100000000000005</v>
      </c>
      <c r="Q98" s="32">
        <f t="shared" si="49"/>
        <v>0.29790000000000005</v>
      </c>
      <c r="R98" s="292">
        <f t="shared" si="50"/>
        <v>3.6079000000000008</v>
      </c>
      <c r="T98" s="33">
        <f t="shared" si="51"/>
        <v>4.9650000000000007</v>
      </c>
      <c r="U98" s="33">
        <f t="shared" si="52"/>
        <v>0.39720000000000005</v>
      </c>
      <c r="V98" s="50">
        <f t="shared" si="53"/>
        <v>5.3622000000000005</v>
      </c>
      <c r="X98" s="51">
        <f t="shared" si="54"/>
        <v>5.3622000000000005</v>
      </c>
      <c r="Y98" s="51">
        <f t="shared" si="54"/>
        <v>10.724400000000001</v>
      </c>
      <c r="Z98" s="51">
        <f t="shared" si="54"/>
        <v>16.086600000000001</v>
      </c>
      <c r="AA98" s="51">
        <f t="shared" si="54"/>
        <v>21.448800000000002</v>
      </c>
      <c r="AB98" s="51">
        <f t="shared" si="54"/>
        <v>26.811000000000003</v>
      </c>
      <c r="AC98" s="51">
        <f t="shared" si="54"/>
        <v>32.173200000000001</v>
      </c>
      <c r="AD98" s="51">
        <f t="shared" si="54"/>
        <v>37.535400000000003</v>
      </c>
      <c r="AE98" s="51">
        <f t="shared" si="54"/>
        <v>42.897600000000004</v>
      </c>
      <c r="AF98" s="51">
        <f t="shared" si="54"/>
        <v>48.259800000000006</v>
      </c>
      <c r="AG98" s="51">
        <f t="shared" si="54"/>
        <v>53.622000000000007</v>
      </c>
      <c r="AH98" s="51">
        <f t="shared" si="55"/>
        <v>107.24400000000001</v>
      </c>
      <c r="AI98" s="51">
        <f t="shared" si="55"/>
        <v>160.86600000000001</v>
      </c>
      <c r="AJ98" s="51">
        <f t="shared" si="55"/>
        <v>214.48800000000003</v>
      </c>
      <c r="AK98" s="51">
        <f t="shared" si="55"/>
        <v>268.11</v>
      </c>
      <c r="AL98" s="51">
        <f t="shared" si="55"/>
        <v>536.22</v>
      </c>
      <c r="AM98" s="51">
        <f t="shared" si="55"/>
        <v>1072.44</v>
      </c>
      <c r="AN98" s="51">
        <f t="shared" si="55"/>
        <v>1608.66</v>
      </c>
      <c r="AO98" s="51">
        <f t="shared" si="55"/>
        <v>2144.88</v>
      </c>
      <c r="AP98" s="51">
        <f t="shared" si="55"/>
        <v>2681.1000000000004</v>
      </c>
    </row>
    <row r="99" spans="1:42">
      <c r="A99" t="s">
        <v>737</v>
      </c>
      <c r="C99">
        <v>8658021</v>
      </c>
      <c r="D99" s="2" t="s">
        <v>650</v>
      </c>
      <c r="G99">
        <v>21.5</v>
      </c>
      <c r="H99" s="40">
        <v>0.93</v>
      </c>
      <c r="I99" s="40">
        <f t="shared" si="5"/>
        <v>19.995000000000001</v>
      </c>
      <c r="L99" s="72">
        <v>44853</v>
      </c>
      <c r="M99" s="42">
        <f t="shared" si="1"/>
        <v>1.0137</v>
      </c>
      <c r="N99" s="2" t="s">
        <v>79</v>
      </c>
      <c r="P99" s="32">
        <f t="shared" si="25"/>
        <v>2.0274000000000001</v>
      </c>
      <c r="Q99" s="32">
        <f t="shared" si="19"/>
        <v>0.18246599999999999</v>
      </c>
      <c r="R99" s="292">
        <f t="shared" si="26"/>
        <v>2.2098659999999999</v>
      </c>
      <c r="T99" s="33">
        <f t="shared" si="27"/>
        <v>3.0411000000000001</v>
      </c>
      <c r="U99" s="33">
        <f t="shared" si="28"/>
        <v>0.243288</v>
      </c>
      <c r="V99" s="50">
        <f t="shared" si="29"/>
        <v>3.2843880000000003</v>
      </c>
      <c r="X99" s="51">
        <f t="shared" si="46"/>
        <v>3.2843880000000003</v>
      </c>
      <c r="Y99" s="51">
        <f t="shared" si="46"/>
        <v>6.5687760000000006</v>
      </c>
      <c r="Z99" s="51">
        <f t="shared" si="46"/>
        <v>9.8531640000000014</v>
      </c>
      <c r="AA99" s="51">
        <f t="shared" si="46"/>
        <v>13.137552000000001</v>
      </c>
      <c r="AB99" s="51">
        <f t="shared" si="46"/>
        <v>16.421940000000003</v>
      </c>
      <c r="AC99" s="51">
        <f t="shared" si="46"/>
        <v>19.706328000000003</v>
      </c>
      <c r="AD99" s="51">
        <f t="shared" si="46"/>
        <v>22.990716000000003</v>
      </c>
      <c r="AE99" s="51">
        <f t="shared" si="46"/>
        <v>26.275104000000002</v>
      </c>
      <c r="AF99" s="51">
        <f t="shared" si="46"/>
        <v>29.559492000000002</v>
      </c>
      <c r="AG99" s="51">
        <f t="shared" si="46"/>
        <v>32.843880000000006</v>
      </c>
      <c r="AH99" s="51">
        <f t="shared" si="47"/>
        <v>65.687760000000011</v>
      </c>
      <c r="AI99" s="51">
        <f t="shared" si="47"/>
        <v>98.53164000000001</v>
      </c>
      <c r="AJ99" s="51">
        <f t="shared" si="47"/>
        <v>131.37552000000002</v>
      </c>
      <c r="AK99" s="51">
        <f t="shared" si="47"/>
        <v>164.21940000000001</v>
      </c>
      <c r="AL99" s="51">
        <f t="shared" si="47"/>
        <v>328.43880000000001</v>
      </c>
      <c r="AM99" s="51">
        <f t="shared" si="47"/>
        <v>656.87760000000003</v>
      </c>
      <c r="AN99" s="51">
        <f t="shared" si="47"/>
        <v>985.31640000000004</v>
      </c>
      <c r="AO99" s="51">
        <f t="shared" si="47"/>
        <v>1313.7552000000001</v>
      </c>
      <c r="AP99" s="51">
        <f t="shared" si="47"/>
        <v>1642.1940000000002</v>
      </c>
    </row>
    <row r="100" spans="1:42">
      <c r="A100" t="s">
        <v>738</v>
      </c>
      <c r="C100">
        <v>8657021</v>
      </c>
      <c r="D100" s="2" t="s">
        <v>650</v>
      </c>
      <c r="G100">
        <v>21.5</v>
      </c>
      <c r="H100" s="40">
        <v>3.5030000000000001</v>
      </c>
      <c r="I100" s="40">
        <f t="shared" si="5"/>
        <v>75.31450000000001</v>
      </c>
      <c r="L100" s="72">
        <v>44853</v>
      </c>
      <c r="M100" s="42">
        <f t="shared" si="1"/>
        <v>3.8182700000000005</v>
      </c>
      <c r="N100" s="2" t="s">
        <v>79</v>
      </c>
      <c r="P100" s="32">
        <f t="shared" si="25"/>
        <v>7.636540000000001</v>
      </c>
      <c r="Q100" s="32">
        <f t="shared" si="19"/>
        <v>0.68728860000000003</v>
      </c>
      <c r="R100" s="292">
        <f t="shared" si="26"/>
        <v>8.3238286000000006</v>
      </c>
      <c r="T100" s="33">
        <f t="shared" si="27"/>
        <v>11.454810000000002</v>
      </c>
      <c r="U100" s="33">
        <f t="shared" si="28"/>
        <v>0.91638480000000022</v>
      </c>
      <c r="V100" s="50">
        <f t="shared" si="29"/>
        <v>12.371194800000001</v>
      </c>
      <c r="X100" s="51">
        <f t="shared" si="46"/>
        <v>12.371194800000001</v>
      </c>
      <c r="Y100" s="51">
        <f t="shared" si="46"/>
        <v>24.742389600000003</v>
      </c>
      <c r="Z100" s="51">
        <f t="shared" si="46"/>
        <v>37.113584400000008</v>
      </c>
      <c r="AA100" s="51">
        <f t="shared" si="46"/>
        <v>49.484779200000006</v>
      </c>
      <c r="AB100" s="51">
        <f t="shared" si="46"/>
        <v>61.855974000000003</v>
      </c>
      <c r="AC100" s="51">
        <f t="shared" si="46"/>
        <v>74.227168800000015</v>
      </c>
      <c r="AD100" s="51">
        <f t="shared" si="46"/>
        <v>86.598363600000013</v>
      </c>
      <c r="AE100" s="51">
        <f t="shared" si="46"/>
        <v>98.969558400000011</v>
      </c>
      <c r="AF100" s="51">
        <f t="shared" si="46"/>
        <v>111.34075320000001</v>
      </c>
      <c r="AG100" s="51">
        <f t="shared" si="46"/>
        <v>123.71194800000001</v>
      </c>
      <c r="AH100" s="51">
        <f t="shared" si="47"/>
        <v>247.42389600000001</v>
      </c>
      <c r="AI100" s="51">
        <f t="shared" si="47"/>
        <v>371.13584400000002</v>
      </c>
      <c r="AJ100" s="51">
        <f t="shared" si="47"/>
        <v>494.84779200000003</v>
      </c>
      <c r="AK100" s="51">
        <f t="shared" si="47"/>
        <v>618.55974000000003</v>
      </c>
      <c r="AL100" s="51">
        <f t="shared" si="47"/>
        <v>1237.1194800000001</v>
      </c>
      <c r="AM100" s="51">
        <f t="shared" si="47"/>
        <v>2474.2389600000001</v>
      </c>
      <c r="AN100" s="51">
        <f t="shared" si="47"/>
        <v>3711.3584400000004</v>
      </c>
      <c r="AO100" s="51">
        <f t="shared" si="47"/>
        <v>4948.4779200000003</v>
      </c>
      <c r="AP100" s="51">
        <f t="shared" si="47"/>
        <v>6185.5974000000006</v>
      </c>
    </row>
    <row r="101" spans="1:42">
      <c r="A101" t="s">
        <v>739</v>
      </c>
      <c r="C101">
        <v>8670012</v>
      </c>
      <c r="D101" s="2" t="s">
        <v>650</v>
      </c>
      <c r="G101">
        <v>12.75</v>
      </c>
      <c r="H101" s="40">
        <v>1.4710000000000001</v>
      </c>
      <c r="I101" s="40">
        <f t="shared" si="5"/>
        <v>18.75525</v>
      </c>
      <c r="L101" s="72">
        <v>44853</v>
      </c>
      <c r="M101" s="42">
        <f t="shared" si="1"/>
        <v>1.6033900000000003</v>
      </c>
      <c r="N101" s="2" t="s">
        <v>79</v>
      </c>
      <c r="P101" s="32">
        <f t="shared" si="25"/>
        <v>3.2067800000000006</v>
      </c>
      <c r="Q101" s="32">
        <f t="shared" si="19"/>
        <v>0.28861020000000004</v>
      </c>
      <c r="R101" s="292">
        <f t="shared" si="26"/>
        <v>3.4953902000000006</v>
      </c>
      <c r="T101" s="33">
        <f t="shared" si="27"/>
        <v>4.8101700000000012</v>
      </c>
      <c r="U101" s="33">
        <f t="shared" si="28"/>
        <v>0.38481360000000009</v>
      </c>
      <c r="V101" s="50">
        <f t="shared" si="29"/>
        <v>5.1949836000000014</v>
      </c>
      <c r="X101" s="51">
        <f t="shared" si="46"/>
        <v>5.1949836000000014</v>
      </c>
      <c r="Y101" s="51">
        <f t="shared" si="46"/>
        <v>10.389967200000003</v>
      </c>
      <c r="Z101" s="51">
        <f t="shared" si="46"/>
        <v>15.584950800000005</v>
      </c>
      <c r="AA101" s="51">
        <f t="shared" si="46"/>
        <v>20.779934400000005</v>
      </c>
      <c r="AB101" s="51">
        <f t="shared" si="46"/>
        <v>25.974918000000006</v>
      </c>
      <c r="AC101" s="51">
        <f t="shared" si="46"/>
        <v>31.16990160000001</v>
      </c>
      <c r="AD101" s="51">
        <f t="shared" si="46"/>
        <v>36.36488520000001</v>
      </c>
      <c r="AE101" s="51">
        <f t="shared" si="46"/>
        <v>41.559868800000011</v>
      </c>
      <c r="AF101" s="51">
        <f t="shared" si="46"/>
        <v>46.754852400000011</v>
      </c>
      <c r="AG101" s="51">
        <f t="shared" si="46"/>
        <v>51.949836000000012</v>
      </c>
      <c r="AH101" s="51">
        <f t="shared" si="47"/>
        <v>103.89967200000002</v>
      </c>
      <c r="AI101" s="51">
        <f t="shared" si="47"/>
        <v>155.84950800000004</v>
      </c>
      <c r="AJ101" s="51">
        <f t="shared" si="47"/>
        <v>207.79934400000005</v>
      </c>
      <c r="AK101" s="51">
        <f t="shared" si="47"/>
        <v>259.74918000000008</v>
      </c>
      <c r="AL101" s="51">
        <f t="shared" si="47"/>
        <v>519.49836000000016</v>
      </c>
      <c r="AM101" s="51">
        <f t="shared" si="47"/>
        <v>1038.9967200000003</v>
      </c>
      <c r="AN101" s="51">
        <f t="shared" si="47"/>
        <v>1558.4950800000004</v>
      </c>
      <c r="AO101" s="51">
        <f t="shared" si="47"/>
        <v>2077.9934400000006</v>
      </c>
      <c r="AP101" s="51">
        <f t="shared" si="47"/>
        <v>2597.4918000000007</v>
      </c>
    </row>
    <row r="102" spans="1:42">
      <c r="A102" t="s">
        <v>740</v>
      </c>
      <c r="C102">
        <v>8671012</v>
      </c>
      <c r="D102" s="2" t="s">
        <v>650</v>
      </c>
      <c r="G102">
        <v>12.75</v>
      </c>
      <c r="H102" s="40">
        <v>4.641</v>
      </c>
      <c r="I102" s="40">
        <f t="shared" si="5"/>
        <v>59.172750000000001</v>
      </c>
      <c r="L102" s="72">
        <v>44853</v>
      </c>
      <c r="M102" s="42">
        <f t="shared" si="1"/>
        <v>5.0586900000000004</v>
      </c>
      <c r="N102" s="2" t="s">
        <v>79</v>
      </c>
      <c r="P102" s="32">
        <f t="shared" si="25"/>
        <v>10.117380000000001</v>
      </c>
      <c r="Q102" s="32">
        <f t="shared" si="19"/>
        <v>0.91056420000000005</v>
      </c>
      <c r="R102" s="292">
        <f t="shared" si="26"/>
        <v>11.0279442</v>
      </c>
      <c r="T102" s="33">
        <f t="shared" si="27"/>
        <v>15.176070000000001</v>
      </c>
      <c r="U102" s="33">
        <f t="shared" si="28"/>
        <v>1.2140856000000002</v>
      </c>
      <c r="V102" s="50">
        <f t="shared" si="29"/>
        <v>16.3901556</v>
      </c>
      <c r="X102" s="51">
        <f t="shared" si="46"/>
        <v>16.3901556</v>
      </c>
      <c r="Y102" s="51">
        <f t="shared" si="46"/>
        <v>32.7803112</v>
      </c>
      <c r="Z102" s="51">
        <f t="shared" si="46"/>
        <v>49.1704668</v>
      </c>
      <c r="AA102" s="51">
        <f t="shared" si="46"/>
        <v>65.5606224</v>
      </c>
      <c r="AB102" s="51">
        <f t="shared" si="46"/>
        <v>81.950778</v>
      </c>
      <c r="AC102" s="51">
        <f t="shared" si="46"/>
        <v>98.3409336</v>
      </c>
      <c r="AD102" s="51">
        <f t="shared" si="46"/>
        <v>114.7310892</v>
      </c>
      <c r="AE102" s="51">
        <f t="shared" si="46"/>
        <v>131.1212448</v>
      </c>
      <c r="AF102" s="51">
        <f t="shared" si="46"/>
        <v>147.51140040000001</v>
      </c>
      <c r="AG102" s="51">
        <f t="shared" si="46"/>
        <v>163.901556</v>
      </c>
      <c r="AH102" s="51">
        <f t="shared" si="47"/>
        <v>327.803112</v>
      </c>
      <c r="AI102" s="51">
        <f t="shared" si="47"/>
        <v>491.70466799999997</v>
      </c>
      <c r="AJ102" s="51">
        <f t="shared" si="47"/>
        <v>655.606224</v>
      </c>
      <c r="AK102" s="51">
        <f t="shared" si="47"/>
        <v>819.50778000000003</v>
      </c>
      <c r="AL102" s="51">
        <f t="shared" si="47"/>
        <v>1639.0155600000001</v>
      </c>
      <c r="AM102" s="51">
        <f t="shared" si="47"/>
        <v>3278.0311200000001</v>
      </c>
      <c r="AN102" s="51">
        <f t="shared" si="47"/>
        <v>4917.0466800000004</v>
      </c>
      <c r="AO102" s="51">
        <f t="shared" si="47"/>
        <v>6556.0622400000002</v>
      </c>
      <c r="AP102" s="51">
        <f t="shared" si="47"/>
        <v>8195.0777999999991</v>
      </c>
    </row>
    <row r="103" spans="1:42">
      <c r="A103" t="s">
        <v>741</v>
      </c>
      <c r="C103">
        <v>8663021</v>
      </c>
      <c r="D103" s="2" t="s">
        <v>650</v>
      </c>
      <c r="G103">
        <v>21.5</v>
      </c>
      <c r="H103" s="40">
        <v>3.206</v>
      </c>
      <c r="I103" s="40">
        <f t="shared" si="5"/>
        <v>68.929000000000002</v>
      </c>
      <c r="L103" s="72">
        <v>44853</v>
      </c>
      <c r="M103" s="42">
        <f t="shared" si="1"/>
        <v>3.4945400000000002</v>
      </c>
      <c r="N103" s="2" t="s">
        <v>79</v>
      </c>
      <c r="P103" s="32">
        <f t="shared" si="25"/>
        <v>6.9890800000000004</v>
      </c>
      <c r="Q103" s="32">
        <f t="shared" si="19"/>
        <v>0.62901720000000005</v>
      </c>
      <c r="R103" s="292">
        <f t="shared" si="26"/>
        <v>7.6180972000000002</v>
      </c>
      <c r="T103" s="33">
        <f t="shared" si="27"/>
        <v>10.48362</v>
      </c>
      <c r="U103" s="33">
        <f t="shared" si="28"/>
        <v>0.83868960000000004</v>
      </c>
      <c r="V103" s="50">
        <f t="shared" si="29"/>
        <v>11.322309600000001</v>
      </c>
      <c r="X103" s="51">
        <f t="shared" si="46"/>
        <v>11.322309600000001</v>
      </c>
      <c r="Y103" s="51">
        <f t="shared" si="46"/>
        <v>22.644619200000001</v>
      </c>
      <c r="Z103" s="51">
        <f t="shared" si="46"/>
        <v>33.966928800000005</v>
      </c>
      <c r="AA103" s="51">
        <f t="shared" si="46"/>
        <v>45.289238400000002</v>
      </c>
      <c r="AB103" s="51">
        <f t="shared" si="46"/>
        <v>56.611547999999999</v>
      </c>
      <c r="AC103" s="51">
        <f t="shared" si="46"/>
        <v>67.93385760000001</v>
      </c>
      <c r="AD103" s="51">
        <f t="shared" si="46"/>
        <v>79.256167200000007</v>
      </c>
      <c r="AE103" s="51">
        <f t="shared" si="46"/>
        <v>90.578476800000004</v>
      </c>
      <c r="AF103" s="51">
        <f t="shared" si="46"/>
        <v>101.9007864</v>
      </c>
      <c r="AG103" s="51">
        <f t="shared" si="46"/>
        <v>113.223096</v>
      </c>
      <c r="AH103" s="51">
        <f t="shared" si="47"/>
        <v>226.446192</v>
      </c>
      <c r="AI103" s="51">
        <f t="shared" si="47"/>
        <v>339.66928799999999</v>
      </c>
      <c r="AJ103" s="51">
        <f t="shared" si="47"/>
        <v>452.89238399999999</v>
      </c>
      <c r="AK103" s="51">
        <f t="shared" si="47"/>
        <v>566.11548000000005</v>
      </c>
      <c r="AL103" s="51">
        <f t="shared" si="47"/>
        <v>1132.2309600000001</v>
      </c>
      <c r="AM103" s="51">
        <f t="shared" si="47"/>
        <v>2264.4619200000002</v>
      </c>
      <c r="AN103" s="51">
        <f t="shared" si="47"/>
        <v>3396.6928800000001</v>
      </c>
      <c r="AO103" s="51">
        <f t="shared" si="47"/>
        <v>4528.9238400000004</v>
      </c>
      <c r="AP103" s="51">
        <f t="shared" si="47"/>
        <v>5661.1548000000003</v>
      </c>
    </row>
    <row r="104" spans="1:42">
      <c r="A104" t="s">
        <v>742</v>
      </c>
      <c r="C104">
        <v>8665021</v>
      </c>
      <c r="D104" s="2" t="s">
        <v>650</v>
      </c>
      <c r="G104">
        <v>21.5</v>
      </c>
      <c r="H104" s="40">
        <v>2.4670000000000001</v>
      </c>
      <c r="I104" s="40">
        <f t="shared" si="5"/>
        <v>53.040500000000002</v>
      </c>
      <c r="L104" s="72">
        <v>44853</v>
      </c>
      <c r="M104" s="42">
        <f t="shared" si="1"/>
        <v>2.6890300000000003</v>
      </c>
      <c r="N104" s="2" t="s">
        <v>79</v>
      </c>
      <c r="P104" s="32">
        <f t="shared" si="25"/>
        <v>5.3780600000000005</v>
      </c>
      <c r="Q104" s="32">
        <f t="shared" si="19"/>
        <v>0.48402540000000005</v>
      </c>
      <c r="R104" s="292">
        <f t="shared" si="26"/>
        <v>5.8620854000000007</v>
      </c>
      <c r="T104" s="33">
        <f t="shared" si="27"/>
        <v>8.0670900000000003</v>
      </c>
      <c r="U104" s="33">
        <f t="shared" si="28"/>
        <v>0.64536720000000003</v>
      </c>
      <c r="V104" s="50">
        <f t="shared" si="29"/>
        <v>8.7124572000000011</v>
      </c>
      <c r="X104" s="51">
        <f t="shared" si="46"/>
        <v>8.7124572000000011</v>
      </c>
      <c r="Y104" s="51">
        <f t="shared" si="46"/>
        <v>17.424914400000002</v>
      </c>
      <c r="Z104" s="51">
        <f t="shared" si="46"/>
        <v>26.137371600000002</v>
      </c>
      <c r="AA104" s="51">
        <f t="shared" si="46"/>
        <v>34.849828800000004</v>
      </c>
      <c r="AB104" s="51">
        <f t="shared" si="46"/>
        <v>43.562286000000007</v>
      </c>
      <c r="AC104" s="51">
        <f t="shared" si="46"/>
        <v>52.274743200000003</v>
      </c>
      <c r="AD104" s="51">
        <f t="shared" si="46"/>
        <v>60.987200400000006</v>
      </c>
      <c r="AE104" s="51">
        <f t="shared" si="46"/>
        <v>69.699657600000009</v>
      </c>
      <c r="AF104" s="51">
        <f t="shared" si="46"/>
        <v>78.412114800000012</v>
      </c>
      <c r="AG104" s="51">
        <f t="shared" si="46"/>
        <v>87.124572000000015</v>
      </c>
      <c r="AH104" s="51">
        <f t="shared" si="47"/>
        <v>174.24914400000003</v>
      </c>
      <c r="AI104" s="51">
        <f t="shared" si="47"/>
        <v>261.37371600000006</v>
      </c>
      <c r="AJ104" s="51">
        <f t="shared" si="47"/>
        <v>348.49828800000006</v>
      </c>
      <c r="AK104" s="51">
        <f t="shared" si="47"/>
        <v>435.62286000000006</v>
      </c>
      <c r="AL104" s="51">
        <f t="shared" si="47"/>
        <v>871.24572000000012</v>
      </c>
      <c r="AM104" s="51">
        <f t="shared" si="47"/>
        <v>1742.4914400000002</v>
      </c>
      <c r="AN104" s="51">
        <f t="shared" si="47"/>
        <v>2613.7371600000001</v>
      </c>
      <c r="AO104" s="51">
        <f t="shared" si="47"/>
        <v>3484.9828800000005</v>
      </c>
      <c r="AP104" s="51">
        <f t="shared" si="47"/>
        <v>4356.2286000000004</v>
      </c>
    </row>
    <row r="105" spans="1:42">
      <c r="A105" t="s">
        <v>743</v>
      </c>
      <c r="C105">
        <v>8660021</v>
      </c>
      <c r="D105" s="2" t="s">
        <v>650</v>
      </c>
      <c r="G105">
        <v>21.67</v>
      </c>
      <c r="H105" s="40">
        <v>3.3719999999999999</v>
      </c>
      <c r="I105" s="40">
        <f t="shared" si="5"/>
        <v>73.071240000000003</v>
      </c>
      <c r="L105" s="72">
        <v>44853</v>
      </c>
      <c r="M105" s="42">
        <f t="shared" si="1"/>
        <v>3.6754800000000003</v>
      </c>
      <c r="N105" s="2" t="s">
        <v>79</v>
      </c>
      <c r="P105" s="32">
        <f t="shared" si="25"/>
        <v>7.3509600000000006</v>
      </c>
      <c r="Q105" s="32">
        <f t="shared" si="19"/>
        <v>0.66158640000000002</v>
      </c>
      <c r="R105" s="292">
        <f t="shared" si="26"/>
        <v>8.0125464000000015</v>
      </c>
      <c r="T105" s="33">
        <f t="shared" si="27"/>
        <v>11.026440000000001</v>
      </c>
      <c r="U105" s="33">
        <f t="shared" si="28"/>
        <v>0.8821152000000001</v>
      </c>
      <c r="V105" s="50">
        <f t="shared" si="29"/>
        <v>11.9085552</v>
      </c>
      <c r="X105" s="51">
        <f t="shared" si="46"/>
        <v>11.9085552</v>
      </c>
      <c r="Y105" s="51">
        <f t="shared" si="46"/>
        <v>23.817110400000001</v>
      </c>
      <c r="Z105" s="51">
        <f t="shared" si="46"/>
        <v>35.725665599999999</v>
      </c>
      <c r="AA105" s="51">
        <f t="shared" si="46"/>
        <v>47.634220800000001</v>
      </c>
      <c r="AB105" s="51">
        <f t="shared" si="46"/>
        <v>59.542776000000003</v>
      </c>
      <c r="AC105" s="51">
        <f t="shared" si="46"/>
        <v>71.451331199999998</v>
      </c>
      <c r="AD105" s="51">
        <f t="shared" si="46"/>
        <v>83.359886400000008</v>
      </c>
      <c r="AE105" s="51">
        <f t="shared" si="46"/>
        <v>95.268441600000003</v>
      </c>
      <c r="AF105" s="51">
        <f t="shared" si="46"/>
        <v>107.1769968</v>
      </c>
      <c r="AG105" s="51">
        <f t="shared" si="46"/>
        <v>119.08555200000001</v>
      </c>
      <c r="AH105" s="51">
        <f t="shared" si="47"/>
        <v>238.17110400000001</v>
      </c>
      <c r="AI105" s="51">
        <f t="shared" si="47"/>
        <v>357.25665600000002</v>
      </c>
      <c r="AJ105" s="51">
        <f t="shared" si="47"/>
        <v>476.34220800000003</v>
      </c>
      <c r="AK105" s="51">
        <f t="shared" si="47"/>
        <v>595.42776000000003</v>
      </c>
      <c r="AL105" s="51">
        <f t="shared" si="47"/>
        <v>1190.8555200000001</v>
      </c>
      <c r="AM105" s="51">
        <f t="shared" si="47"/>
        <v>2381.7110400000001</v>
      </c>
      <c r="AN105" s="51">
        <f t="shared" si="47"/>
        <v>3572.5665600000002</v>
      </c>
      <c r="AO105" s="51">
        <f t="shared" si="47"/>
        <v>4763.4220800000003</v>
      </c>
      <c r="AP105" s="51">
        <f t="shared" si="47"/>
        <v>5954.2776000000003</v>
      </c>
    </row>
    <row r="106" spans="1:42">
      <c r="A106" t="s">
        <v>744</v>
      </c>
      <c r="C106">
        <v>8654021</v>
      </c>
      <c r="D106" s="2" t="s">
        <v>650</v>
      </c>
      <c r="G106">
        <v>21.67</v>
      </c>
      <c r="H106" s="40">
        <v>3.8769999999999998</v>
      </c>
      <c r="I106" s="40">
        <f t="shared" si="5"/>
        <v>84.014589999999998</v>
      </c>
      <c r="L106" s="72">
        <v>44853</v>
      </c>
      <c r="M106" s="42">
        <f t="shared" si="1"/>
        <v>4.22593</v>
      </c>
      <c r="N106" s="2" t="s">
        <v>79</v>
      </c>
      <c r="P106" s="32">
        <f t="shared" si="25"/>
        <v>8.4518599999999999</v>
      </c>
      <c r="Q106" s="32">
        <f t="shared" si="19"/>
        <v>0.76066739999999999</v>
      </c>
      <c r="R106" s="292">
        <f t="shared" si="26"/>
        <v>9.212527399999999</v>
      </c>
      <c r="T106" s="33">
        <f t="shared" si="27"/>
        <v>12.67779</v>
      </c>
      <c r="U106" s="33">
        <f t="shared" si="28"/>
        <v>1.0142232</v>
      </c>
      <c r="V106" s="50">
        <f t="shared" si="29"/>
        <v>13.6920132</v>
      </c>
      <c r="X106" s="51">
        <f t="shared" si="46"/>
        <v>13.6920132</v>
      </c>
      <c r="Y106" s="51">
        <f t="shared" si="46"/>
        <v>27.3840264</v>
      </c>
      <c r="Z106" s="51">
        <f t="shared" si="46"/>
        <v>41.076039600000001</v>
      </c>
      <c r="AA106" s="51">
        <f t="shared" si="46"/>
        <v>54.7680528</v>
      </c>
      <c r="AB106" s="51">
        <f t="shared" si="46"/>
        <v>68.460065999999998</v>
      </c>
      <c r="AC106" s="51">
        <f t="shared" si="46"/>
        <v>82.152079200000003</v>
      </c>
      <c r="AD106" s="51">
        <f t="shared" si="46"/>
        <v>95.844092399999994</v>
      </c>
      <c r="AE106" s="51">
        <f t="shared" si="46"/>
        <v>109.5361056</v>
      </c>
      <c r="AF106" s="51">
        <f t="shared" si="46"/>
        <v>123.2281188</v>
      </c>
      <c r="AG106" s="51">
        <f t="shared" si="46"/>
        <v>136.920132</v>
      </c>
      <c r="AH106" s="51">
        <f t="shared" si="47"/>
        <v>273.84026399999999</v>
      </c>
      <c r="AI106" s="51">
        <f t="shared" si="47"/>
        <v>410.76039600000001</v>
      </c>
      <c r="AJ106" s="51">
        <f t="shared" si="47"/>
        <v>547.68052799999998</v>
      </c>
      <c r="AK106" s="51">
        <f t="shared" si="47"/>
        <v>684.60065999999995</v>
      </c>
      <c r="AL106" s="51">
        <f t="shared" si="47"/>
        <v>1369.2013199999999</v>
      </c>
      <c r="AM106" s="51">
        <f t="shared" si="47"/>
        <v>2738.4026399999998</v>
      </c>
      <c r="AN106" s="51">
        <f t="shared" si="47"/>
        <v>4107.6039600000004</v>
      </c>
      <c r="AO106" s="51">
        <f t="shared" si="47"/>
        <v>5476.8052799999996</v>
      </c>
      <c r="AP106" s="51">
        <f t="shared" si="47"/>
        <v>6846.0065999999997</v>
      </c>
    </row>
    <row r="107" spans="1:42">
      <c r="A107" t="s">
        <v>745</v>
      </c>
      <c r="C107">
        <v>8680000</v>
      </c>
      <c r="D107" s="2" t="s">
        <v>650</v>
      </c>
      <c r="G107">
        <v>1</v>
      </c>
      <c r="H107" s="40">
        <v>7.51</v>
      </c>
      <c r="I107" s="40">
        <f t="shared" si="5"/>
        <v>7.51</v>
      </c>
      <c r="L107" s="72">
        <v>44853</v>
      </c>
      <c r="M107" s="42">
        <f t="shared" si="1"/>
        <v>8.1859000000000002</v>
      </c>
      <c r="N107" s="2" t="s">
        <v>122</v>
      </c>
      <c r="P107" s="32">
        <f t="shared" ref="P107:P186" si="56">M107*$P$2</f>
        <v>16.3718</v>
      </c>
      <c r="Q107" s="32">
        <f t="shared" si="19"/>
        <v>1.473462</v>
      </c>
      <c r="R107" s="292">
        <f t="shared" ref="R107:R186" si="57">P107+Q107</f>
        <v>17.845262000000002</v>
      </c>
      <c r="T107" s="33">
        <f t="shared" ref="T107:T186" si="58">M107*$T$2</f>
        <v>24.557700000000001</v>
      </c>
      <c r="U107" s="33">
        <f t="shared" si="28"/>
        <v>1.9646160000000001</v>
      </c>
      <c r="V107" s="50">
        <f t="shared" ref="V107:V186" si="59">T107+U107</f>
        <v>26.522316</v>
      </c>
      <c r="X107" s="51">
        <f t="shared" si="46"/>
        <v>26.522316</v>
      </c>
      <c r="Y107" s="51">
        <f t="shared" si="46"/>
        <v>53.044632</v>
      </c>
      <c r="Z107" s="51">
        <f t="shared" si="46"/>
        <v>79.566947999999996</v>
      </c>
      <c r="AA107" s="51">
        <f t="shared" si="46"/>
        <v>106.089264</v>
      </c>
      <c r="AB107" s="51">
        <f t="shared" si="46"/>
        <v>132.61158</v>
      </c>
      <c r="AC107" s="51">
        <f t="shared" si="46"/>
        <v>159.13389599999999</v>
      </c>
      <c r="AD107" s="51">
        <f t="shared" si="46"/>
        <v>185.65621200000001</v>
      </c>
      <c r="AE107" s="51">
        <f t="shared" si="46"/>
        <v>212.178528</v>
      </c>
      <c r="AF107" s="51">
        <f t="shared" si="46"/>
        <v>238.70084399999999</v>
      </c>
      <c r="AG107" s="51">
        <f t="shared" si="46"/>
        <v>265.22316000000001</v>
      </c>
      <c r="AH107" s="51">
        <f t="shared" si="47"/>
        <v>530.44632000000001</v>
      </c>
      <c r="AI107" s="51">
        <f t="shared" si="47"/>
        <v>795.66948000000002</v>
      </c>
      <c r="AJ107" s="51">
        <f t="shared" si="47"/>
        <v>1060.89264</v>
      </c>
      <c r="AK107" s="51">
        <f t="shared" si="47"/>
        <v>1326.1158</v>
      </c>
      <c r="AL107" s="51">
        <f t="shared" si="47"/>
        <v>2652.2316000000001</v>
      </c>
      <c r="AM107" s="51">
        <f t="shared" si="47"/>
        <v>5304.4632000000001</v>
      </c>
      <c r="AN107" s="51">
        <f t="shared" si="47"/>
        <v>7956.6948000000002</v>
      </c>
      <c r="AO107" s="51">
        <f t="shared" si="47"/>
        <v>10608.9264</v>
      </c>
      <c r="AP107" s="51">
        <f t="shared" si="47"/>
        <v>13261.157999999999</v>
      </c>
    </row>
    <row r="108" spans="1:42">
      <c r="A108" t="s">
        <v>746</v>
      </c>
      <c r="C108">
        <v>8685000</v>
      </c>
      <c r="D108" s="2" t="s">
        <v>650</v>
      </c>
      <c r="G108">
        <v>1000</v>
      </c>
      <c r="H108" s="40">
        <v>0.115</v>
      </c>
      <c r="I108" s="40">
        <f t="shared" si="5"/>
        <v>115</v>
      </c>
      <c r="L108" s="72">
        <v>44853</v>
      </c>
      <c r="M108" s="42">
        <f t="shared" si="1"/>
        <v>0.12535000000000002</v>
      </c>
      <c r="N108" s="2" t="s">
        <v>122</v>
      </c>
      <c r="P108" s="32">
        <f t="shared" si="56"/>
        <v>0.25070000000000003</v>
      </c>
      <c r="Q108" s="32">
        <f t="shared" si="19"/>
        <v>2.2563000000000003E-2</v>
      </c>
      <c r="R108" s="292">
        <f t="shared" si="57"/>
        <v>0.27326300000000003</v>
      </c>
      <c r="T108" s="33">
        <f t="shared" si="58"/>
        <v>0.37605000000000005</v>
      </c>
      <c r="U108" s="33">
        <f t="shared" si="28"/>
        <v>3.0084000000000003E-2</v>
      </c>
      <c r="V108" s="50">
        <f t="shared" si="59"/>
        <v>0.40613400000000005</v>
      </c>
      <c r="X108" s="51">
        <f t="shared" si="46"/>
        <v>0.40613400000000005</v>
      </c>
      <c r="Y108" s="51">
        <f t="shared" si="46"/>
        <v>0.8122680000000001</v>
      </c>
      <c r="Z108" s="51">
        <f t="shared" si="46"/>
        <v>1.2184020000000002</v>
      </c>
      <c r="AA108" s="51">
        <f t="shared" si="46"/>
        <v>1.6245360000000002</v>
      </c>
      <c r="AB108" s="51">
        <f t="shared" si="46"/>
        <v>2.0306700000000002</v>
      </c>
      <c r="AC108" s="51">
        <f t="shared" si="46"/>
        <v>2.4368040000000004</v>
      </c>
      <c r="AD108" s="51">
        <f t="shared" si="46"/>
        <v>2.8429380000000002</v>
      </c>
      <c r="AE108" s="51">
        <f t="shared" si="46"/>
        <v>3.2490720000000004</v>
      </c>
      <c r="AF108" s="51">
        <f t="shared" si="46"/>
        <v>3.6552060000000006</v>
      </c>
      <c r="AG108" s="51">
        <f t="shared" si="46"/>
        <v>4.0613400000000004</v>
      </c>
      <c r="AH108" s="51">
        <f t="shared" si="47"/>
        <v>8.1226800000000008</v>
      </c>
      <c r="AI108" s="51">
        <f t="shared" si="47"/>
        <v>12.184020000000002</v>
      </c>
      <c r="AJ108" s="51">
        <f t="shared" si="47"/>
        <v>16.245360000000002</v>
      </c>
      <c r="AK108" s="51">
        <f t="shared" si="47"/>
        <v>20.306700000000003</v>
      </c>
      <c r="AL108" s="51">
        <f t="shared" si="47"/>
        <v>40.613400000000006</v>
      </c>
      <c r="AM108" s="51">
        <f t="shared" si="47"/>
        <v>81.226800000000011</v>
      </c>
      <c r="AN108" s="51">
        <f t="shared" si="47"/>
        <v>121.84020000000001</v>
      </c>
      <c r="AO108" s="51">
        <f t="shared" si="47"/>
        <v>162.45360000000002</v>
      </c>
      <c r="AP108" s="51">
        <f t="shared" si="47"/>
        <v>203.06700000000004</v>
      </c>
    </row>
    <row r="109" spans="1:42">
      <c r="A109" t="s">
        <v>747</v>
      </c>
      <c r="C109">
        <v>8685002</v>
      </c>
      <c r="D109" s="2" t="s">
        <v>650</v>
      </c>
      <c r="G109">
        <v>500</v>
      </c>
      <c r="H109" s="40">
        <v>0.107</v>
      </c>
      <c r="I109" s="40">
        <f t="shared" ref="I109:I149" si="60">G109*H109</f>
        <v>53.5</v>
      </c>
      <c r="L109" s="72">
        <v>44853</v>
      </c>
      <c r="M109" s="42">
        <f t="shared" ref="M109:M183" si="61">SUM(J109:K109)+H109*$M$1</f>
        <v>0.11663000000000001</v>
      </c>
      <c r="N109" s="2" t="s">
        <v>122</v>
      </c>
      <c r="P109" s="32">
        <f t="shared" si="56"/>
        <v>0.23326000000000002</v>
      </c>
      <c r="Q109" s="32">
        <f t="shared" si="19"/>
        <v>2.0993400000000002E-2</v>
      </c>
      <c r="R109" s="292">
        <f t="shared" si="57"/>
        <v>0.25425340000000002</v>
      </c>
      <c r="T109" s="33">
        <f t="shared" si="58"/>
        <v>0.34989000000000003</v>
      </c>
      <c r="U109" s="33">
        <f t="shared" si="28"/>
        <v>2.7991200000000004E-2</v>
      </c>
      <c r="V109" s="50">
        <f t="shared" si="59"/>
        <v>0.37788120000000003</v>
      </c>
      <c r="X109" s="51">
        <f t="shared" si="46"/>
        <v>0.37788120000000003</v>
      </c>
      <c r="Y109" s="51">
        <f t="shared" si="46"/>
        <v>0.75576240000000006</v>
      </c>
      <c r="Z109" s="51">
        <f t="shared" si="46"/>
        <v>1.1336436000000001</v>
      </c>
      <c r="AA109" s="51">
        <f t="shared" si="46"/>
        <v>1.5115248000000001</v>
      </c>
      <c r="AB109" s="51">
        <f t="shared" si="46"/>
        <v>1.8894060000000001</v>
      </c>
      <c r="AC109" s="51">
        <f t="shared" si="46"/>
        <v>2.2672872000000002</v>
      </c>
      <c r="AD109" s="51">
        <f t="shared" si="46"/>
        <v>2.6451684000000002</v>
      </c>
      <c r="AE109" s="51">
        <f t="shared" si="46"/>
        <v>3.0230496000000002</v>
      </c>
      <c r="AF109" s="51">
        <f t="shared" si="46"/>
        <v>3.4009308000000003</v>
      </c>
      <c r="AG109" s="51">
        <f t="shared" si="46"/>
        <v>3.7788120000000003</v>
      </c>
      <c r="AH109" s="51">
        <f t="shared" si="47"/>
        <v>7.5576240000000006</v>
      </c>
      <c r="AI109" s="51">
        <f t="shared" si="47"/>
        <v>11.336436000000001</v>
      </c>
      <c r="AJ109" s="51">
        <f t="shared" si="47"/>
        <v>15.115248000000001</v>
      </c>
      <c r="AK109" s="51">
        <f t="shared" si="47"/>
        <v>18.894060000000003</v>
      </c>
      <c r="AL109" s="51">
        <f t="shared" si="47"/>
        <v>37.788120000000006</v>
      </c>
      <c r="AM109" s="51">
        <f t="shared" si="47"/>
        <v>75.576240000000013</v>
      </c>
      <c r="AN109" s="51">
        <f t="shared" si="47"/>
        <v>113.36436</v>
      </c>
      <c r="AO109" s="51">
        <f t="shared" si="47"/>
        <v>151.15248000000003</v>
      </c>
      <c r="AP109" s="51">
        <f t="shared" si="47"/>
        <v>188.94060000000002</v>
      </c>
    </row>
    <row r="110" spans="1:42">
      <c r="A110" t="s">
        <v>748</v>
      </c>
      <c r="C110">
        <v>8685003</v>
      </c>
      <c r="D110" s="2" t="s">
        <v>650</v>
      </c>
      <c r="G110">
        <v>100</v>
      </c>
      <c r="H110" s="40">
        <v>0.2</v>
      </c>
      <c r="I110" s="40">
        <f t="shared" si="60"/>
        <v>20</v>
      </c>
      <c r="L110" s="72">
        <v>44853</v>
      </c>
      <c r="M110" s="42">
        <f>SUM(J110:K110)+H110*$M$1</f>
        <v>0.21800000000000003</v>
      </c>
      <c r="N110" s="2" t="s">
        <v>122</v>
      </c>
      <c r="P110" s="32">
        <f t="shared" si="56"/>
        <v>0.43600000000000005</v>
      </c>
      <c r="Q110" s="32">
        <f t="shared" si="19"/>
        <v>3.9240000000000004E-2</v>
      </c>
      <c r="R110" s="292">
        <f t="shared" si="57"/>
        <v>0.47524000000000005</v>
      </c>
      <c r="T110" s="33">
        <f t="shared" si="58"/>
        <v>0.65400000000000014</v>
      </c>
      <c r="U110" s="33">
        <f t="shared" si="28"/>
        <v>5.2320000000000012E-2</v>
      </c>
      <c r="V110" s="50">
        <f t="shared" si="59"/>
        <v>0.70632000000000017</v>
      </c>
      <c r="X110" s="51">
        <f t="shared" ref="X110:AP111" si="62">$V110*X$3</f>
        <v>0.70632000000000017</v>
      </c>
      <c r="Y110" s="51">
        <f t="shared" si="62"/>
        <v>1.4126400000000003</v>
      </c>
      <c r="Z110" s="51">
        <f t="shared" si="62"/>
        <v>2.1189600000000004</v>
      </c>
      <c r="AA110" s="51">
        <f t="shared" si="62"/>
        <v>2.8252800000000007</v>
      </c>
      <c r="AB110" s="51">
        <f t="shared" si="62"/>
        <v>3.531600000000001</v>
      </c>
      <c r="AC110" s="51">
        <f t="shared" si="62"/>
        <v>4.2379200000000008</v>
      </c>
      <c r="AD110" s="51">
        <f t="shared" si="62"/>
        <v>4.9442400000000015</v>
      </c>
      <c r="AE110" s="51">
        <f t="shared" si="62"/>
        <v>5.6505600000000014</v>
      </c>
      <c r="AF110" s="51">
        <f t="shared" si="62"/>
        <v>6.3568800000000012</v>
      </c>
      <c r="AG110" s="51">
        <f t="shared" si="62"/>
        <v>7.0632000000000019</v>
      </c>
      <c r="AH110" s="51">
        <f t="shared" si="62"/>
        <v>14.126400000000004</v>
      </c>
      <c r="AI110" s="51">
        <f t="shared" si="62"/>
        <v>21.189600000000006</v>
      </c>
      <c r="AJ110" s="51">
        <f t="shared" si="62"/>
        <v>28.252800000000008</v>
      </c>
      <c r="AK110" s="51">
        <f t="shared" si="62"/>
        <v>35.31600000000001</v>
      </c>
      <c r="AL110" s="51">
        <f t="shared" si="62"/>
        <v>70.632000000000019</v>
      </c>
      <c r="AM110" s="51">
        <f t="shared" si="62"/>
        <v>141.26400000000004</v>
      </c>
      <c r="AN110" s="51">
        <f t="shared" si="62"/>
        <v>211.89600000000004</v>
      </c>
      <c r="AO110" s="51">
        <f t="shared" si="62"/>
        <v>282.52800000000008</v>
      </c>
      <c r="AP110" s="51">
        <f t="shared" si="62"/>
        <v>353.16000000000008</v>
      </c>
    </row>
    <row r="111" spans="1:42">
      <c r="A111" t="s">
        <v>749</v>
      </c>
      <c r="C111">
        <v>8685001</v>
      </c>
      <c r="D111" s="2" t="s">
        <v>650</v>
      </c>
      <c r="G111">
        <v>1000</v>
      </c>
      <c r="H111" s="40">
        <v>5.8999999999999997E-2</v>
      </c>
      <c r="I111" s="40">
        <f t="shared" si="60"/>
        <v>59</v>
      </c>
      <c r="L111" s="72">
        <v>44853</v>
      </c>
      <c r="M111" s="42">
        <f>SUM(J111:K111)+H111*$M$1</f>
        <v>6.4310000000000006E-2</v>
      </c>
      <c r="N111" s="2" t="s">
        <v>122</v>
      </c>
      <c r="P111" s="32">
        <f t="shared" si="56"/>
        <v>0.12862000000000001</v>
      </c>
      <c r="Q111" s="32">
        <f t="shared" si="19"/>
        <v>1.1575800000000001E-2</v>
      </c>
      <c r="R111" s="292">
        <f t="shared" si="57"/>
        <v>0.14019580000000001</v>
      </c>
      <c r="T111" s="33">
        <f t="shared" si="58"/>
        <v>0.19293000000000002</v>
      </c>
      <c r="U111" s="33">
        <f t="shared" si="28"/>
        <v>1.5434400000000003E-2</v>
      </c>
      <c r="V111" s="50">
        <f t="shared" si="59"/>
        <v>0.20836440000000003</v>
      </c>
      <c r="X111" s="51">
        <f t="shared" si="62"/>
        <v>0.20836440000000003</v>
      </c>
      <c r="Y111" s="51">
        <f t="shared" si="62"/>
        <v>0.41672880000000007</v>
      </c>
      <c r="Z111" s="51">
        <f t="shared" si="62"/>
        <v>0.62509320000000013</v>
      </c>
      <c r="AA111" s="51">
        <f t="shared" si="62"/>
        <v>0.83345760000000013</v>
      </c>
      <c r="AB111" s="51">
        <f t="shared" si="62"/>
        <v>1.0418220000000002</v>
      </c>
      <c r="AC111" s="51">
        <f t="shared" si="62"/>
        <v>1.2501864000000003</v>
      </c>
      <c r="AD111" s="51">
        <f t="shared" si="62"/>
        <v>1.4585508000000003</v>
      </c>
      <c r="AE111" s="51">
        <f t="shared" si="62"/>
        <v>1.6669152000000003</v>
      </c>
      <c r="AF111" s="51">
        <f t="shared" si="62"/>
        <v>1.8752796000000003</v>
      </c>
      <c r="AG111" s="51">
        <f t="shared" si="62"/>
        <v>2.0836440000000005</v>
      </c>
      <c r="AH111" s="51">
        <f t="shared" si="62"/>
        <v>4.167288000000001</v>
      </c>
      <c r="AI111" s="51">
        <f t="shared" si="62"/>
        <v>6.2509320000000006</v>
      </c>
      <c r="AJ111" s="51">
        <f t="shared" si="62"/>
        <v>8.334576000000002</v>
      </c>
      <c r="AK111" s="51">
        <f t="shared" si="62"/>
        <v>10.418220000000002</v>
      </c>
      <c r="AL111" s="51">
        <f t="shared" si="62"/>
        <v>20.836440000000003</v>
      </c>
      <c r="AM111" s="51">
        <f t="shared" si="62"/>
        <v>41.672880000000006</v>
      </c>
      <c r="AN111" s="51">
        <f t="shared" si="62"/>
        <v>62.50932000000001</v>
      </c>
      <c r="AO111" s="51">
        <f t="shared" si="62"/>
        <v>83.345760000000013</v>
      </c>
      <c r="AP111" s="51">
        <f t="shared" si="62"/>
        <v>104.18220000000002</v>
      </c>
    </row>
    <row r="112" spans="1:42">
      <c r="A112" t="s">
        <v>750</v>
      </c>
      <c r="C112">
        <v>866621</v>
      </c>
      <c r="D112" s="2" t="s">
        <v>650</v>
      </c>
      <c r="G112">
        <v>21</v>
      </c>
      <c r="L112" s="72"/>
      <c r="M112" s="42"/>
      <c r="Q112" s="32">
        <f t="shared" si="19"/>
        <v>0</v>
      </c>
      <c r="R112" s="292"/>
      <c r="T112" s="33"/>
      <c r="U112" s="33"/>
      <c r="V112" s="50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</row>
    <row r="113" spans="1:42">
      <c r="A113" t="s">
        <v>751</v>
      </c>
      <c r="B113" s="29" t="s">
        <v>391</v>
      </c>
      <c r="C113" t="s">
        <v>392</v>
      </c>
      <c r="D113" s="2" t="s">
        <v>616</v>
      </c>
      <c r="G113">
        <v>21</v>
      </c>
      <c r="H113" s="40">
        <v>2.25</v>
      </c>
      <c r="I113" s="40">
        <f t="shared" si="60"/>
        <v>47.25</v>
      </c>
      <c r="J113" s="40">
        <f>H113*0.09</f>
        <v>0.20249999999999999</v>
      </c>
      <c r="K113" s="40">
        <v>0.05</v>
      </c>
      <c r="L113" s="72">
        <v>44671</v>
      </c>
      <c r="M113" s="42">
        <f t="shared" si="61"/>
        <v>2.7050000000000001</v>
      </c>
      <c r="N113" s="2" t="s">
        <v>79</v>
      </c>
      <c r="P113" s="32">
        <f t="shared" ref="P113:P180" si="63">M113*$P$2</f>
        <v>5.41</v>
      </c>
      <c r="Q113" s="32">
        <f t="shared" si="19"/>
        <v>0.4869</v>
      </c>
      <c r="R113" s="292">
        <f t="shared" ref="R113:R180" si="64">P113+Q113</f>
        <v>5.8969000000000005</v>
      </c>
      <c r="T113" s="33">
        <f t="shared" ref="T113:T180" si="65">M113*$T$2</f>
        <v>8.1150000000000002</v>
      </c>
      <c r="U113" s="33">
        <f t="shared" si="28"/>
        <v>0.6492</v>
      </c>
      <c r="V113" s="50">
        <f t="shared" ref="V113:V180" si="66">T113+U113</f>
        <v>8.7642000000000007</v>
      </c>
      <c r="X113" s="51">
        <f t="shared" si="46"/>
        <v>8.7642000000000007</v>
      </c>
      <c r="Y113" s="51">
        <f t="shared" si="46"/>
        <v>17.528400000000001</v>
      </c>
      <c r="Z113" s="51">
        <f t="shared" si="46"/>
        <v>26.2926</v>
      </c>
      <c r="AA113" s="51">
        <f t="shared" si="46"/>
        <v>35.056800000000003</v>
      </c>
      <c r="AB113" s="51">
        <f t="shared" si="46"/>
        <v>43.821000000000005</v>
      </c>
      <c r="AC113" s="51">
        <f t="shared" si="46"/>
        <v>52.5852</v>
      </c>
      <c r="AD113" s="51">
        <f t="shared" si="46"/>
        <v>61.349400000000003</v>
      </c>
      <c r="AE113" s="51">
        <f t="shared" si="46"/>
        <v>70.113600000000005</v>
      </c>
      <c r="AF113" s="51">
        <f t="shared" si="46"/>
        <v>78.877800000000008</v>
      </c>
      <c r="AG113" s="51">
        <f t="shared" si="46"/>
        <v>87.64200000000001</v>
      </c>
      <c r="AH113" s="51">
        <f t="shared" si="47"/>
        <v>175.28400000000002</v>
      </c>
      <c r="AI113" s="51">
        <f t="shared" si="47"/>
        <v>262.92600000000004</v>
      </c>
      <c r="AJ113" s="51">
        <f t="shared" si="47"/>
        <v>350.56800000000004</v>
      </c>
      <c r="AK113" s="51">
        <f t="shared" si="47"/>
        <v>438.21000000000004</v>
      </c>
      <c r="AL113" s="51">
        <f t="shared" si="47"/>
        <v>876.42000000000007</v>
      </c>
      <c r="AM113" s="51">
        <f t="shared" si="47"/>
        <v>1752.8400000000001</v>
      </c>
      <c r="AN113" s="51">
        <f t="shared" si="47"/>
        <v>2629.26</v>
      </c>
      <c r="AO113" s="51">
        <f t="shared" si="47"/>
        <v>3505.6800000000003</v>
      </c>
      <c r="AP113" s="51">
        <f t="shared" si="47"/>
        <v>4382.1000000000004</v>
      </c>
    </row>
    <row r="114" spans="1:42">
      <c r="A114" t="s">
        <v>752</v>
      </c>
      <c r="B114" s="29" t="s">
        <v>397</v>
      </c>
      <c r="C114" t="s">
        <v>398</v>
      </c>
      <c r="D114" s="2" t="s">
        <v>616</v>
      </c>
      <c r="G114">
        <v>20</v>
      </c>
      <c r="H114" s="40">
        <v>2.95</v>
      </c>
      <c r="I114" s="40">
        <f t="shared" si="60"/>
        <v>59</v>
      </c>
      <c r="J114" s="40">
        <f t="shared" ref="J114:J120" si="67">H114*0.09</f>
        <v>0.26550000000000001</v>
      </c>
      <c r="K114" s="40">
        <v>0.05</v>
      </c>
      <c r="L114" s="72">
        <v>44671</v>
      </c>
      <c r="M114" s="42">
        <f t="shared" si="61"/>
        <v>3.5310000000000006</v>
      </c>
      <c r="N114" s="2" t="s">
        <v>79</v>
      </c>
      <c r="P114" s="32">
        <f t="shared" si="63"/>
        <v>7.0620000000000012</v>
      </c>
      <c r="Q114" s="32">
        <f t="shared" si="19"/>
        <v>0.63558000000000003</v>
      </c>
      <c r="R114" s="292">
        <f t="shared" si="64"/>
        <v>7.6975800000000012</v>
      </c>
      <c r="T114" s="33">
        <f t="shared" si="65"/>
        <v>10.593000000000002</v>
      </c>
      <c r="U114" s="33">
        <f t="shared" si="28"/>
        <v>0.84744000000000019</v>
      </c>
      <c r="V114" s="50">
        <f t="shared" si="66"/>
        <v>11.440440000000002</v>
      </c>
      <c r="X114" s="51">
        <f t="shared" si="46"/>
        <v>11.440440000000002</v>
      </c>
      <c r="Y114" s="51">
        <f t="shared" si="46"/>
        <v>22.880880000000005</v>
      </c>
      <c r="Z114" s="51">
        <f t="shared" si="46"/>
        <v>34.321320000000007</v>
      </c>
      <c r="AA114" s="51">
        <f t="shared" si="46"/>
        <v>45.76176000000001</v>
      </c>
      <c r="AB114" s="51">
        <f t="shared" si="46"/>
        <v>57.202200000000012</v>
      </c>
      <c r="AC114" s="51">
        <f t="shared" si="46"/>
        <v>68.642640000000014</v>
      </c>
      <c r="AD114" s="51">
        <f t="shared" si="46"/>
        <v>80.083080000000024</v>
      </c>
      <c r="AE114" s="51">
        <f t="shared" si="46"/>
        <v>91.523520000000019</v>
      </c>
      <c r="AF114" s="51">
        <f t="shared" si="46"/>
        <v>102.96396000000001</v>
      </c>
      <c r="AG114" s="51">
        <f t="shared" si="46"/>
        <v>114.40440000000002</v>
      </c>
      <c r="AH114" s="51">
        <f t="shared" si="47"/>
        <v>228.80880000000005</v>
      </c>
      <c r="AI114" s="51">
        <f t="shared" si="47"/>
        <v>343.21320000000009</v>
      </c>
      <c r="AJ114" s="51">
        <f t="shared" si="47"/>
        <v>457.6176000000001</v>
      </c>
      <c r="AK114" s="51">
        <f t="shared" si="47"/>
        <v>572.02200000000016</v>
      </c>
      <c r="AL114" s="51">
        <f t="shared" si="47"/>
        <v>1144.0440000000003</v>
      </c>
      <c r="AM114" s="51">
        <f t="shared" si="47"/>
        <v>2288.0880000000006</v>
      </c>
      <c r="AN114" s="51">
        <f t="shared" si="47"/>
        <v>3432.1320000000005</v>
      </c>
      <c r="AO114" s="51">
        <f t="shared" si="47"/>
        <v>4576.1760000000013</v>
      </c>
      <c r="AP114" s="51">
        <f t="shared" si="47"/>
        <v>5720.2200000000012</v>
      </c>
    </row>
    <row r="115" spans="1:42">
      <c r="A115" t="s">
        <v>753</v>
      </c>
      <c r="B115" s="29" t="s">
        <v>399</v>
      </c>
      <c r="C115" t="s">
        <v>400</v>
      </c>
      <c r="D115" s="2" t="s">
        <v>616</v>
      </c>
      <c r="G115">
        <v>20.25</v>
      </c>
      <c r="H115" s="40">
        <v>2.7250000000000001</v>
      </c>
      <c r="I115" s="40">
        <f t="shared" si="60"/>
        <v>55.181249999999999</v>
      </c>
      <c r="J115" s="40">
        <f t="shared" si="67"/>
        <v>0.24525</v>
      </c>
      <c r="K115" s="40">
        <v>0.05</v>
      </c>
      <c r="L115" s="72">
        <v>44671</v>
      </c>
      <c r="M115" s="42">
        <f t="shared" si="61"/>
        <v>3.2655000000000003</v>
      </c>
      <c r="N115" s="2" t="s">
        <v>79</v>
      </c>
      <c r="P115" s="32">
        <f t="shared" si="63"/>
        <v>6.5310000000000006</v>
      </c>
      <c r="Q115" s="32">
        <f t="shared" si="19"/>
        <v>0.58779000000000003</v>
      </c>
      <c r="R115" s="292">
        <f t="shared" si="64"/>
        <v>7.1187900000000006</v>
      </c>
      <c r="T115" s="33">
        <f t="shared" si="65"/>
        <v>9.7965000000000018</v>
      </c>
      <c r="U115" s="33">
        <f t="shared" si="28"/>
        <v>0.78372000000000019</v>
      </c>
      <c r="V115" s="50">
        <f t="shared" si="66"/>
        <v>10.580220000000002</v>
      </c>
      <c r="X115" s="51">
        <f t="shared" si="46"/>
        <v>10.580220000000002</v>
      </c>
      <c r="Y115" s="51">
        <f t="shared" si="46"/>
        <v>21.160440000000005</v>
      </c>
      <c r="Z115" s="51">
        <f t="shared" si="46"/>
        <v>31.740660000000005</v>
      </c>
      <c r="AA115" s="51">
        <f t="shared" si="46"/>
        <v>42.32088000000001</v>
      </c>
      <c r="AB115" s="51">
        <f t="shared" si="46"/>
        <v>52.901100000000014</v>
      </c>
      <c r="AC115" s="51">
        <f t="shared" si="46"/>
        <v>63.481320000000011</v>
      </c>
      <c r="AD115" s="51">
        <f t="shared" si="46"/>
        <v>74.061540000000022</v>
      </c>
      <c r="AE115" s="51">
        <f t="shared" si="46"/>
        <v>84.641760000000019</v>
      </c>
      <c r="AF115" s="51">
        <f t="shared" si="46"/>
        <v>95.221980000000016</v>
      </c>
      <c r="AG115" s="51">
        <f t="shared" si="46"/>
        <v>105.80220000000003</v>
      </c>
      <c r="AH115" s="51">
        <f t="shared" si="47"/>
        <v>211.60440000000006</v>
      </c>
      <c r="AI115" s="51">
        <f t="shared" si="47"/>
        <v>317.40660000000008</v>
      </c>
      <c r="AJ115" s="51">
        <f t="shared" si="47"/>
        <v>423.20880000000011</v>
      </c>
      <c r="AK115" s="51">
        <f t="shared" si="47"/>
        <v>529.01100000000008</v>
      </c>
      <c r="AL115" s="51">
        <f t="shared" si="47"/>
        <v>1058.0220000000002</v>
      </c>
      <c r="AM115" s="51">
        <f t="shared" si="47"/>
        <v>2116.0440000000003</v>
      </c>
      <c r="AN115" s="51">
        <f t="shared" si="47"/>
        <v>3174.0660000000007</v>
      </c>
      <c r="AO115" s="51">
        <f t="shared" si="47"/>
        <v>4232.0880000000006</v>
      </c>
      <c r="AP115" s="51">
        <f t="shared" si="47"/>
        <v>5290.1100000000015</v>
      </c>
    </row>
    <row r="116" spans="1:42">
      <c r="A116" t="s">
        <v>415</v>
      </c>
      <c r="B116" s="29" t="s">
        <v>402</v>
      </c>
      <c r="C116" t="s">
        <v>403</v>
      </c>
      <c r="D116" s="2" t="s">
        <v>616</v>
      </c>
      <c r="G116">
        <v>20</v>
      </c>
      <c r="H116" s="40">
        <v>1.93</v>
      </c>
      <c r="I116" s="40">
        <f t="shared" si="60"/>
        <v>38.6</v>
      </c>
      <c r="J116" s="40">
        <f t="shared" si="67"/>
        <v>0.17369999999999999</v>
      </c>
      <c r="K116" s="40">
        <v>0.05</v>
      </c>
      <c r="L116" s="72">
        <v>44671</v>
      </c>
      <c r="M116" s="42">
        <f t="shared" si="61"/>
        <v>2.3273999999999999</v>
      </c>
      <c r="N116" s="2" t="s">
        <v>79</v>
      </c>
      <c r="P116" s="32">
        <f t="shared" si="63"/>
        <v>4.6547999999999998</v>
      </c>
      <c r="Q116" s="32">
        <f t="shared" si="19"/>
        <v>0.41893199999999997</v>
      </c>
      <c r="R116" s="292">
        <f t="shared" si="64"/>
        <v>5.0737319999999997</v>
      </c>
      <c r="T116" s="33">
        <f t="shared" si="65"/>
        <v>6.9821999999999997</v>
      </c>
      <c r="U116" s="33">
        <f t="shared" si="28"/>
        <v>0.55857599999999996</v>
      </c>
      <c r="V116" s="50">
        <f t="shared" si="66"/>
        <v>7.5407759999999993</v>
      </c>
      <c r="X116" s="51">
        <f t="shared" si="46"/>
        <v>7.5407759999999993</v>
      </c>
      <c r="Y116" s="51">
        <f t="shared" si="46"/>
        <v>15.081551999999999</v>
      </c>
      <c r="Z116" s="51">
        <f t="shared" si="46"/>
        <v>22.622327999999996</v>
      </c>
      <c r="AA116" s="51">
        <f t="shared" si="46"/>
        <v>30.163103999999997</v>
      </c>
      <c r="AB116" s="51">
        <f t="shared" si="46"/>
        <v>37.703879999999998</v>
      </c>
      <c r="AC116" s="51">
        <f t="shared" si="46"/>
        <v>45.244655999999992</v>
      </c>
      <c r="AD116" s="51">
        <f t="shared" si="46"/>
        <v>52.785431999999993</v>
      </c>
      <c r="AE116" s="51">
        <f t="shared" si="46"/>
        <v>60.326207999999994</v>
      </c>
      <c r="AF116" s="51">
        <f t="shared" si="46"/>
        <v>67.866983999999988</v>
      </c>
      <c r="AG116" s="51">
        <f t="shared" si="46"/>
        <v>75.407759999999996</v>
      </c>
      <c r="AH116" s="51">
        <f t="shared" si="47"/>
        <v>150.81551999999999</v>
      </c>
      <c r="AI116" s="51">
        <f t="shared" si="47"/>
        <v>226.22327999999999</v>
      </c>
      <c r="AJ116" s="51">
        <f t="shared" si="47"/>
        <v>301.63103999999998</v>
      </c>
      <c r="AK116" s="51">
        <f t="shared" si="47"/>
        <v>377.03879999999998</v>
      </c>
      <c r="AL116" s="51">
        <f t="shared" si="47"/>
        <v>754.07759999999996</v>
      </c>
      <c r="AM116" s="51">
        <f t="shared" si="47"/>
        <v>1508.1551999999999</v>
      </c>
      <c r="AN116" s="51">
        <f t="shared" si="47"/>
        <v>2262.2327999999998</v>
      </c>
      <c r="AO116" s="51">
        <f t="shared" si="47"/>
        <v>3016.3103999999998</v>
      </c>
      <c r="AP116" s="51">
        <f t="shared" si="47"/>
        <v>3770.3879999999995</v>
      </c>
    </row>
    <row r="117" spans="1:42">
      <c r="A117" t="s">
        <v>754</v>
      </c>
      <c r="B117" s="29" t="s">
        <v>404</v>
      </c>
      <c r="C117" t="s">
        <v>405</v>
      </c>
      <c r="D117" s="2" t="s">
        <v>616</v>
      </c>
      <c r="G117">
        <v>16</v>
      </c>
      <c r="H117" s="40">
        <v>1</v>
      </c>
      <c r="I117" s="40">
        <f t="shared" si="60"/>
        <v>16</v>
      </c>
      <c r="J117" s="40">
        <f t="shared" si="67"/>
        <v>0.09</v>
      </c>
      <c r="L117" s="72">
        <v>44692</v>
      </c>
      <c r="M117" s="42">
        <f t="shared" si="61"/>
        <v>1.1800000000000002</v>
      </c>
      <c r="N117" s="2" t="s">
        <v>79</v>
      </c>
      <c r="P117" s="32">
        <f t="shared" si="63"/>
        <v>2.3600000000000003</v>
      </c>
      <c r="Q117" s="32">
        <f t="shared" si="19"/>
        <v>0.21240000000000003</v>
      </c>
      <c r="R117" s="292">
        <f t="shared" si="64"/>
        <v>2.5724000000000005</v>
      </c>
      <c r="T117" s="33">
        <f t="shared" si="65"/>
        <v>3.5400000000000005</v>
      </c>
      <c r="U117" s="33">
        <f t="shared" si="28"/>
        <v>0.28320000000000006</v>
      </c>
      <c r="V117" s="50">
        <f t="shared" si="66"/>
        <v>3.8232000000000004</v>
      </c>
      <c r="X117" s="51">
        <f t="shared" si="46"/>
        <v>3.8232000000000004</v>
      </c>
      <c r="Y117" s="51">
        <f t="shared" si="46"/>
        <v>7.6464000000000008</v>
      </c>
      <c r="Z117" s="51">
        <f t="shared" si="46"/>
        <v>11.469600000000002</v>
      </c>
      <c r="AA117" s="51">
        <f t="shared" si="46"/>
        <v>15.292800000000002</v>
      </c>
      <c r="AB117" s="51">
        <f t="shared" si="46"/>
        <v>19.116000000000003</v>
      </c>
      <c r="AC117" s="51">
        <f t="shared" si="46"/>
        <v>22.939200000000003</v>
      </c>
      <c r="AD117" s="51">
        <f t="shared" si="46"/>
        <v>26.762400000000003</v>
      </c>
      <c r="AE117" s="51">
        <f t="shared" si="46"/>
        <v>30.585600000000003</v>
      </c>
      <c r="AF117" s="51">
        <f t="shared" si="46"/>
        <v>34.408800000000006</v>
      </c>
      <c r="AG117" s="51">
        <f t="shared" si="46"/>
        <v>38.232000000000006</v>
      </c>
      <c r="AH117" s="51">
        <f t="shared" si="47"/>
        <v>76.464000000000013</v>
      </c>
      <c r="AI117" s="51">
        <f t="shared" si="47"/>
        <v>114.69600000000001</v>
      </c>
      <c r="AJ117" s="51">
        <f t="shared" si="47"/>
        <v>152.92800000000003</v>
      </c>
      <c r="AK117" s="51">
        <f t="shared" si="47"/>
        <v>191.16000000000003</v>
      </c>
      <c r="AL117" s="51">
        <f t="shared" si="47"/>
        <v>382.32000000000005</v>
      </c>
      <c r="AM117" s="51">
        <f t="shared" si="47"/>
        <v>764.6400000000001</v>
      </c>
      <c r="AN117" s="51">
        <f t="shared" si="47"/>
        <v>1146.96</v>
      </c>
      <c r="AO117" s="51">
        <f t="shared" si="47"/>
        <v>1529.2800000000002</v>
      </c>
      <c r="AP117" s="51">
        <f t="shared" si="47"/>
        <v>1911.6000000000001</v>
      </c>
    </row>
    <row r="118" spans="1:42">
      <c r="A118" t="s">
        <v>755</v>
      </c>
      <c r="B118" s="29" t="s">
        <v>407</v>
      </c>
      <c r="C118" t="s">
        <v>408</v>
      </c>
      <c r="D118" s="2" t="s">
        <v>616</v>
      </c>
      <c r="G118">
        <v>20.25</v>
      </c>
      <c r="H118" s="40">
        <v>5.41</v>
      </c>
      <c r="I118" s="40">
        <f t="shared" si="60"/>
        <v>109.55250000000001</v>
      </c>
      <c r="J118" s="40">
        <f t="shared" si="67"/>
        <v>0.4869</v>
      </c>
      <c r="L118" s="72">
        <v>44839</v>
      </c>
      <c r="M118" s="42">
        <f t="shared" si="61"/>
        <v>6.3838000000000008</v>
      </c>
      <c r="N118" s="2" t="s">
        <v>79</v>
      </c>
      <c r="P118" s="32">
        <f t="shared" si="63"/>
        <v>12.767600000000002</v>
      </c>
      <c r="Q118" s="32">
        <f t="shared" si="19"/>
        <v>1.149084</v>
      </c>
      <c r="R118" s="292">
        <f t="shared" si="64"/>
        <v>13.916684000000002</v>
      </c>
      <c r="T118" s="33">
        <f t="shared" si="65"/>
        <v>19.151400000000002</v>
      </c>
      <c r="U118" s="33">
        <f t="shared" si="28"/>
        <v>1.5321120000000001</v>
      </c>
      <c r="V118" s="50">
        <f t="shared" si="66"/>
        <v>20.683512000000004</v>
      </c>
      <c r="X118" s="51">
        <f t="shared" si="46"/>
        <v>20.683512000000004</v>
      </c>
      <c r="Y118" s="51">
        <f t="shared" si="46"/>
        <v>41.367024000000008</v>
      </c>
      <c r="Z118" s="51">
        <f t="shared" si="46"/>
        <v>62.050536000000008</v>
      </c>
      <c r="AA118" s="51">
        <f t="shared" si="46"/>
        <v>82.734048000000016</v>
      </c>
      <c r="AB118" s="51">
        <f t="shared" si="46"/>
        <v>103.41756000000002</v>
      </c>
      <c r="AC118" s="51">
        <f t="shared" si="46"/>
        <v>124.10107200000002</v>
      </c>
      <c r="AD118" s="51">
        <f t="shared" si="46"/>
        <v>144.78458400000002</v>
      </c>
      <c r="AE118" s="51">
        <f t="shared" si="46"/>
        <v>165.46809600000003</v>
      </c>
      <c r="AF118" s="51">
        <f t="shared" si="46"/>
        <v>186.15160800000004</v>
      </c>
      <c r="AG118" s="51">
        <f t="shared" si="46"/>
        <v>206.83512000000005</v>
      </c>
      <c r="AH118" s="51">
        <f t="shared" si="47"/>
        <v>413.67024000000009</v>
      </c>
      <c r="AI118" s="51">
        <f t="shared" si="47"/>
        <v>620.50536000000011</v>
      </c>
      <c r="AJ118" s="51">
        <f t="shared" si="47"/>
        <v>827.34048000000018</v>
      </c>
      <c r="AK118" s="51">
        <f t="shared" si="47"/>
        <v>1034.1756000000003</v>
      </c>
      <c r="AL118" s="51">
        <f t="shared" si="47"/>
        <v>2068.3512000000005</v>
      </c>
      <c r="AM118" s="51">
        <f t="shared" si="47"/>
        <v>4136.702400000001</v>
      </c>
      <c r="AN118" s="51">
        <f t="shared" si="47"/>
        <v>6205.0536000000011</v>
      </c>
      <c r="AO118" s="51">
        <f t="shared" si="47"/>
        <v>8273.4048000000021</v>
      </c>
      <c r="AP118" s="51">
        <f t="shared" si="47"/>
        <v>10341.756000000001</v>
      </c>
    </row>
    <row r="119" spans="1:42">
      <c r="A119" t="s">
        <v>756</v>
      </c>
      <c r="B119" s="29" t="s">
        <v>409</v>
      </c>
      <c r="C119" t="s">
        <v>410</v>
      </c>
      <c r="D119" s="2" t="s">
        <v>616</v>
      </c>
      <c r="G119">
        <v>20.25</v>
      </c>
      <c r="H119" s="40">
        <v>5.41</v>
      </c>
      <c r="I119" s="40">
        <f t="shared" si="60"/>
        <v>109.55250000000001</v>
      </c>
      <c r="J119" s="40">
        <f t="shared" si="67"/>
        <v>0.4869</v>
      </c>
      <c r="L119" s="72">
        <v>44699</v>
      </c>
      <c r="M119" s="42">
        <f>SUM(J119:K119)+H119*$M$1</f>
        <v>6.3838000000000008</v>
      </c>
      <c r="N119" s="2" t="s">
        <v>79</v>
      </c>
      <c r="P119" s="32">
        <f t="shared" si="63"/>
        <v>12.767600000000002</v>
      </c>
      <c r="Q119" s="32">
        <f t="shared" si="19"/>
        <v>1.149084</v>
      </c>
      <c r="R119" s="292">
        <f t="shared" si="64"/>
        <v>13.916684000000002</v>
      </c>
      <c r="T119" s="33">
        <f t="shared" si="65"/>
        <v>19.151400000000002</v>
      </c>
      <c r="U119" s="33">
        <f t="shared" si="28"/>
        <v>1.5321120000000001</v>
      </c>
      <c r="V119" s="50">
        <f t="shared" si="66"/>
        <v>20.683512000000004</v>
      </c>
      <c r="X119" s="51">
        <f t="shared" si="46"/>
        <v>20.683512000000004</v>
      </c>
      <c r="Y119" s="51">
        <f t="shared" si="46"/>
        <v>41.367024000000008</v>
      </c>
      <c r="Z119" s="51">
        <f t="shared" si="46"/>
        <v>62.050536000000008</v>
      </c>
      <c r="AA119" s="51">
        <f t="shared" si="46"/>
        <v>82.734048000000016</v>
      </c>
      <c r="AB119" s="51">
        <f t="shared" si="46"/>
        <v>103.41756000000002</v>
      </c>
      <c r="AC119" s="51">
        <f t="shared" si="46"/>
        <v>124.10107200000002</v>
      </c>
      <c r="AD119" s="51">
        <f t="shared" si="46"/>
        <v>144.78458400000002</v>
      </c>
      <c r="AE119" s="51">
        <f t="shared" si="46"/>
        <v>165.46809600000003</v>
      </c>
      <c r="AF119" s="51">
        <f t="shared" si="46"/>
        <v>186.15160800000004</v>
      </c>
      <c r="AG119" s="51">
        <f t="shared" si="46"/>
        <v>206.83512000000005</v>
      </c>
      <c r="AH119" s="51">
        <f t="shared" si="47"/>
        <v>413.67024000000009</v>
      </c>
      <c r="AI119" s="51">
        <f t="shared" si="47"/>
        <v>620.50536000000011</v>
      </c>
      <c r="AJ119" s="51">
        <f t="shared" si="47"/>
        <v>827.34048000000018</v>
      </c>
      <c r="AK119" s="51">
        <f t="shared" si="47"/>
        <v>1034.1756000000003</v>
      </c>
      <c r="AL119" s="51">
        <f t="shared" si="47"/>
        <v>2068.3512000000005</v>
      </c>
      <c r="AM119" s="51">
        <f t="shared" si="47"/>
        <v>4136.702400000001</v>
      </c>
      <c r="AN119" s="51">
        <f t="shared" si="47"/>
        <v>6205.0536000000011</v>
      </c>
      <c r="AO119" s="51">
        <f t="shared" si="47"/>
        <v>8273.4048000000021</v>
      </c>
      <c r="AP119" s="51">
        <f t="shared" si="47"/>
        <v>10341.756000000001</v>
      </c>
    </row>
    <row r="120" spans="1:42">
      <c r="A120" t="s">
        <v>757</v>
      </c>
      <c r="B120" s="29" t="s">
        <v>411</v>
      </c>
      <c r="C120" t="s">
        <v>412</v>
      </c>
      <c r="D120" s="2" t="s">
        <v>616</v>
      </c>
      <c r="G120">
        <v>16.170000000000002</v>
      </c>
      <c r="I120" s="40">
        <f t="shared" si="60"/>
        <v>0</v>
      </c>
      <c r="J120" s="40">
        <f t="shared" si="67"/>
        <v>0</v>
      </c>
      <c r="L120" s="72"/>
      <c r="M120" s="42">
        <f t="shared" si="61"/>
        <v>0</v>
      </c>
      <c r="N120" s="2" t="s">
        <v>79</v>
      </c>
      <c r="P120" s="32">
        <f t="shared" si="63"/>
        <v>0</v>
      </c>
      <c r="Q120" s="32">
        <f t="shared" si="19"/>
        <v>0</v>
      </c>
      <c r="R120" s="292">
        <f t="shared" si="64"/>
        <v>0</v>
      </c>
      <c r="T120" s="33">
        <f t="shared" si="65"/>
        <v>0</v>
      </c>
      <c r="U120" s="33">
        <f t="shared" si="28"/>
        <v>0</v>
      </c>
      <c r="V120" s="50">
        <f t="shared" si="66"/>
        <v>0</v>
      </c>
      <c r="X120" s="51">
        <f t="shared" si="46"/>
        <v>0</v>
      </c>
      <c r="Y120" s="51">
        <f t="shared" si="46"/>
        <v>0</v>
      </c>
      <c r="Z120" s="51">
        <f t="shared" si="46"/>
        <v>0</v>
      </c>
      <c r="AA120" s="51">
        <f t="shared" si="46"/>
        <v>0</v>
      </c>
      <c r="AB120" s="51">
        <f t="shared" si="46"/>
        <v>0</v>
      </c>
      <c r="AC120" s="51">
        <f t="shared" si="46"/>
        <v>0</v>
      </c>
      <c r="AD120" s="51">
        <f t="shared" si="46"/>
        <v>0</v>
      </c>
      <c r="AE120" s="51">
        <f t="shared" si="46"/>
        <v>0</v>
      </c>
      <c r="AF120" s="51">
        <f t="shared" si="46"/>
        <v>0</v>
      </c>
      <c r="AG120" s="51">
        <f t="shared" si="46"/>
        <v>0</v>
      </c>
      <c r="AH120" s="51">
        <f t="shared" si="47"/>
        <v>0</v>
      </c>
      <c r="AI120" s="51">
        <f t="shared" si="47"/>
        <v>0</v>
      </c>
      <c r="AJ120" s="51">
        <f t="shared" si="47"/>
        <v>0</v>
      </c>
      <c r="AK120" s="51">
        <f t="shared" si="47"/>
        <v>0</v>
      </c>
      <c r="AL120" s="51">
        <f t="shared" si="47"/>
        <v>0</v>
      </c>
      <c r="AM120" s="51">
        <f t="shared" si="47"/>
        <v>0</v>
      </c>
      <c r="AN120" s="51">
        <f t="shared" si="47"/>
        <v>0</v>
      </c>
      <c r="AO120" s="51">
        <f t="shared" si="47"/>
        <v>0</v>
      </c>
      <c r="AP120" s="51">
        <f t="shared" si="47"/>
        <v>0</v>
      </c>
    </row>
    <row r="121" spans="1:42">
      <c r="A121" t="s">
        <v>340</v>
      </c>
      <c r="B121" s="29" t="s">
        <v>758</v>
      </c>
      <c r="C121" t="s">
        <v>759</v>
      </c>
      <c r="D121" s="2" t="s">
        <v>616</v>
      </c>
      <c r="G121">
        <v>20</v>
      </c>
      <c r="H121" s="40">
        <v>3.76</v>
      </c>
      <c r="I121" s="40">
        <f t="shared" si="60"/>
        <v>75.199999999999989</v>
      </c>
      <c r="J121" s="40">
        <f t="shared" ref="J121:J134" si="68">H121*0.09</f>
        <v>0.33839999999999998</v>
      </c>
      <c r="K121" s="40">
        <v>0.03</v>
      </c>
      <c r="L121" s="72">
        <v>44799</v>
      </c>
      <c r="M121" s="42">
        <f>SUM(J121:K121)+H121*$M$1</f>
        <v>4.4668000000000001</v>
      </c>
      <c r="N121" s="2" t="s">
        <v>79</v>
      </c>
      <c r="P121" s="32">
        <f t="shared" si="63"/>
        <v>8.9336000000000002</v>
      </c>
      <c r="Q121" s="32">
        <f t="shared" si="19"/>
        <v>0.80402399999999996</v>
      </c>
      <c r="R121" s="292">
        <f t="shared" si="64"/>
        <v>9.7376240000000003</v>
      </c>
      <c r="T121" s="33">
        <f t="shared" si="65"/>
        <v>13.400400000000001</v>
      </c>
      <c r="U121" s="33">
        <f t="shared" si="28"/>
        <v>1.0720320000000001</v>
      </c>
      <c r="V121" s="50">
        <f t="shared" si="66"/>
        <v>14.472432000000001</v>
      </c>
      <c r="X121" s="51">
        <f t="shared" si="46"/>
        <v>14.472432000000001</v>
      </c>
      <c r="Y121" s="51">
        <f t="shared" si="46"/>
        <v>28.944864000000003</v>
      </c>
      <c r="Z121" s="51">
        <f t="shared" si="46"/>
        <v>43.417296000000007</v>
      </c>
      <c r="AA121" s="51">
        <f t="shared" si="46"/>
        <v>57.889728000000005</v>
      </c>
      <c r="AB121" s="51">
        <f t="shared" si="46"/>
        <v>72.362160000000003</v>
      </c>
      <c r="AC121" s="51">
        <f t="shared" si="46"/>
        <v>86.834592000000015</v>
      </c>
      <c r="AD121" s="51">
        <f t="shared" si="46"/>
        <v>101.30702400000001</v>
      </c>
      <c r="AE121" s="51">
        <f t="shared" si="46"/>
        <v>115.77945600000001</v>
      </c>
      <c r="AF121" s="51">
        <f t="shared" si="46"/>
        <v>130.25188800000001</v>
      </c>
      <c r="AG121" s="51">
        <f t="shared" si="46"/>
        <v>144.72432000000001</v>
      </c>
      <c r="AH121" s="51">
        <f t="shared" si="47"/>
        <v>289.44864000000001</v>
      </c>
      <c r="AI121" s="51">
        <f t="shared" si="47"/>
        <v>434.17296000000005</v>
      </c>
      <c r="AJ121" s="51">
        <f t="shared" si="47"/>
        <v>578.89728000000002</v>
      </c>
      <c r="AK121" s="51">
        <f t="shared" si="47"/>
        <v>723.62160000000006</v>
      </c>
      <c r="AL121" s="51">
        <f t="shared" si="47"/>
        <v>1447.2432000000001</v>
      </c>
      <c r="AM121" s="51">
        <f t="shared" si="47"/>
        <v>2894.4864000000002</v>
      </c>
      <c r="AN121" s="51">
        <f t="shared" si="47"/>
        <v>4341.7296000000006</v>
      </c>
      <c r="AO121" s="51">
        <f t="shared" si="47"/>
        <v>5788.9728000000005</v>
      </c>
      <c r="AP121" s="51">
        <f t="shared" si="47"/>
        <v>7236.2160000000003</v>
      </c>
    </row>
    <row r="122" spans="1:42">
      <c r="A122" t="s">
        <v>341</v>
      </c>
      <c r="B122" s="29" t="s">
        <v>758</v>
      </c>
      <c r="C122" t="s">
        <v>760</v>
      </c>
      <c r="D122" s="2" t="s">
        <v>616</v>
      </c>
      <c r="G122">
        <v>20</v>
      </c>
      <c r="H122" s="40">
        <v>4.75</v>
      </c>
      <c r="I122" s="40">
        <f t="shared" si="60"/>
        <v>95</v>
      </c>
      <c r="J122" s="40">
        <f t="shared" si="68"/>
        <v>0.42749999999999999</v>
      </c>
      <c r="K122" s="40">
        <v>0.03</v>
      </c>
      <c r="L122" s="72">
        <v>44655</v>
      </c>
      <c r="M122" s="42">
        <f t="shared" si="61"/>
        <v>5.6349999999999998</v>
      </c>
      <c r="N122" s="2" t="s">
        <v>79</v>
      </c>
      <c r="P122" s="32">
        <f t="shared" si="63"/>
        <v>11.27</v>
      </c>
      <c r="Q122" s="32">
        <f t="shared" si="19"/>
        <v>1.0143</v>
      </c>
      <c r="R122" s="292">
        <f t="shared" si="64"/>
        <v>12.2843</v>
      </c>
      <c r="T122" s="33">
        <f t="shared" si="65"/>
        <v>16.905000000000001</v>
      </c>
      <c r="U122" s="33">
        <f t="shared" si="28"/>
        <v>1.3524</v>
      </c>
      <c r="V122" s="50">
        <f t="shared" si="66"/>
        <v>18.257400000000001</v>
      </c>
      <c r="X122" s="51">
        <f t="shared" si="46"/>
        <v>18.257400000000001</v>
      </c>
      <c r="Y122" s="51">
        <f t="shared" si="46"/>
        <v>36.514800000000001</v>
      </c>
      <c r="Z122" s="51">
        <f t="shared" si="46"/>
        <v>54.772199999999998</v>
      </c>
      <c r="AA122" s="51">
        <f t="shared" si="46"/>
        <v>73.029600000000002</v>
      </c>
      <c r="AB122" s="51">
        <f t="shared" si="46"/>
        <v>91.287000000000006</v>
      </c>
      <c r="AC122" s="51">
        <f t="shared" ref="X122:AG180" si="69">$V122*AC$3</f>
        <v>109.5444</v>
      </c>
      <c r="AD122" s="51">
        <f t="shared" si="69"/>
        <v>127.8018</v>
      </c>
      <c r="AE122" s="51">
        <f t="shared" si="69"/>
        <v>146.0592</v>
      </c>
      <c r="AF122" s="51">
        <f t="shared" si="69"/>
        <v>164.31659999999999</v>
      </c>
      <c r="AG122" s="51">
        <f t="shared" si="69"/>
        <v>182.57400000000001</v>
      </c>
      <c r="AH122" s="51">
        <f t="shared" si="47"/>
        <v>365.14800000000002</v>
      </c>
      <c r="AI122" s="51">
        <f t="shared" si="47"/>
        <v>547.72199999999998</v>
      </c>
      <c r="AJ122" s="51">
        <f t="shared" si="47"/>
        <v>730.29600000000005</v>
      </c>
      <c r="AK122" s="51">
        <f t="shared" si="47"/>
        <v>912.87</v>
      </c>
      <c r="AL122" s="51">
        <f t="shared" si="47"/>
        <v>1825.74</v>
      </c>
      <c r="AM122" s="51">
        <f t="shared" si="47"/>
        <v>3651.48</v>
      </c>
      <c r="AN122" s="51">
        <f t="shared" si="47"/>
        <v>5477.22</v>
      </c>
      <c r="AO122" s="51">
        <f t="shared" si="47"/>
        <v>7302.96</v>
      </c>
      <c r="AP122" s="51">
        <f t="shared" si="47"/>
        <v>9128.7000000000007</v>
      </c>
    </row>
    <row r="123" spans="1:42">
      <c r="A123" t="s">
        <v>342</v>
      </c>
      <c r="B123" s="29" t="s">
        <v>761</v>
      </c>
      <c r="C123" t="s">
        <v>762</v>
      </c>
      <c r="D123" s="2" t="s">
        <v>616</v>
      </c>
      <c r="G123">
        <v>20</v>
      </c>
      <c r="H123" s="40">
        <v>1.54</v>
      </c>
      <c r="I123" s="40">
        <f t="shared" si="60"/>
        <v>30.8</v>
      </c>
      <c r="J123" s="40">
        <f t="shared" si="68"/>
        <v>0.1386</v>
      </c>
      <c r="K123" s="40">
        <v>0.03</v>
      </c>
      <c r="L123" s="72">
        <v>44677</v>
      </c>
      <c r="M123" s="42">
        <f>SUM(J123:K123)+H123*$M$1</f>
        <v>1.8472000000000002</v>
      </c>
      <c r="N123" s="2" t="s">
        <v>79</v>
      </c>
      <c r="P123" s="32">
        <f t="shared" si="63"/>
        <v>3.6944000000000004</v>
      </c>
      <c r="Q123" s="32">
        <f t="shared" si="19"/>
        <v>0.33249600000000001</v>
      </c>
      <c r="R123" s="292">
        <f t="shared" si="64"/>
        <v>4.0268960000000007</v>
      </c>
      <c r="T123" s="33">
        <f t="shared" si="65"/>
        <v>5.5416000000000007</v>
      </c>
      <c r="U123" s="33">
        <f t="shared" si="28"/>
        <v>0.44332800000000006</v>
      </c>
      <c r="V123" s="50">
        <f t="shared" si="66"/>
        <v>5.9849280000000009</v>
      </c>
      <c r="X123" s="51">
        <f t="shared" si="69"/>
        <v>5.9849280000000009</v>
      </c>
      <c r="Y123" s="51">
        <f t="shared" si="69"/>
        <v>11.969856000000002</v>
      </c>
      <c r="Z123" s="51">
        <f t="shared" si="69"/>
        <v>17.954784000000004</v>
      </c>
      <c r="AA123" s="51">
        <f t="shared" si="69"/>
        <v>23.939712000000004</v>
      </c>
      <c r="AB123" s="51">
        <f t="shared" si="69"/>
        <v>29.924640000000004</v>
      </c>
      <c r="AC123" s="51">
        <f t="shared" si="69"/>
        <v>35.909568000000007</v>
      </c>
      <c r="AD123" s="51">
        <f t="shared" si="69"/>
        <v>41.894496000000004</v>
      </c>
      <c r="AE123" s="51">
        <f t="shared" si="69"/>
        <v>47.879424000000007</v>
      </c>
      <c r="AF123" s="51">
        <f t="shared" si="69"/>
        <v>53.864352000000011</v>
      </c>
      <c r="AG123" s="51">
        <f t="shared" si="69"/>
        <v>59.849280000000007</v>
      </c>
      <c r="AH123" s="51">
        <f t="shared" si="47"/>
        <v>119.69856000000001</v>
      </c>
      <c r="AI123" s="51">
        <f t="shared" si="47"/>
        <v>179.54784000000004</v>
      </c>
      <c r="AJ123" s="51">
        <f t="shared" si="47"/>
        <v>239.39712000000003</v>
      </c>
      <c r="AK123" s="51">
        <f t="shared" si="47"/>
        <v>299.24640000000005</v>
      </c>
      <c r="AL123" s="51">
        <f t="shared" si="47"/>
        <v>598.4928000000001</v>
      </c>
      <c r="AM123" s="51">
        <f t="shared" si="47"/>
        <v>1196.9856000000002</v>
      </c>
      <c r="AN123" s="51">
        <f t="shared" si="47"/>
        <v>1795.4784000000002</v>
      </c>
      <c r="AO123" s="51">
        <f t="shared" si="47"/>
        <v>2393.9712000000004</v>
      </c>
      <c r="AP123" s="51">
        <f t="shared" si="47"/>
        <v>2992.4640000000004</v>
      </c>
    </row>
    <row r="124" spans="1:42">
      <c r="A124" t="s">
        <v>343</v>
      </c>
      <c r="C124" t="s">
        <v>763</v>
      </c>
      <c r="D124" s="2" t="s">
        <v>616</v>
      </c>
      <c r="G124">
        <v>20</v>
      </c>
      <c r="H124" s="40">
        <f>2.55</f>
        <v>2.5499999999999998</v>
      </c>
      <c r="I124" s="40">
        <f t="shared" si="60"/>
        <v>51</v>
      </c>
      <c r="J124" s="40">
        <f t="shared" si="68"/>
        <v>0.22949999999999998</v>
      </c>
      <c r="K124" s="40">
        <v>0.03</v>
      </c>
      <c r="L124" s="72">
        <v>44655</v>
      </c>
      <c r="M124" s="42">
        <f t="shared" si="61"/>
        <v>3.0390000000000001</v>
      </c>
      <c r="N124" s="2" t="s">
        <v>79</v>
      </c>
      <c r="P124" s="32">
        <f t="shared" si="63"/>
        <v>6.0780000000000003</v>
      </c>
      <c r="Q124" s="32">
        <f t="shared" si="19"/>
        <v>0.54701999999999995</v>
      </c>
      <c r="R124" s="292">
        <f t="shared" si="64"/>
        <v>6.6250200000000001</v>
      </c>
      <c r="T124" s="33">
        <f t="shared" si="65"/>
        <v>9.1170000000000009</v>
      </c>
      <c r="U124" s="33">
        <f t="shared" si="28"/>
        <v>0.72936000000000012</v>
      </c>
      <c r="V124" s="50">
        <f t="shared" si="66"/>
        <v>9.8463600000000007</v>
      </c>
      <c r="X124" s="51">
        <f t="shared" si="69"/>
        <v>9.8463600000000007</v>
      </c>
      <c r="Y124" s="51">
        <f t="shared" si="69"/>
        <v>19.692720000000001</v>
      </c>
      <c r="Z124" s="51">
        <f t="shared" si="69"/>
        <v>29.539080000000002</v>
      </c>
      <c r="AA124" s="51">
        <f t="shared" si="69"/>
        <v>39.385440000000003</v>
      </c>
      <c r="AB124" s="51">
        <f t="shared" si="69"/>
        <v>49.231800000000007</v>
      </c>
      <c r="AC124" s="51">
        <f t="shared" si="69"/>
        <v>59.078160000000004</v>
      </c>
      <c r="AD124" s="51">
        <f t="shared" si="69"/>
        <v>68.924520000000001</v>
      </c>
      <c r="AE124" s="51">
        <f t="shared" si="69"/>
        <v>78.770880000000005</v>
      </c>
      <c r="AF124" s="51">
        <f t="shared" si="69"/>
        <v>88.61724000000001</v>
      </c>
      <c r="AG124" s="51">
        <f t="shared" si="69"/>
        <v>98.463600000000014</v>
      </c>
      <c r="AH124" s="51">
        <f t="shared" si="47"/>
        <v>196.92720000000003</v>
      </c>
      <c r="AI124" s="51">
        <f t="shared" si="47"/>
        <v>295.39080000000001</v>
      </c>
      <c r="AJ124" s="51">
        <f t="shared" si="47"/>
        <v>393.85440000000006</v>
      </c>
      <c r="AK124" s="51">
        <f t="shared" si="47"/>
        <v>492.31800000000004</v>
      </c>
      <c r="AL124" s="51">
        <f t="shared" si="47"/>
        <v>984.63600000000008</v>
      </c>
      <c r="AM124" s="51">
        <f t="shared" si="47"/>
        <v>1969.2720000000002</v>
      </c>
      <c r="AN124" s="51">
        <f t="shared" si="47"/>
        <v>2953.9080000000004</v>
      </c>
      <c r="AO124" s="51">
        <f t="shared" si="47"/>
        <v>3938.5440000000003</v>
      </c>
      <c r="AP124" s="51">
        <f t="shared" si="47"/>
        <v>4923.18</v>
      </c>
    </row>
    <row r="125" spans="1:42">
      <c r="A125" t="s">
        <v>344</v>
      </c>
      <c r="B125" s="29" t="s">
        <v>764</v>
      </c>
      <c r="C125" t="s">
        <v>765</v>
      </c>
      <c r="D125" s="2" t="s">
        <v>616</v>
      </c>
      <c r="G125">
        <v>11.67</v>
      </c>
      <c r="H125" s="40">
        <v>3.96</v>
      </c>
      <c r="I125" s="40">
        <f t="shared" si="60"/>
        <v>46.213200000000001</v>
      </c>
      <c r="J125" s="40">
        <f t="shared" si="68"/>
        <v>0.35639999999999999</v>
      </c>
      <c r="K125" s="40">
        <v>7.0000000000000007E-2</v>
      </c>
      <c r="L125" s="72">
        <v>44538</v>
      </c>
      <c r="M125" s="42">
        <f t="shared" si="61"/>
        <v>4.7428000000000008</v>
      </c>
      <c r="N125" s="2" t="s">
        <v>79</v>
      </c>
      <c r="P125" s="32">
        <f t="shared" si="63"/>
        <v>9.4856000000000016</v>
      </c>
      <c r="Q125" s="32">
        <f t="shared" si="19"/>
        <v>0.85370400000000013</v>
      </c>
      <c r="R125" s="292">
        <f t="shared" si="64"/>
        <v>10.339304000000002</v>
      </c>
      <c r="T125" s="33">
        <f t="shared" si="65"/>
        <v>14.228400000000002</v>
      </c>
      <c r="U125" s="33">
        <f t="shared" si="28"/>
        <v>1.1382720000000002</v>
      </c>
      <c r="V125" s="50">
        <f t="shared" si="66"/>
        <v>15.366672000000003</v>
      </c>
      <c r="X125" s="51">
        <f t="shared" si="69"/>
        <v>15.366672000000003</v>
      </c>
      <c r="Y125" s="51">
        <f t="shared" si="69"/>
        <v>30.733344000000006</v>
      </c>
      <c r="Z125" s="51">
        <f t="shared" si="69"/>
        <v>46.100016000000011</v>
      </c>
      <c r="AA125" s="51">
        <f t="shared" si="69"/>
        <v>61.466688000000012</v>
      </c>
      <c r="AB125" s="51">
        <f t="shared" si="69"/>
        <v>76.833360000000013</v>
      </c>
      <c r="AC125" s="51">
        <f t="shared" si="69"/>
        <v>92.200032000000022</v>
      </c>
      <c r="AD125" s="51">
        <f t="shared" si="69"/>
        <v>107.56670400000002</v>
      </c>
      <c r="AE125" s="51">
        <f t="shared" si="69"/>
        <v>122.93337600000002</v>
      </c>
      <c r="AF125" s="51">
        <f t="shared" si="69"/>
        <v>138.30004800000003</v>
      </c>
      <c r="AG125" s="51">
        <f t="shared" si="69"/>
        <v>153.66672000000003</v>
      </c>
      <c r="AH125" s="51">
        <f t="shared" si="47"/>
        <v>307.33344000000005</v>
      </c>
      <c r="AI125" s="51">
        <f t="shared" si="47"/>
        <v>461.00016000000011</v>
      </c>
      <c r="AJ125" s="51">
        <f t="shared" si="47"/>
        <v>614.66688000000011</v>
      </c>
      <c r="AK125" s="51">
        <f t="shared" ref="AH125:AP180" si="70">$V125*AK$3</f>
        <v>768.33360000000016</v>
      </c>
      <c r="AL125" s="51">
        <f t="shared" si="70"/>
        <v>1536.6672000000003</v>
      </c>
      <c r="AM125" s="51">
        <f t="shared" si="70"/>
        <v>3073.3344000000006</v>
      </c>
      <c r="AN125" s="51">
        <f t="shared" si="70"/>
        <v>4610.0016000000005</v>
      </c>
      <c r="AO125" s="51">
        <f t="shared" si="70"/>
        <v>6146.6688000000013</v>
      </c>
      <c r="AP125" s="51">
        <f t="shared" si="70"/>
        <v>7683.3360000000011</v>
      </c>
    </row>
    <row r="126" spans="1:42">
      <c r="A126" t="s">
        <v>766</v>
      </c>
      <c r="C126" t="s">
        <v>767</v>
      </c>
      <c r="D126" s="2" t="s">
        <v>616</v>
      </c>
      <c r="G126">
        <v>24</v>
      </c>
      <c r="H126" s="40">
        <v>4.6100000000000003</v>
      </c>
      <c r="I126" s="40">
        <f t="shared" si="60"/>
        <v>110.64000000000001</v>
      </c>
      <c r="J126" s="40">
        <f t="shared" si="68"/>
        <v>0.41489999999999999</v>
      </c>
      <c r="K126" s="40">
        <v>7.0000000000000007E-2</v>
      </c>
      <c r="L126" s="72">
        <v>44636</v>
      </c>
      <c r="M126" s="42">
        <f t="shared" si="61"/>
        <v>5.5098000000000003</v>
      </c>
      <c r="N126" s="2" t="s">
        <v>79</v>
      </c>
      <c r="P126" s="32">
        <f t="shared" si="63"/>
        <v>11.019600000000001</v>
      </c>
      <c r="Q126" s="32">
        <f t="shared" si="19"/>
        <v>0.99176399999999998</v>
      </c>
      <c r="R126" s="292">
        <f t="shared" si="64"/>
        <v>12.011364</v>
      </c>
      <c r="T126" s="33">
        <f t="shared" si="65"/>
        <v>16.529400000000003</v>
      </c>
      <c r="U126" s="33">
        <f t="shared" si="28"/>
        <v>1.3223520000000002</v>
      </c>
      <c r="V126" s="50">
        <f t="shared" si="66"/>
        <v>17.851752000000001</v>
      </c>
      <c r="X126" s="51">
        <f t="shared" si="69"/>
        <v>17.851752000000001</v>
      </c>
      <c r="Y126" s="51">
        <f t="shared" si="69"/>
        <v>35.703504000000002</v>
      </c>
      <c r="Z126" s="51">
        <f t="shared" si="69"/>
        <v>53.555256</v>
      </c>
      <c r="AA126" s="51">
        <f t="shared" si="69"/>
        <v>71.407008000000005</v>
      </c>
      <c r="AB126" s="51">
        <f t="shared" si="69"/>
        <v>89.258760000000009</v>
      </c>
      <c r="AC126" s="51">
        <f t="shared" si="69"/>
        <v>107.110512</v>
      </c>
      <c r="AD126" s="51">
        <f t="shared" si="69"/>
        <v>124.962264</v>
      </c>
      <c r="AE126" s="51">
        <f t="shared" si="69"/>
        <v>142.81401600000001</v>
      </c>
      <c r="AF126" s="51">
        <f t="shared" si="69"/>
        <v>160.66576800000001</v>
      </c>
      <c r="AG126" s="51">
        <f t="shared" si="69"/>
        <v>178.51752000000002</v>
      </c>
      <c r="AH126" s="51">
        <f t="shared" si="70"/>
        <v>357.03504000000004</v>
      </c>
      <c r="AI126" s="51">
        <f t="shared" si="70"/>
        <v>535.55256000000008</v>
      </c>
      <c r="AJ126" s="51">
        <f t="shared" si="70"/>
        <v>714.07008000000008</v>
      </c>
      <c r="AK126" s="51">
        <f t="shared" si="70"/>
        <v>892.58760000000007</v>
      </c>
      <c r="AL126" s="51">
        <f t="shared" si="70"/>
        <v>1785.1752000000001</v>
      </c>
      <c r="AM126" s="51">
        <f t="shared" si="70"/>
        <v>3570.3504000000003</v>
      </c>
      <c r="AN126" s="51">
        <f t="shared" si="70"/>
        <v>5355.5255999999999</v>
      </c>
      <c r="AO126" s="51">
        <f t="shared" si="70"/>
        <v>7140.7008000000005</v>
      </c>
      <c r="AP126" s="51">
        <f t="shared" si="70"/>
        <v>8925.8760000000002</v>
      </c>
    </row>
    <row r="127" spans="1:42">
      <c r="A127" t="s">
        <v>768</v>
      </c>
      <c r="B127" s="29" t="s">
        <v>769</v>
      </c>
      <c r="C127" t="s">
        <v>770</v>
      </c>
      <c r="D127" s="2" t="s">
        <v>616</v>
      </c>
      <c r="G127">
        <v>20</v>
      </c>
      <c r="H127" s="40">
        <v>2.75</v>
      </c>
      <c r="I127" s="40">
        <f t="shared" si="60"/>
        <v>55</v>
      </c>
      <c r="J127" s="40">
        <f t="shared" si="68"/>
        <v>0.2475</v>
      </c>
      <c r="L127" s="72">
        <v>44684</v>
      </c>
      <c r="M127" s="42">
        <f t="shared" si="61"/>
        <v>3.2450000000000001</v>
      </c>
      <c r="N127" s="2" t="s">
        <v>79</v>
      </c>
      <c r="P127" s="32">
        <f t="shared" si="63"/>
        <v>6.49</v>
      </c>
      <c r="Q127" s="32">
        <f t="shared" si="19"/>
        <v>0.58409999999999995</v>
      </c>
      <c r="R127" s="292">
        <f t="shared" si="64"/>
        <v>7.0741000000000005</v>
      </c>
      <c r="T127" s="33">
        <f t="shared" si="65"/>
        <v>9.7349999999999994</v>
      </c>
      <c r="U127" s="33">
        <f t="shared" si="28"/>
        <v>0.77879999999999994</v>
      </c>
      <c r="V127" s="50">
        <f t="shared" si="66"/>
        <v>10.5138</v>
      </c>
      <c r="X127" s="51">
        <f t="shared" si="69"/>
        <v>10.5138</v>
      </c>
      <c r="Y127" s="51">
        <f t="shared" si="69"/>
        <v>21.0276</v>
      </c>
      <c r="Z127" s="51">
        <f t="shared" si="69"/>
        <v>31.541399999999999</v>
      </c>
      <c r="AA127" s="51">
        <f t="shared" si="69"/>
        <v>42.055199999999999</v>
      </c>
      <c r="AB127" s="51">
        <f t="shared" si="69"/>
        <v>52.569000000000003</v>
      </c>
      <c r="AC127" s="51">
        <f t="shared" si="69"/>
        <v>63.082799999999999</v>
      </c>
      <c r="AD127" s="51">
        <f t="shared" si="69"/>
        <v>73.596599999999995</v>
      </c>
      <c r="AE127" s="51">
        <f t="shared" si="69"/>
        <v>84.110399999999998</v>
      </c>
      <c r="AF127" s="51">
        <f t="shared" si="69"/>
        <v>94.624200000000002</v>
      </c>
      <c r="AG127" s="51">
        <f t="shared" si="69"/>
        <v>105.13800000000001</v>
      </c>
      <c r="AH127" s="51">
        <f t="shared" si="70"/>
        <v>210.27600000000001</v>
      </c>
      <c r="AI127" s="51">
        <f t="shared" si="70"/>
        <v>315.41399999999999</v>
      </c>
      <c r="AJ127" s="51">
        <f t="shared" si="70"/>
        <v>420.55200000000002</v>
      </c>
      <c r="AK127" s="51">
        <f t="shared" si="70"/>
        <v>525.68999999999994</v>
      </c>
      <c r="AL127" s="51">
        <f t="shared" si="70"/>
        <v>1051.3799999999999</v>
      </c>
      <c r="AM127" s="51">
        <f t="shared" si="70"/>
        <v>2102.7599999999998</v>
      </c>
      <c r="AN127" s="51">
        <f t="shared" si="70"/>
        <v>3154.14</v>
      </c>
      <c r="AO127" s="51">
        <f t="shared" si="70"/>
        <v>4205.5199999999995</v>
      </c>
      <c r="AP127" s="51">
        <f t="shared" si="70"/>
        <v>5256.9</v>
      </c>
    </row>
    <row r="128" spans="1:42">
      <c r="A128" t="s">
        <v>771</v>
      </c>
      <c r="C128" t="s">
        <v>772</v>
      </c>
      <c r="D128" s="2" t="s">
        <v>616</v>
      </c>
      <c r="E128" s="2">
        <v>14</v>
      </c>
      <c r="F128" s="73">
        <f>E128*I128</f>
        <v>792.96</v>
      </c>
      <c r="G128">
        <v>24</v>
      </c>
      <c r="H128" s="40">
        <v>2.36</v>
      </c>
      <c r="I128" s="40">
        <f t="shared" si="60"/>
        <v>56.64</v>
      </c>
      <c r="J128" s="40">
        <f t="shared" si="68"/>
        <v>0.21239999999999998</v>
      </c>
      <c r="L128" s="72">
        <v>44776</v>
      </c>
      <c r="M128" s="42">
        <f t="shared" si="61"/>
        <v>2.7848000000000002</v>
      </c>
      <c r="N128" s="2" t="s">
        <v>79</v>
      </c>
      <c r="P128" s="32">
        <f t="shared" si="63"/>
        <v>5.5696000000000003</v>
      </c>
      <c r="Q128" s="32">
        <f t="shared" si="19"/>
        <v>0.50126400000000004</v>
      </c>
      <c r="R128" s="292">
        <f t="shared" si="64"/>
        <v>6.0708640000000003</v>
      </c>
      <c r="T128" s="33">
        <f t="shared" si="65"/>
        <v>8.3544</v>
      </c>
      <c r="U128" s="33">
        <f t="shared" si="28"/>
        <v>0.66835200000000006</v>
      </c>
      <c r="V128" s="50">
        <f t="shared" si="66"/>
        <v>9.0227520000000005</v>
      </c>
      <c r="X128" s="51">
        <f t="shared" ref="X128:AP128" si="71">$V128*X$3</f>
        <v>9.0227520000000005</v>
      </c>
      <c r="Y128" s="51">
        <f t="shared" si="71"/>
        <v>18.045504000000001</v>
      </c>
      <c r="Z128" s="51">
        <f t="shared" si="71"/>
        <v>27.068256000000002</v>
      </c>
      <c r="AA128" s="51">
        <f t="shared" si="71"/>
        <v>36.091008000000002</v>
      </c>
      <c r="AB128" s="51">
        <f t="shared" si="71"/>
        <v>45.113759999999999</v>
      </c>
      <c r="AC128" s="51">
        <f t="shared" si="71"/>
        <v>54.136512000000003</v>
      </c>
      <c r="AD128" s="51">
        <f t="shared" si="71"/>
        <v>63.159264000000007</v>
      </c>
      <c r="AE128" s="51">
        <f t="shared" si="71"/>
        <v>72.182016000000004</v>
      </c>
      <c r="AF128" s="51">
        <f t="shared" si="71"/>
        <v>81.204768000000001</v>
      </c>
      <c r="AG128" s="51">
        <f t="shared" si="71"/>
        <v>90.227519999999998</v>
      </c>
      <c r="AH128" s="51">
        <f t="shared" si="71"/>
        <v>180.45504</v>
      </c>
      <c r="AI128" s="51">
        <f t="shared" si="71"/>
        <v>270.68256000000002</v>
      </c>
      <c r="AJ128" s="51">
        <f t="shared" si="71"/>
        <v>360.91007999999999</v>
      </c>
      <c r="AK128" s="51">
        <f t="shared" si="71"/>
        <v>451.13760000000002</v>
      </c>
      <c r="AL128" s="51">
        <f t="shared" si="71"/>
        <v>902.27520000000004</v>
      </c>
      <c r="AM128" s="51">
        <f t="shared" si="71"/>
        <v>1804.5504000000001</v>
      </c>
      <c r="AN128" s="51">
        <f t="shared" si="71"/>
        <v>2706.8256000000001</v>
      </c>
      <c r="AO128" s="51">
        <f t="shared" si="71"/>
        <v>3609.1008000000002</v>
      </c>
      <c r="AP128" s="51">
        <f t="shared" si="71"/>
        <v>4511.3760000000002</v>
      </c>
    </row>
    <row r="129" spans="1:42">
      <c r="A129" t="s">
        <v>773</v>
      </c>
      <c r="C129" t="s">
        <v>774</v>
      </c>
      <c r="D129" s="2" t="s">
        <v>616</v>
      </c>
      <c r="E129" s="2">
        <v>33</v>
      </c>
      <c r="F129" s="73">
        <f t="shared" ref="F129:F140" si="72">E129*I129</f>
        <v>3857.04</v>
      </c>
      <c r="G129">
        <v>24</v>
      </c>
      <c r="H129" s="40">
        <v>4.87</v>
      </c>
      <c r="I129" s="40">
        <f t="shared" si="60"/>
        <v>116.88</v>
      </c>
      <c r="J129" s="40">
        <f t="shared" si="68"/>
        <v>0.43829999999999997</v>
      </c>
      <c r="L129" s="72">
        <v>44691</v>
      </c>
      <c r="M129" s="42">
        <f t="shared" si="61"/>
        <v>5.7466000000000008</v>
      </c>
      <c r="N129" s="2" t="s">
        <v>79</v>
      </c>
      <c r="P129" s="32">
        <f t="shared" si="63"/>
        <v>11.493200000000002</v>
      </c>
      <c r="Q129" s="32">
        <f t="shared" si="19"/>
        <v>1.0343880000000001</v>
      </c>
      <c r="R129" s="292">
        <f t="shared" si="64"/>
        <v>12.527588000000002</v>
      </c>
      <c r="T129" s="33">
        <f t="shared" si="65"/>
        <v>17.239800000000002</v>
      </c>
      <c r="U129" s="33">
        <f t="shared" si="28"/>
        <v>1.3791840000000002</v>
      </c>
      <c r="V129" s="50">
        <f t="shared" si="66"/>
        <v>18.618984000000001</v>
      </c>
      <c r="X129" s="51">
        <f t="shared" si="69"/>
        <v>18.618984000000001</v>
      </c>
      <c r="Y129" s="51">
        <f t="shared" si="69"/>
        <v>37.237968000000002</v>
      </c>
      <c r="Z129" s="51">
        <f t="shared" si="69"/>
        <v>55.856952000000007</v>
      </c>
      <c r="AA129" s="51">
        <f t="shared" si="69"/>
        <v>74.475936000000004</v>
      </c>
      <c r="AB129" s="51">
        <f t="shared" si="69"/>
        <v>93.094920000000002</v>
      </c>
      <c r="AC129" s="51">
        <f t="shared" si="69"/>
        <v>111.71390400000001</v>
      </c>
      <c r="AD129" s="51">
        <f t="shared" si="69"/>
        <v>130.332888</v>
      </c>
      <c r="AE129" s="51">
        <f t="shared" si="69"/>
        <v>148.95187200000001</v>
      </c>
      <c r="AF129" s="51">
        <f t="shared" si="69"/>
        <v>167.57085600000002</v>
      </c>
      <c r="AG129" s="51">
        <f t="shared" si="69"/>
        <v>186.18984</v>
      </c>
      <c r="AH129" s="51">
        <f t="shared" si="70"/>
        <v>372.37968000000001</v>
      </c>
      <c r="AI129" s="51">
        <f t="shared" si="70"/>
        <v>558.56952000000001</v>
      </c>
      <c r="AJ129" s="51">
        <f t="shared" si="70"/>
        <v>744.75936000000002</v>
      </c>
      <c r="AK129" s="51">
        <f t="shared" si="70"/>
        <v>930.94920000000002</v>
      </c>
      <c r="AL129" s="51">
        <f t="shared" si="70"/>
        <v>1861.8984</v>
      </c>
      <c r="AM129" s="51">
        <f t="shared" si="70"/>
        <v>3723.7968000000001</v>
      </c>
      <c r="AN129" s="51">
        <f t="shared" si="70"/>
        <v>5585.6952000000001</v>
      </c>
      <c r="AO129" s="51">
        <f t="shared" si="70"/>
        <v>7447.5936000000002</v>
      </c>
      <c r="AP129" s="51">
        <f t="shared" si="70"/>
        <v>9309.4920000000002</v>
      </c>
    </row>
    <row r="130" spans="1:42">
      <c r="A130" t="s">
        <v>775</v>
      </c>
      <c r="C130" t="s">
        <v>776</v>
      </c>
      <c r="D130" s="2" t="s">
        <v>616</v>
      </c>
      <c r="E130" s="2">
        <v>16</v>
      </c>
      <c r="F130" s="73">
        <f t="shared" si="72"/>
        <v>1175.04</v>
      </c>
      <c r="G130">
        <v>24</v>
      </c>
      <c r="H130" s="40">
        <v>3.06</v>
      </c>
      <c r="I130" s="40">
        <f t="shared" si="60"/>
        <v>73.44</v>
      </c>
      <c r="J130" s="40">
        <f t="shared" si="68"/>
        <v>0.27539999999999998</v>
      </c>
      <c r="L130" s="72">
        <v>44797</v>
      </c>
      <c r="M130" s="42">
        <f>SUM(J130:K130)+H130*$M$1</f>
        <v>3.6108000000000002</v>
      </c>
      <c r="N130" s="2" t="s">
        <v>79</v>
      </c>
      <c r="P130" s="32">
        <f t="shared" si="63"/>
        <v>7.2216000000000005</v>
      </c>
      <c r="Q130" s="32">
        <f t="shared" si="19"/>
        <v>0.64994399999999997</v>
      </c>
      <c r="R130" s="292">
        <f t="shared" si="64"/>
        <v>7.8715440000000001</v>
      </c>
      <c r="T130" s="33">
        <f t="shared" si="65"/>
        <v>10.8324</v>
      </c>
      <c r="U130" s="33">
        <f t="shared" si="28"/>
        <v>0.86659200000000003</v>
      </c>
      <c r="V130" s="50">
        <f t="shared" si="66"/>
        <v>11.698992000000001</v>
      </c>
      <c r="X130" s="51">
        <f t="shared" ref="X130:AG130" si="73">$V130*X$3</f>
        <v>11.698992000000001</v>
      </c>
      <c r="Y130" s="51">
        <f t="shared" si="73"/>
        <v>23.397984000000001</v>
      </c>
      <c r="Z130" s="51">
        <f t="shared" si="73"/>
        <v>35.096975999999998</v>
      </c>
      <c r="AA130" s="51">
        <f t="shared" si="73"/>
        <v>46.795968000000002</v>
      </c>
      <c r="AB130" s="51">
        <f t="shared" si="73"/>
        <v>58.494960000000006</v>
      </c>
      <c r="AC130" s="51">
        <f t="shared" si="73"/>
        <v>70.193951999999996</v>
      </c>
      <c r="AD130" s="51">
        <f t="shared" si="73"/>
        <v>81.892944</v>
      </c>
      <c r="AE130" s="51">
        <f t="shared" si="73"/>
        <v>93.591936000000004</v>
      </c>
      <c r="AF130" s="51">
        <f t="shared" si="73"/>
        <v>105.29092800000001</v>
      </c>
      <c r="AG130" s="51">
        <f t="shared" si="73"/>
        <v>116.98992000000001</v>
      </c>
      <c r="AH130" s="51">
        <f t="shared" si="70"/>
        <v>233.97984000000002</v>
      </c>
      <c r="AI130" s="51">
        <f t="shared" si="70"/>
        <v>350.96976000000001</v>
      </c>
      <c r="AJ130" s="51">
        <f t="shared" si="70"/>
        <v>467.95968000000005</v>
      </c>
      <c r="AK130" s="51">
        <f t="shared" si="70"/>
        <v>584.94960000000003</v>
      </c>
      <c r="AL130" s="51">
        <f t="shared" si="70"/>
        <v>1169.8992000000001</v>
      </c>
      <c r="AM130" s="51">
        <f t="shared" si="70"/>
        <v>2339.7984000000001</v>
      </c>
      <c r="AN130" s="51">
        <f t="shared" si="70"/>
        <v>3509.6976</v>
      </c>
      <c r="AO130" s="51">
        <f t="shared" si="70"/>
        <v>4679.5968000000003</v>
      </c>
      <c r="AP130" s="51">
        <f t="shared" si="70"/>
        <v>5849.4960000000001</v>
      </c>
    </row>
    <row r="131" spans="1:42">
      <c r="A131" t="s">
        <v>777</v>
      </c>
      <c r="C131" t="s">
        <v>778</v>
      </c>
      <c r="D131" s="2" t="s">
        <v>616</v>
      </c>
      <c r="F131" s="73">
        <f t="shared" si="72"/>
        <v>0</v>
      </c>
      <c r="G131">
        <v>24.5</v>
      </c>
      <c r="H131" s="40">
        <v>5.66</v>
      </c>
      <c r="I131" s="40">
        <f>G131*H131</f>
        <v>138.67000000000002</v>
      </c>
      <c r="J131" s="40">
        <f t="shared" si="68"/>
        <v>0.50939999999999996</v>
      </c>
      <c r="K131" s="40">
        <v>0.82</v>
      </c>
      <c r="L131" s="72">
        <v>44692</v>
      </c>
      <c r="M131" s="42">
        <f>SUM(J131:K131)+H131*$M$1</f>
        <v>7.4988000000000001</v>
      </c>
      <c r="N131" s="2" t="s">
        <v>79</v>
      </c>
      <c r="P131" s="32">
        <f t="shared" si="63"/>
        <v>14.9976</v>
      </c>
      <c r="Q131" s="32">
        <f t="shared" si="19"/>
        <v>1.3497839999999999</v>
      </c>
      <c r="R131" s="292">
        <f t="shared" si="64"/>
        <v>16.347384000000002</v>
      </c>
      <c r="T131" s="33">
        <f t="shared" si="65"/>
        <v>22.496400000000001</v>
      </c>
      <c r="U131" s="33">
        <f t="shared" si="28"/>
        <v>1.7997120000000002</v>
      </c>
      <c r="V131" s="50">
        <f t="shared" si="66"/>
        <v>24.296112000000001</v>
      </c>
      <c r="X131" s="51">
        <f t="shared" si="69"/>
        <v>24.296112000000001</v>
      </c>
      <c r="Y131" s="51">
        <f t="shared" si="69"/>
        <v>48.592224000000002</v>
      </c>
      <c r="Z131" s="51">
        <f t="shared" si="69"/>
        <v>72.88833600000001</v>
      </c>
      <c r="AA131" s="51">
        <f t="shared" si="69"/>
        <v>97.184448000000003</v>
      </c>
      <c r="AB131" s="51">
        <f t="shared" si="69"/>
        <v>121.48056</v>
      </c>
      <c r="AC131" s="51">
        <f t="shared" si="69"/>
        <v>145.77667200000002</v>
      </c>
      <c r="AD131" s="51">
        <f t="shared" si="69"/>
        <v>170.07278400000001</v>
      </c>
      <c r="AE131" s="51">
        <f t="shared" si="69"/>
        <v>194.36889600000001</v>
      </c>
      <c r="AF131" s="51">
        <f t="shared" si="69"/>
        <v>218.665008</v>
      </c>
      <c r="AG131" s="51">
        <f t="shared" si="69"/>
        <v>242.96111999999999</v>
      </c>
      <c r="AH131" s="51">
        <f t="shared" si="70"/>
        <v>485.92223999999999</v>
      </c>
      <c r="AI131" s="51">
        <f t="shared" si="70"/>
        <v>728.88336000000004</v>
      </c>
      <c r="AJ131" s="51">
        <f t="shared" si="70"/>
        <v>971.84447999999998</v>
      </c>
      <c r="AK131" s="51">
        <f t="shared" si="70"/>
        <v>1214.8056000000001</v>
      </c>
      <c r="AL131" s="51">
        <f t="shared" si="70"/>
        <v>2429.6112000000003</v>
      </c>
      <c r="AM131" s="51">
        <f t="shared" si="70"/>
        <v>4859.2224000000006</v>
      </c>
      <c r="AN131" s="51">
        <f t="shared" si="70"/>
        <v>7288.8335999999999</v>
      </c>
      <c r="AO131" s="51">
        <f t="shared" si="70"/>
        <v>9718.4448000000011</v>
      </c>
      <c r="AP131" s="51">
        <f t="shared" si="70"/>
        <v>12148.056</v>
      </c>
    </row>
    <row r="132" spans="1:42">
      <c r="A132" t="s">
        <v>779</v>
      </c>
      <c r="C132" t="s">
        <v>780</v>
      </c>
      <c r="D132" s="2" t="s">
        <v>616</v>
      </c>
      <c r="F132" s="73">
        <f t="shared" si="72"/>
        <v>0</v>
      </c>
      <c r="G132">
        <v>20</v>
      </c>
      <c r="H132" s="40">
        <v>0.99</v>
      </c>
      <c r="I132" s="40">
        <f t="shared" si="60"/>
        <v>19.8</v>
      </c>
      <c r="J132" s="40">
        <f t="shared" si="68"/>
        <v>8.9099999999999999E-2</v>
      </c>
      <c r="L132" s="72">
        <v>44629</v>
      </c>
      <c r="M132" s="42">
        <f t="shared" si="61"/>
        <v>1.1682000000000001</v>
      </c>
      <c r="N132" s="2" t="s">
        <v>79</v>
      </c>
      <c r="P132" s="32">
        <f t="shared" si="63"/>
        <v>2.3364000000000003</v>
      </c>
      <c r="Q132" s="32">
        <f t="shared" si="19"/>
        <v>0.21027600000000002</v>
      </c>
      <c r="R132" s="292">
        <f t="shared" si="64"/>
        <v>2.5466760000000002</v>
      </c>
      <c r="T132" s="33">
        <f t="shared" si="65"/>
        <v>3.5046000000000004</v>
      </c>
      <c r="U132" s="33">
        <f t="shared" si="28"/>
        <v>0.28036800000000006</v>
      </c>
      <c r="V132" s="50">
        <f t="shared" si="66"/>
        <v>3.7849680000000006</v>
      </c>
      <c r="X132" s="51">
        <f t="shared" si="69"/>
        <v>3.7849680000000006</v>
      </c>
      <c r="Y132" s="51">
        <f t="shared" si="69"/>
        <v>7.5699360000000011</v>
      </c>
      <c r="Z132" s="51">
        <f t="shared" si="69"/>
        <v>11.354904000000001</v>
      </c>
      <c r="AA132" s="51">
        <f t="shared" si="69"/>
        <v>15.139872000000002</v>
      </c>
      <c r="AB132" s="51">
        <f t="shared" si="69"/>
        <v>18.924840000000003</v>
      </c>
      <c r="AC132" s="51">
        <f t="shared" si="69"/>
        <v>22.709808000000002</v>
      </c>
      <c r="AD132" s="51">
        <f t="shared" si="69"/>
        <v>26.494776000000005</v>
      </c>
      <c r="AE132" s="51">
        <f t="shared" si="69"/>
        <v>30.279744000000004</v>
      </c>
      <c r="AF132" s="51">
        <f t="shared" si="69"/>
        <v>34.064712000000007</v>
      </c>
      <c r="AG132" s="51">
        <f t="shared" si="69"/>
        <v>37.849680000000006</v>
      </c>
      <c r="AH132" s="51">
        <f t="shared" si="70"/>
        <v>75.699360000000013</v>
      </c>
      <c r="AI132" s="51">
        <f t="shared" si="70"/>
        <v>113.54904000000002</v>
      </c>
      <c r="AJ132" s="51">
        <f t="shared" si="70"/>
        <v>151.39872000000003</v>
      </c>
      <c r="AK132" s="51">
        <f t="shared" si="70"/>
        <v>189.24840000000003</v>
      </c>
      <c r="AL132" s="51">
        <f t="shared" si="70"/>
        <v>378.49680000000006</v>
      </c>
      <c r="AM132" s="51">
        <f t="shared" si="70"/>
        <v>756.99360000000013</v>
      </c>
      <c r="AN132" s="51">
        <f t="shared" si="70"/>
        <v>1135.4904000000001</v>
      </c>
      <c r="AO132" s="51">
        <f t="shared" si="70"/>
        <v>1513.9872000000003</v>
      </c>
      <c r="AP132" s="51">
        <f t="shared" si="70"/>
        <v>1892.4840000000004</v>
      </c>
    </row>
    <row r="133" spans="1:42">
      <c r="A133" t="s">
        <v>781</v>
      </c>
      <c r="C133" t="s">
        <v>782</v>
      </c>
      <c r="D133" s="2" t="s">
        <v>616</v>
      </c>
      <c r="F133" s="73">
        <f t="shared" si="72"/>
        <v>0</v>
      </c>
      <c r="G133">
        <v>20</v>
      </c>
      <c r="H133" s="40">
        <v>0.46</v>
      </c>
      <c r="I133" s="40">
        <f t="shared" si="60"/>
        <v>9.2000000000000011</v>
      </c>
      <c r="J133" s="40">
        <f t="shared" si="68"/>
        <v>4.1399999999999999E-2</v>
      </c>
      <c r="L133" s="72">
        <v>44649</v>
      </c>
      <c r="M133" s="42">
        <f>SUM(J133:K133)+H133*$M$1</f>
        <v>0.54280000000000006</v>
      </c>
      <c r="N133" s="2" t="s">
        <v>79</v>
      </c>
      <c r="P133" s="32">
        <f t="shared" si="63"/>
        <v>1.0856000000000001</v>
      </c>
      <c r="Q133" s="32">
        <f t="shared" si="19"/>
        <v>9.7704000000000013E-2</v>
      </c>
      <c r="R133" s="292">
        <f t="shared" si="64"/>
        <v>1.1833040000000001</v>
      </c>
      <c r="T133" s="33">
        <f t="shared" si="65"/>
        <v>1.6284000000000001</v>
      </c>
      <c r="U133" s="33">
        <f t="shared" si="28"/>
        <v>0.130272</v>
      </c>
      <c r="V133" s="50">
        <f t="shared" si="66"/>
        <v>1.758672</v>
      </c>
      <c r="X133" s="51">
        <f t="shared" si="69"/>
        <v>1.758672</v>
      </c>
      <c r="Y133" s="51">
        <f t="shared" si="69"/>
        <v>3.517344</v>
      </c>
      <c r="Z133" s="51">
        <f t="shared" si="69"/>
        <v>5.2760160000000003</v>
      </c>
      <c r="AA133" s="51">
        <f t="shared" si="69"/>
        <v>7.0346880000000001</v>
      </c>
      <c r="AB133" s="51">
        <f t="shared" si="69"/>
        <v>8.7933599999999998</v>
      </c>
      <c r="AC133" s="51">
        <f t="shared" si="69"/>
        <v>10.552032000000001</v>
      </c>
      <c r="AD133" s="51">
        <f t="shared" si="69"/>
        <v>12.310703999999999</v>
      </c>
      <c r="AE133" s="51">
        <f t="shared" si="69"/>
        <v>14.069376</v>
      </c>
      <c r="AF133" s="51">
        <f t="shared" si="69"/>
        <v>15.828048000000001</v>
      </c>
      <c r="AG133" s="51">
        <f t="shared" si="69"/>
        <v>17.58672</v>
      </c>
      <c r="AH133" s="51">
        <f t="shared" si="70"/>
        <v>35.173439999999999</v>
      </c>
      <c r="AI133" s="51">
        <f t="shared" si="70"/>
        <v>52.760159999999999</v>
      </c>
      <c r="AJ133" s="51">
        <f t="shared" si="70"/>
        <v>70.346879999999999</v>
      </c>
      <c r="AK133" s="51">
        <f t="shared" si="70"/>
        <v>87.933599999999998</v>
      </c>
      <c r="AL133" s="51">
        <f t="shared" si="70"/>
        <v>175.8672</v>
      </c>
      <c r="AM133" s="51">
        <f t="shared" si="70"/>
        <v>351.73439999999999</v>
      </c>
      <c r="AN133" s="51">
        <f t="shared" si="70"/>
        <v>527.60159999999996</v>
      </c>
      <c r="AO133" s="51">
        <f t="shared" si="70"/>
        <v>703.46879999999999</v>
      </c>
      <c r="AP133" s="51">
        <f t="shared" si="70"/>
        <v>879.33600000000001</v>
      </c>
    </row>
    <row r="134" spans="1:42">
      <c r="A134" t="s">
        <v>783</v>
      </c>
      <c r="B134" s="29" t="s">
        <v>769</v>
      </c>
      <c r="C134" t="s">
        <v>784</v>
      </c>
      <c r="D134" s="2" t="s">
        <v>616</v>
      </c>
      <c r="F134" s="73">
        <f t="shared" si="72"/>
        <v>0</v>
      </c>
      <c r="G134">
        <v>1</v>
      </c>
      <c r="H134" s="40">
        <v>1.25</v>
      </c>
      <c r="I134" s="40">
        <f t="shared" si="60"/>
        <v>1.25</v>
      </c>
      <c r="J134" s="40">
        <f t="shared" si="68"/>
        <v>0.11249999999999999</v>
      </c>
      <c r="L134" s="72">
        <v>44629</v>
      </c>
      <c r="M134" s="42">
        <f t="shared" si="61"/>
        <v>1.4750000000000001</v>
      </c>
      <c r="N134" s="2" t="s">
        <v>122</v>
      </c>
      <c r="P134" s="32">
        <f t="shared" si="63"/>
        <v>2.95</v>
      </c>
      <c r="Q134" s="32">
        <f t="shared" si="19"/>
        <v>0.26550000000000001</v>
      </c>
      <c r="R134" s="292">
        <f t="shared" si="64"/>
        <v>3.2155</v>
      </c>
      <c r="T134" s="33">
        <f t="shared" si="65"/>
        <v>4.4250000000000007</v>
      </c>
      <c r="U134" s="33">
        <f t="shared" si="28"/>
        <v>0.35400000000000004</v>
      </c>
      <c r="V134" s="50">
        <f t="shared" si="66"/>
        <v>4.7790000000000008</v>
      </c>
      <c r="X134" s="51">
        <f t="shared" si="69"/>
        <v>4.7790000000000008</v>
      </c>
      <c r="Y134" s="51">
        <f t="shared" si="69"/>
        <v>9.5580000000000016</v>
      </c>
      <c r="Z134" s="51">
        <f t="shared" si="69"/>
        <v>14.337000000000003</v>
      </c>
      <c r="AA134" s="51">
        <f t="shared" si="69"/>
        <v>19.116000000000003</v>
      </c>
      <c r="AB134" s="51">
        <f t="shared" si="69"/>
        <v>23.895000000000003</v>
      </c>
      <c r="AC134" s="51">
        <f t="shared" si="69"/>
        <v>28.674000000000007</v>
      </c>
      <c r="AD134" s="51">
        <f t="shared" si="69"/>
        <v>33.453000000000003</v>
      </c>
      <c r="AE134" s="51">
        <f t="shared" si="69"/>
        <v>38.232000000000006</v>
      </c>
      <c r="AF134" s="51">
        <f t="shared" si="69"/>
        <v>43.01100000000001</v>
      </c>
      <c r="AG134" s="51">
        <f t="shared" si="69"/>
        <v>47.790000000000006</v>
      </c>
      <c r="AH134" s="51">
        <f t="shared" si="70"/>
        <v>95.580000000000013</v>
      </c>
      <c r="AI134" s="51">
        <f t="shared" si="70"/>
        <v>143.37000000000003</v>
      </c>
      <c r="AJ134" s="51">
        <f t="shared" si="70"/>
        <v>191.16000000000003</v>
      </c>
      <c r="AK134" s="51">
        <f t="shared" si="70"/>
        <v>238.95000000000005</v>
      </c>
      <c r="AL134" s="51">
        <f t="shared" si="70"/>
        <v>477.90000000000009</v>
      </c>
      <c r="AM134" s="51">
        <f t="shared" si="70"/>
        <v>955.80000000000018</v>
      </c>
      <c r="AN134" s="51">
        <f t="shared" si="70"/>
        <v>1433.7000000000003</v>
      </c>
      <c r="AO134" s="51">
        <f t="shared" si="70"/>
        <v>1911.6000000000004</v>
      </c>
      <c r="AP134" s="51">
        <f t="shared" si="70"/>
        <v>2389.5000000000005</v>
      </c>
    </row>
    <row r="135" spans="1:42">
      <c r="A135" t="s">
        <v>785</v>
      </c>
      <c r="C135" t="s">
        <v>786</v>
      </c>
      <c r="D135" s="2" t="s">
        <v>616</v>
      </c>
      <c r="E135" s="2">
        <v>70</v>
      </c>
      <c r="F135" s="73">
        <f t="shared" si="72"/>
        <v>80.5</v>
      </c>
      <c r="G135">
        <v>1</v>
      </c>
      <c r="H135" s="40">
        <v>1.1499999999999999</v>
      </c>
      <c r="I135" s="40">
        <f t="shared" si="60"/>
        <v>1.1499999999999999</v>
      </c>
      <c r="J135" s="40">
        <f t="shared" ref="J135:J144" si="74">I135*0.09</f>
        <v>0.10349999999999999</v>
      </c>
      <c r="L135" s="72">
        <v>44649</v>
      </c>
      <c r="M135" s="42">
        <f t="shared" si="61"/>
        <v>1.357</v>
      </c>
      <c r="N135" s="2" t="s">
        <v>122</v>
      </c>
      <c r="P135" s="32">
        <f t="shared" si="63"/>
        <v>2.714</v>
      </c>
      <c r="Q135" s="32">
        <f t="shared" si="19"/>
        <v>0.24425999999999998</v>
      </c>
      <c r="R135" s="292">
        <f t="shared" si="64"/>
        <v>2.9582600000000001</v>
      </c>
      <c r="T135" s="33">
        <f t="shared" si="65"/>
        <v>4.0709999999999997</v>
      </c>
      <c r="U135" s="33">
        <f t="shared" si="28"/>
        <v>0.32567999999999997</v>
      </c>
      <c r="V135" s="50">
        <f t="shared" si="66"/>
        <v>4.3966799999999999</v>
      </c>
      <c r="X135" s="51">
        <f t="shared" si="69"/>
        <v>4.3966799999999999</v>
      </c>
      <c r="Y135" s="51">
        <f t="shared" si="69"/>
        <v>8.7933599999999998</v>
      </c>
      <c r="Z135" s="51">
        <f t="shared" si="69"/>
        <v>13.19004</v>
      </c>
      <c r="AA135" s="51">
        <f t="shared" si="69"/>
        <v>17.58672</v>
      </c>
      <c r="AB135" s="51">
        <f t="shared" si="69"/>
        <v>21.9834</v>
      </c>
      <c r="AC135" s="51">
        <f t="shared" si="69"/>
        <v>26.38008</v>
      </c>
      <c r="AD135" s="51">
        <f t="shared" si="69"/>
        <v>30.776759999999999</v>
      </c>
      <c r="AE135" s="51">
        <f t="shared" si="69"/>
        <v>35.173439999999999</v>
      </c>
      <c r="AF135" s="51">
        <f t="shared" si="69"/>
        <v>39.570120000000003</v>
      </c>
      <c r="AG135" s="51">
        <f t="shared" si="69"/>
        <v>43.966799999999999</v>
      </c>
      <c r="AH135" s="51">
        <f t="shared" si="70"/>
        <v>87.933599999999998</v>
      </c>
      <c r="AI135" s="51">
        <f t="shared" si="70"/>
        <v>131.90039999999999</v>
      </c>
      <c r="AJ135" s="51">
        <f t="shared" si="70"/>
        <v>175.8672</v>
      </c>
      <c r="AK135" s="51">
        <f t="shared" si="70"/>
        <v>219.834</v>
      </c>
      <c r="AL135" s="51">
        <f t="shared" si="70"/>
        <v>439.66800000000001</v>
      </c>
      <c r="AM135" s="51">
        <f t="shared" si="70"/>
        <v>879.33600000000001</v>
      </c>
      <c r="AN135" s="51">
        <f t="shared" si="70"/>
        <v>1319.0039999999999</v>
      </c>
      <c r="AO135" s="51">
        <f t="shared" si="70"/>
        <v>1758.672</v>
      </c>
      <c r="AP135" s="51">
        <f t="shared" si="70"/>
        <v>2198.34</v>
      </c>
    </row>
    <row r="136" spans="1:42">
      <c r="A136" t="s">
        <v>787</v>
      </c>
      <c r="C136" t="s">
        <v>788</v>
      </c>
      <c r="D136" s="2" t="s">
        <v>616</v>
      </c>
      <c r="E136" s="2">
        <v>160</v>
      </c>
      <c r="F136" s="73">
        <f t="shared" si="72"/>
        <v>208</v>
      </c>
      <c r="G136">
        <v>1</v>
      </c>
      <c r="H136" s="40">
        <v>1.3</v>
      </c>
      <c r="I136" s="40">
        <f t="shared" si="60"/>
        <v>1.3</v>
      </c>
      <c r="J136" s="40">
        <f t="shared" si="74"/>
        <v>0.11699999999999999</v>
      </c>
      <c r="L136" s="72">
        <v>44797</v>
      </c>
      <c r="M136" s="42">
        <f t="shared" si="61"/>
        <v>1.5340000000000003</v>
      </c>
      <c r="N136" s="2" t="s">
        <v>122</v>
      </c>
      <c r="P136" s="32">
        <f t="shared" si="63"/>
        <v>3.0680000000000005</v>
      </c>
      <c r="Q136" s="32">
        <f t="shared" si="19"/>
        <v>0.27612000000000003</v>
      </c>
      <c r="R136" s="292">
        <f t="shared" si="64"/>
        <v>3.3441200000000006</v>
      </c>
      <c r="T136" s="33">
        <f t="shared" si="65"/>
        <v>4.6020000000000003</v>
      </c>
      <c r="U136" s="33">
        <f t="shared" si="28"/>
        <v>0.36816000000000004</v>
      </c>
      <c r="V136" s="50">
        <f t="shared" si="66"/>
        <v>4.9701599999999999</v>
      </c>
      <c r="X136" s="51">
        <f t="shared" ref="X136:AM158" si="75">$V136*X$3</f>
        <v>4.9701599999999999</v>
      </c>
      <c r="Y136" s="51">
        <f t="shared" si="75"/>
        <v>9.9403199999999998</v>
      </c>
      <c r="Z136" s="51">
        <f t="shared" si="75"/>
        <v>14.91048</v>
      </c>
      <c r="AA136" s="51">
        <f t="shared" si="75"/>
        <v>19.88064</v>
      </c>
      <c r="AB136" s="51">
        <f t="shared" si="75"/>
        <v>24.8508</v>
      </c>
      <c r="AC136" s="51">
        <f t="shared" si="75"/>
        <v>29.820959999999999</v>
      </c>
      <c r="AD136" s="51">
        <f t="shared" si="75"/>
        <v>34.791119999999999</v>
      </c>
      <c r="AE136" s="51">
        <f t="shared" si="75"/>
        <v>39.761279999999999</v>
      </c>
      <c r="AF136" s="51">
        <f t="shared" si="75"/>
        <v>44.731439999999999</v>
      </c>
      <c r="AG136" s="51">
        <f t="shared" si="75"/>
        <v>49.701599999999999</v>
      </c>
      <c r="AH136" s="51">
        <f t="shared" si="70"/>
        <v>99.403199999999998</v>
      </c>
      <c r="AI136" s="51">
        <f t="shared" si="70"/>
        <v>149.10480000000001</v>
      </c>
      <c r="AJ136" s="51">
        <f t="shared" si="70"/>
        <v>198.8064</v>
      </c>
      <c r="AK136" s="51">
        <f t="shared" si="70"/>
        <v>248.50799999999998</v>
      </c>
      <c r="AL136" s="51">
        <f t="shared" si="70"/>
        <v>497.01599999999996</v>
      </c>
      <c r="AM136" s="51">
        <f t="shared" si="70"/>
        <v>994.03199999999993</v>
      </c>
      <c r="AN136" s="51">
        <f t="shared" si="70"/>
        <v>1491.048</v>
      </c>
      <c r="AO136" s="51">
        <f t="shared" si="70"/>
        <v>1988.0639999999999</v>
      </c>
      <c r="AP136" s="51">
        <f t="shared" si="70"/>
        <v>2485.08</v>
      </c>
    </row>
    <row r="137" spans="1:42">
      <c r="A137" t="s">
        <v>789</v>
      </c>
      <c r="B137" s="29" t="s">
        <v>790</v>
      </c>
      <c r="C137" t="s">
        <v>791</v>
      </c>
      <c r="D137" s="2" t="s">
        <v>616</v>
      </c>
      <c r="E137" s="2">
        <v>18</v>
      </c>
      <c r="F137" s="73">
        <f>E137*12*I137</f>
        <v>416.88</v>
      </c>
      <c r="G137">
        <v>1</v>
      </c>
      <c r="H137" s="40">
        <v>1.93</v>
      </c>
      <c r="I137" s="40">
        <f t="shared" si="60"/>
        <v>1.93</v>
      </c>
      <c r="J137" s="40">
        <f t="shared" si="74"/>
        <v>0.17369999999999999</v>
      </c>
      <c r="L137" s="72">
        <v>44839</v>
      </c>
      <c r="M137" s="42">
        <f t="shared" si="61"/>
        <v>2.2774000000000001</v>
      </c>
      <c r="N137" s="2" t="s">
        <v>79</v>
      </c>
      <c r="P137" s="32">
        <f t="shared" si="63"/>
        <v>4.5548000000000002</v>
      </c>
      <c r="Q137" s="32">
        <f t="shared" si="19"/>
        <v>0.40993200000000002</v>
      </c>
      <c r="R137" s="292">
        <f t="shared" si="64"/>
        <v>4.9647320000000006</v>
      </c>
      <c r="T137" s="33">
        <f t="shared" si="65"/>
        <v>6.8322000000000003</v>
      </c>
      <c r="U137" s="33">
        <f t="shared" si="28"/>
        <v>0.54657600000000006</v>
      </c>
      <c r="V137" s="50">
        <f t="shared" si="66"/>
        <v>7.3787760000000002</v>
      </c>
      <c r="X137" s="51">
        <f t="shared" si="75"/>
        <v>7.3787760000000002</v>
      </c>
      <c r="Y137" s="51">
        <f t="shared" si="75"/>
        <v>14.757552</v>
      </c>
      <c r="Z137" s="51">
        <f t="shared" si="75"/>
        <v>22.136327999999999</v>
      </c>
      <c r="AA137" s="51">
        <f t="shared" si="75"/>
        <v>29.515104000000001</v>
      </c>
      <c r="AB137" s="51">
        <f t="shared" si="75"/>
        <v>36.893880000000003</v>
      </c>
      <c r="AC137" s="51">
        <f t="shared" si="75"/>
        <v>44.272655999999998</v>
      </c>
      <c r="AD137" s="51">
        <f t="shared" si="75"/>
        <v>51.651432</v>
      </c>
      <c r="AE137" s="51">
        <f t="shared" si="75"/>
        <v>59.030208000000002</v>
      </c>
      <c r="AF137" s="51">
        <f t="shared" si="75"/>
        <v>66.408984000000004</v>
      </c>
      <c r="AG137" s="51">
        <f t="shared" si="75"/>
        <v>73.787760000000006</v>
      </c>
      <c r="AH137" s="51">
        <f t="shared" si="75"/>
        <v>147.57552000000001</v>
      </c>
      <c r="AI137" s="51">
        <f t="shared" si="75"/>
        <v>221.36328</v>
      </c>
      <c r="AJ137" s="51">
        <f t="shared" si="75"/>
        <v>295.15104000000002</v>
      </c>
      <c r="AK137" s="51">
        <f t="shared" ref="AK137:AP137" si="76">$V137*AK$3</f>
        <v>368.93880000000001</v>
      </c>
      <c r="AL137" s="51">
        <f t="shared" si="76"/>
        <v>737.87760000000003</v>
      </c>
      <c r="AM137" s="51">
        <f t="shared" si="76"/>
        <v>1475.7552000000001</v>
      </c>
      <c r="AN137" s="51">
        <f t="shared" si="76"/>
        <v>2213.6327999999999</v>
      </c>
      <c r="AO137" s="51">
        <f t="shared" si="76"/>
        <v>2951.5104000000001</v>
      </c>
      <c r="AP137" s="51">
        <f t="shared" si="76"/>
        <v>3689.3879999999999</v>
      </c>
    </row>
    <row r="138" spans="1:42">
      <c r="A138" t="s">
        <v>792</v>
      </c>
      <c r="C138" t="s">
        <v>793</v>
      </c>
      <c r="D138" s="2" t="s">
        <v>616</v>
      </c>
      <c r="E138" s="2">
        <v>163</v>
      </c>
      <c r="L138" s="72"/>
      <c r="M138" s="42"/>
      <c r="Q138" s="32"/>
      <c r="R138" s="292"/>
      <c r="T138" s="33"/>
      <c r="U138" s="33"/>
      <c r="V138" s="50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</row>
    <row r="139" spans="1:42">
      <c r="A139" t="s">
        <v>794</v>
      </c>
      <c r="B139" s="29" t="s">
        <v>790</v>
      </c>
      <c r="C139" t="s">
        <v>795</v>
      </c>
      <c r="D139" s="2" t="s">
        <v>616</v>
      </c>
      <c r="E139" s="2">
        <v>20</v>
      </c>
      <c r="F139" s="73">
        <f>E139*12*I139</f>
        <v>436.8</v>
      </c>
      <c r="G139">
        <v>1</v>
      </c>
      <c r="H139" s="40">
        <v>1.82</v>
      </c>
      <c r="I139" s="40">
        <f t="shared" si="60"/>
        <v>1.82</v>
      </c>
      <c r="J139" s="40">
        <f t="shared" ref="J139:J141" si="77">H139*0.09</f>
        <v>0.1638</v>
      </c>
      <c r="L139" s="72">
        <v>44839</v>
      </c>
      <c r="M139" s="42">
        <f t="shared" si="61"/>
        <v>2.1476000000000002</v>
      </c>
      <c r="N139" s="2" t="s">
        <v>79</v>
      </c>
      <c r="P139" s="32">
        <f t="shared" si="63"/>
        <v>4.2952000000000004</v>
      </c>
      <c r="Q139" s="32">
        <f t="shared" si="19"/>
        <v>0.38656800000000002</v>
      </c>
      <c r="R139" s="292">
        <f t="shared" si="64"/>
        <v>4.6817679999999999</v>
      </c>
      <c r="T139" s="33">
        <f t="shared" si="65"/>
        <v>6.4428000000000001</v>
      </c>
      <c r="U139" s="33">
        <f t="shared" si="28"/>
        <v>0.51542399999999999</v>
      </c>
      <c r="V139" s="50">
        <f t="shared" si="66"/>
        <v>6.9582240000000004</v>
      </c>
      <c r="X139" s="51">
        <f t="shared" si="75"/>
        <v>6.9582240000000004</v>
      </c>
      <c r="Y139" s="51">
        <f t="shared" si="75"/>
        <v>13.916448000000001</v>
      </c>
      <c r="Z139" s="51">
        <f t="shared" si="75"/>
        <v>20.874672</v>
      </c>
      <c r="AA139" s="51">
        <f t="shared" si="75"/>
        <v>27.832896000000002</v>
      </c>
      <c r="AB139" s="51">
        <f t="shared" si="75"/>
        <v>34.791119999999999</v>
      </c>
      <c r="AC139" s="51">
        <f t="shared" si="75"/>
        <v>41.749344000000001</v>
      </c>
      <c r="AD139" s="51">
        <f t="shared" si="75"/>
        <v>48.707568000000002</v>
      </c>
      <c r="AE139" s="51">
        <f t="shared" si="75"/>
        <v>55.665792000000003</v>
      </c>
      <c r="AF139" s="51">
        <f t="shared" si="75"/>
        <v>62.624016000000005</v>
      </c>
      <c r="AG139" s="51">
        <f t="shared" si="75"/>
        <v>69.582239999999999</v>
      </c>
      <c r="AH139" s="51">
        <f t="shared" si="75"/>
        <v>139.16448</v>
      </c>
      <c r="AI139" s="51">
        <f t="shared" si="75"/>
        <v>208.74672000000001</v>
      </c>
      <c r="AJ139" s="51">
        <f t="shared" si="75"/>
        <v>278.32896</v>
      </c>
      <c r="AK139" s="51">
        <f t="shared" si="75"/>
        <v>347.91120000000001</v>
      </c>
      <c r="AL139" s="51">
        <f t="shared" si="75"/>
        <v>695.82240000000002</v>
      </c>
      <c r="AM139" s="51">
        <f t="shared" si="75"/>
        <v>1391.6448</v>
      </c>
      <c r="AN139" s="51">
        <f t="shared" ref="AN139:AP139" si="78">$V139*AN$3</f>
        <v>2087.4672</v>
      </c>
      <c r="AO139" s="51">
        <f t="shared" si="78"/>
        <v>2783.2896000000001</v>
      </c>
      <c r="AP139" s="51">
        <f t="shared" si="78"/>
        <v>3479.1120000000001</v>
      </c>
    </row>
    <row r="140" spans="1:42">
      <c r="A140" t="s">
        <v>796</v>
      </c>
      <c r="C140" t="s">
        <v>797</v>
      </c>
      <c r="D140" s="2" t="s">
        <v>616</v>
      </c>
      <c r="F140" s="73">
        <f t="shared" si="72"/>
        <v>0</v>
      </c>
      <c r="G140">
        <v>24</v>
      </c>
      <c r="H140" s="40">
        <v>2.39</v>
      </c>
      <c r="I140" s="40">
        <f t="shared" si="60"/>
        <v>57.36</v>
      </c>
      <c r="J140" s="40">
        <f t="shared" si="77"/>
        <v>0.21510000000000001</v>
      </c>
      <c r="L140" s="72">
        <v>44797</v>
      </c>
      <c r="M140" s="42">
        <f t="shared" si="61"/>
        <v>2.8202000000000003</v>
      </c>
      <c r="N140" s="2" t="s">
        <v>79</v>
      </c>
      <c r="P140" s="32">
        <f t="shared" si="63"/>
        <v>5.6404000000000005</v>
      </c>
      <c r="Q140" s="32">
        <f t="shared" si="19"/>
        <v>0.50763599999999998</v>
      </c>
      <c r="R140" s="292">
        <f t="shared" si="64"/>
        <v>6.1480360000000003</v>
      </c>
      <c r="T140" s="33">
        <f t="shared" si="65"/>
        <v>8.4606000000000012</v>
      </c>
      <c r="U140" s="33">
        <f t="shared" si="28"/>
        <v>0.67684800000000012</v>
      </c>
      <c r="V140" s="50">
        <f t="shared" si="66"/>
        <v>9.1374480000000009</v>
      </c>
      <c r="X140" s="51">
        <f t="shared" si="75"/>
        <v>9.1374480000000009</v>
      </c>
      <c r="Y140" s="51">
        <f t="shared" si="75"/>
        <v>18.274896000000002</v>
      </c>
      <c r="Z140" s="51">
        <f t="shared" si="75"/>
        <v>27.412344000000004</v>
      </c>
      <c r="AA140" s="51">
        <f t="shared" si="75"/>
        <v>36.549792000000004</v>
      </c>
      <c r="AB140" s="51">
        <f t="shared" si="75"/>
        <v>45.687240000000003</v>
      </c>
      <c r="AC140" s="51">
        <f t="shared" si="75"/>
        <v>54.824688000000009</v>
      </c>
      <c r="AD140" s="51">
        <f t="shared" si="75"/>
        <v>63.962136000000008</v>
      </c>
      <c r="AE140" s="51">
        <f t="shared" si="75"/>
        <v>73.099584000000007</v>
      </c>
      <c r="AF140" s="51">
        <f t="shared" si="75"/>
        <v>82.237032000000013</v>
      </c>
      <c r="AG140" s="51">
        <f t="shared" si="75"/>
        <v>91.374480000000005</v>
      </c>
      <c r="AH140" s="51">
        <f t="shared" si="70"/>
        <v>182.74896000000001</v>
      </c>
      <c r="AI140" s="51">
        <f t="shared" si="70"/>
        <v>274.12344000000002</v>
      </c>
      <c r="AJ140" s="51">
        <f t="shared" si="70"/>
        <v>365.49792000000002</v>
      </c>
      <c r="AK140" s="51">
        <f t="shared" si="70"/>
        <v>456.87240000000003</v>
      </c>
      <c r="AL140" s="51">
        <f t="shared" si="70"/>
        <v>913.74480000000005</v>
      </c>
      <c r="AM140" s="51">
        <f t="shared" si="70"/>
        <v>1827.4896000000001</v>
      </c>
      <c r="AN140" s="51">
        <f t="shared" si="70"/>
        <v>2741.2344000000003</v>
      </c>
      <c r="AO140" s="51">
        <f t="shared" si="70"/>
        <v>3654.9792000000002</v>
      </c>
      <c r="AP140" s="51">
        <f t="shared" si="70"/>
        <v>4568.7240000000002</v>
      </c>
    </row>
    <row r="141" spans="1:42">
      <c r="A141" t="s">
        <v>798</v>
      </c>
      <c r="C141" t="s">
        <v>799</v>
      </c>
      <c r="D141" s="2" t="s">
        <v>616</v>
      </c>
      <c r="G141">
        <v>1</v>
      </c>
      <c r="H141" s="40">
        <v>1.55</v>
      </c>
      <c r="I141" s="40">
        <f t="shared" si="60"/>
        <v>1.55</v>
      </c>
      <c r="J141" s="40">
        <f t="shared" si="77"/>
        <v>0.13949999999999999</v>
      </c>
      <c r="K141" s="40">
        <v>6.25E-2</v>
      </c>
      <c r="L141" s="72">
        <v>44797</v>
      </c>
      <c r="M141" s="42">
        <f t="shared" si="61"/>
        <v>1.8915000000000002</v>
      </c>
      <c r="N141" s="2" t="s">
        <v>122</v>
      </c>
      <c r="P141" s="32">
        <f t="shared" si="63"/>
        <v>3.7830000000000004</v>
      </c>
      <c r="Q141" s="32">
        <f t="shared" si="19"/>
        <v>0.34046999999999999</v>
      </c>
      <c r="R141" s="292">
        <f t="shared" si="64"/>
        <v>4.1234700000000002</v>
      </c>
      <c r="T141" s="33">
        <f t="shared" si="65"/>
        <v>5.6745000000000001</v>
      </c>
      <c r="U141" s="33">
        <f t="shared" si="28"/>
        <v>0.45396000000000003</v>
      </c>
      <c r="V141" s="50">
        <f t="shared" si="66"/>
        <v>6.1284600000000005</v>
      </c>
      <c r="X141" s="51">
        <f t="shared" si="75"/>
        <v>6.1284600000000005</v>
      </c>
      <c r="Y141" s="51">
        <f t="shared" si="75"/>
        <v>12.256920000000001</v>
      </c>
      <c r="Z141" s="51">
        <f t="shared" si="75"/>
        <v>18.385380000000001</v>
      </c>
      <c r="AA141" s="51">
        <f t="shared" si="75"/>
        <v>24.513840000000002</v>
      </c>
      <c r="AB141" s="51">
        <f t="shared" si="75"/>
        <v>30.642300000000002</v>
      </c>
      <c r="AC141" s="51">
        <f t="shared" si="75"/>
        <v>36.770760000000003</v>
      </c>
      <c r="AD141" s="51">
        <f t="shared" si="75"/>
        <v>42.89922</v>
      </c>
      <c r="AE141" s="51">
        <f t="shared" si="75"/>
        <v>49.027680000000004</v>
      </c>
      <c r="AF141" s="51">
        <f t="shared" si="75"/>
        <v>55.156140000000008</v>
      </c>
      <c r="AG141" s="51">
        <f t="shared" si="75"/>
        <v>61.284600000000005</v>
      </c>
      <c r="AH141" s="51">
        <f t="shared" si="70"/>
        <v>122.56920000000001</v>
      </c>
      <c r="AI141" s="51">
        <f t="shared" si="70"/>
        <v>183.85380000000001</v>
      </c>
      <c r="AJ141" s="51">
        <f t="shared" si="70"/>
        <v>245.13840000000002</v>
      </c>
      <c r="AK141" s="51">
        <f t="shared" si="70"/>
        <v>306.423</v>
      </c>
      <c r="AL141" s="51">
        <f t="shared" si="70"/>
        <v>612.846</v>
      </c>
      <c r="AM141" s="51">
        <f t="shared" si="70"/>
        <v>1225.692</v>
      </c>
      <c r="AN141" s="51">
        <f t="shared" si="70"/>
        <v>1838.5380000000002</v>
      </c>
      <c r="AO141" s="51">
        <f t="shared" si="70"/>
        <v>2451.384</v>
      </c>
      <c r="AP141" s="51">
        <f t="shared" si="70"/>
        <v>3064.23</v>
      </c>
    </row>
    <row r="142" spans="1:42">
      <c r="A142" t="s">
        <v>800</v>
      </c>
      <c r="C142" t="s">
        <v>801</v>
      </c>
      <c r="D142" s="2" t="s">
        <v>616</v>
      </c>
      <c r="G142">
        <v>1</v>
      </c>
      <c r="H142" s="40">
        <v>1.55</v>
      </c>
      <c r="I142" s="40">
        <f t="shared" si="60"/>
        <v>1.55</v>
      </c>
      <c r="J142" s="40">
        <f t="shared" si="74"/>
        <v>0.13949999999999999</v>
      </c>
      <c r="K142" s="40">
        <v>6.25E-2</v>
      </c>
      <c r="L142" s="72">
        <v>44880</v>
      </c>
      <c r="M142" s="42">
        <f t="shared" si="61"/>
        <v>1.8915000000000002</v>
      </c>
      <c r="N142" s="2" t="s">
        <v>122</v>
      </c>
      <c r="P142" s="32">
        <f t="shared" ref="P142" si="79">M142*$P$2</f>
        <v>3.7830000000000004</v>
      </c>
      <c r="Q142" s="32">
        <f t="shared" ref="Q142" si="80">P142*0.09</f>
        <v>0.34046999999999999</v>
      </c>
      <c r="R142" s="292">
        <f t="shared" ref="R142" si="81">P142+Q142</f>
        <v>4.1234700000000002</v>
      </c>
      <c r="T142" s="33">
        <f t="shared" ref="T142" si="82">M142*$T$2</f>
        <v>5.6745000000000001</v>
      </c>
      <c r="U142" s="33">
        <f t="shared" ref="U142" si="83">T142*0.08</f>
        <v>0.45396000000000003</v>
      </c>
      <c r="V142" s="50">
        <f t="shared" ref="V142" si="84">T142+U142</f>
        <v>6.1284600000000005</v>
      </c>
      <c r="X142" s="51">
        <f t="shared" ref="X142:AP143" si="85">$V142*X$3</f>
        <v>6.1284600000000005</v>
      </c>
      <c r="Y142" s="51">
        <f t="shared" si="85"/>
        <v>12.256920000000001</v>
      </c>
      <c r="Z142" s="51">
        <f t="shared" si="85"/>
        <v>18.385380000000001</v>
      </c>
      <c r="AA142" s="51">
        <f t="shared" si="85"/>
        <v>24.513840000000002</v>
      </c>
      <c r="AB142" s="51">
        <f t="shared" si="85"/>
        <v>30.642300000000002</v>
      </c>
      <c r="AC142" s="51">
        <f t="shared" si="85"/>
        <v>36.770760000000003</v>
      </c>
      <c r="AD142" s="51">
        <f t="shared" si="85"/>
        <v>42.89922</v>
      </c>
      <c r="AE142" s="51">
        <f t="shared" si="85"/>
        <v>49.027680000000004</v>
      </c>
      <c r="AF142" s="51">
        <f t="shared" si="85"/>
        <v>55.156140000000008</v>
      </c>
      <c r="AG142" s="51">
        <f t="shared" si="85"/>
        <v>61.284600000000005</v>
      </c>
      <c r="AH142" s="51">
        <f t="shared" si="85"/>
        <v>122.56920000000001</v>
      </c>
      <c r="AI142" s="51">
        <f t="shared" si="85"/>
        <v>183.85380000000001</v>
      </c>
      <c r="AJ142" s="51">
        <f t="shared" si="85"/>
        <v>245.13840000000002</v>
      </c>
      <c r="AK142" s="51">
        <f t="shared" si="85"/>
        <v>306.423</v>
      </c>
      <c r="AL142" s="51">
        <f t="shared" si="85"/>
        <v>612.846</v>
      </c>
      <c r="AM142" s="51">
        <f t="shared" si="85"/>
        <v>1225.692</v>
      </c>
      <c r="AN142" s="51">
        <f t="shared" si="85"/>
        <v>1838.5380000000002</v>
      </c>
      <c r="AO142" s="51">
        <f t="shared" si="85"/>
        <v>2451.384</v>
      </c>
      <c r="AP142" s="51">
        <f t="shared" si="85"/>
        <v>3064.23</v>
      </c>
    </row>
    <row r="143" spans="1:42">
      <c r="A143" t="s">
        <v>802</v>
      </c>
      <c r="C143" t="s">
        <v>803</v>
      </c>
      <c r="D143" s="2" t="s">
        <v>616</v>
      </c>
      <c r="G143">
        <v>1</v>
      </c>
      <c r="H143" s="40">
        <v>1.55</v>
      </c>
      <c r="I143" s="40">
        <f t="shared" si="60"/>
        <v>1.55</v>
      </c>
      <c r="J143" s="40">
        <f t="shared" si="74"/>
        <v>0.13949999999999999</v>
      </c>
      <c r="K143" s="40">
        <v>6.25E-2</v>
      </c>
      <c r="L143" s="72">
        <v>44880</v>
      </c>
      <c r="M143" s="42">
        <f t="shared" si="61"/>
        <v>1.8915000000000002</v>
      </c>
      <c r="N143" s="2" t="s">
        <v>122</v>
      </c>
      <c r="P143" s="32">
        <f t="shared" ref="P143" si="86">M143*$P$2</f>
        <v>3.7830000000000004</v>
      </c>
      <c r="Q143" s="32">
        <f t="shared" ref="Q143" si="87">P143*0.09</f>
        <v>0.34046999999999999</v>
      </c>
      <c r="R143" s="292">
        <f t="shared" ref="R143" si="88">P143+Q143</f>
        <v>4.1234700000000002</v>
      </c>
      <c r="T143" s="33">
        <f t="shared" ref="T143" si="89">M143*$T$2</f>
        <v>5.6745000000000001</v>
      </c>
      <c r="U143" s="33">
        <f t="shared" ref="U143" si="90">T143*0.08</f>
        <v>0.45396000000000003</v>
      </c>
      <c r="V143" s="50">
        <f t="shared" ref="V143" si="91">T143+U143</f>
        <v>6.1284600000000005</v>
      </c>
      <c r="X143" s="51">
        <f t="shared" si="85"/>
        <v>6.1284600000000005</v>
      </c>
      <c r="Y143" s="51">
        <f t="shared" si="85"/>
        <v>12.256920000000001</v>
      </c>
      <c r="Z143" s="51">
        <f t="shared" si="85"/>
        <v>18.385380000000001</v>
      </c>
      <c r="AA143" s="51">
        <f t="shared" si="85"/>
        <v>24.513840000000002</v>
      </c>
      <c r="AB143" s="51">
        <f t="shared" si="85"/>
        <v>30.642300000000002</v>
      </c>
      <c r="AC143" s="51">
        <f t="shared" si="85"/>
        <v>36.770760000000003</v>
      </c>
      <c r="AD143" s="51">
        <f t="shared" si="85"/>
        <v>42.89922</v>
      </c>
      <c r="AE143" s="51">
        <f t="shared" si="85"/>
        <v>49.027680000000004</v>
      </c>
      <c r="AF143" s="51">
        <f t="shared" si="85"/>
        <v>55.156140000000008</v>
      </c>
      <c r="AG143" s="51">
        <f t="shared" si="85"/>
        <v>61.284600000000005</v>
      </c>
      <c r="AH143" s="51">
        <f t="shared" si="85"/>
        <v>122.56920000000001</v>
      </c>
      <c r="AI143" s="51">
        <f t="shared" si="85"/>
        <v>183.85380000000001</v>
      </c>
      <c r="AJ143" s="51">
        <f t="shared" si="85"/>
        <v>245.13840000000002</v>
      </c>
      <c r="AK143" s="51">
        <f t="shared" si="85"/>
        <v>306.423</v>
      </c>
      <c r="AL143" s="51">
        <f t="shared" si="85"/>
        <v>612.846</v>
      </c>
      <c r="AM143" s="51">
        <f t="shared" si="85"/>
        <v>1225.692</v>
      </c>
      <c r="AN143" s="51">
        <f t="shared" si="85"/>
        <v>1838.5380000000002</v>
      </c>
      <c r="AO143" s="51">
        <f t="shared" si="85"/>
        <v>2451.384</v>
      </c>
      <c r="AP143" s="51">
        <f t="shared" si="85"/>
        <v>3064.23</v>
      </c>
    </row>
    <row r="144" spans="1:42">
      <c r="A144" t="s">
        <v>804</v>
      </c>
      <c r="C144" t="s">
        <v>805</v>
      </c>
      <c r="D144" s="2" t="s">
        <v>616</v>
      </c>
      <c r="E144" s="2">
        <v>24</v>
      </c>
      <c r="G144">
        <v>20</v>
      </c>
      <c r="J144" s="40">
        <f t="shared" si="74"/>
        <v>0</v>
      </c>
      <c r="L144" s="72"/>
      <c r="M144" s="42"/>
      <c r="Q144" s="32"/>
      <c r="R144" s="292"/>
      <c r="T144" s="33"/>
      <c r="U144" s="33"/>
      <c r="V144" s="50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</row>
    <row r="145" spans="1:42">
      <c r="A145" t="s">
        <v>806</v>
      </c>
      <c r="C145" t="s">
        <v>807</v>
      </c>
      <c r="D145" s="2" t="s">
        <v>616</v>
      </c>
      <c r="G145">
        <v>30</v>
      </c>
      <c r="H145" s="40">
        <v>2.5499999999999998</v>
      </c>
      <c r="I145" s="40">
        <f t="shared" si="60"/>
        <v>76.5</v>
      </c>
      <c r="J145" s="40">
        <f t="shared" ref="J145:J148" si="92">H145*0.09</f>
        <v>0.22949999999999998</v>
      </c>
      <c r="L145" s="72">
        <v>44804</v>
      </c>
      <c r="M145" s="42">
        <f t="shared" si="61"/>
        <v>3.0089999999999999</v>
      </c>
      <c r="N145" s="2" t="s">
        <v>79</v>
      </c>
      <c r="P145" s="32">
        <f t="shared" si="63"/>
        <v>6.0179999999999998</v>
      </c>
      <c r="Q145" s="32">
        <f t="shared" si="19"/>
        <v>0.54161999999999999</v>
      </c>
      <c r="R145" s="292">
        <f t="shared" si="64"/>
        <v>6.5596199999999998</v>
      </c>
      <c r="T145" s="33">
        <f t="shared" si="65"/>
        <v>9.0269999999999992</v>
      </c>
      <c r="U145" s="33">
        <f t="shared" si="28"/>
        <v>0.72215999999999991</v>
      </c>
      <c r="V145" s="50">
        <f t="shared" si="66"/>
        <v>9.7491599999999998</v>
      </c>
      <c r="X145" s="51">
        <f t="shared" si="75"/>
        <v>9.7491599999999998</v>
      </c>
      <c r="Y145" s="51">
        <f t="shared" si="75"/>
        <v>19.49832</v>
      </c>
      <c r="Z145" s="51">
        <f t="shared" si="75"/>
        <v>29.247479999999999</v>
      </c>
      <c r="AA145" s="51">
        <f t="shared" si="75"/>
        <v>38.996639999999999</v>
      </c>
      <c r="AB145" s="51">
        <f t="shared" si="75"/>
        <v>48.745800000000003</v>
      </c>
      <c r="AC145" s="51">
        <f t="shared" si="75"/>
        <v>58.494959999999999</v>
      </c>
      <c r="AD145" s="51">
        <f t="shared" si="75"/>
        <v>68.244119999999995</v>
      </c>
      <c r="AE145" s="51">
        <f t="shared" si="75"/>
        <v>77.993279999999999</v>
      </c>
      <c r="AF145" s="51">
        <f t="shared" si="75"/>
        <v>87.742440000000002</v>
      </c>
      <c r="AG145" s="51">
        <f t="shared" si="75"/>
        <v>97.491600000000005</v>
      </c>
      <c r="AH145" s="51">
        <f t="shared" si="70"/>
        <v>194.98320000000001</v>
      </c>
      <c r="AI145" s="51">
        <f t="shared" si="70"/>
        <v>292.47480000000002</v>
      </c>
      <c r="AJ145" s="51">
        <f t="shared" si="70"/>
        <v>389.96640000000002</v>
      </c>
      <c r="AK145" s="51">
        <f t="shared" si="70"/>
        <v>487.45799999999997</v>
      </c>
      <c r="AL145" s="51">
        <f t="shared" si="70"/>
        <v>974.91599999999994</v>
      </c>
      <c r="AM145" s="51">
        <f t="shared" si="70"/>
        <v>1949.8319999999999</v>
      </c>
      <c r="AN145" s="51">
        <f t="shared" si="70"/>
        <v>2924.748</v>
      </c>
      <c r="AO145" s="51">
        <f t="shared" si="70"/>
        <v>3899.6639999999998</v>
      </c>
      <c r="AP145" s="51">
        <f t="shared" si="70"/>
        <v>4874.58</v>
      </c>
    </row>
    <row r="146" spans="1:42">
      <c r="A146" t="s">
        <v>808</v>
      </c>
      <c r="C146" t="s">
        <v>809</v>
      </c>
      <c r="D146" s="2" t="s">
        <v>616</v>
      </c>
      <c r="G146">
        <v>30</v>
      </c>
      <c r="H146" s="40">
        <v>2.41</v>
      </c>
      <c r="I146" s="40">
        <f t="shared" si="60"/>
        <v>72.300000000000011</v>
      </c>
      <c r="J146" s="40">
        <f t="shared" si="92"/>
        <v>0.21690000000000001</v>
      </c>
      <c r="L146" s="72">
        <v>44804</v>
      </c>
      <c r="M146" s="42">
        <f t="shared" si="61"/>
        <v>2.8438000000000003</v>
      </c>
      <c r="N146" s="2" t="s">
        <v>79</v>
      </c>
      <c r="P146" s="32">
        <f t="shared" si="63"/>
        <v>5.6876000000000007</v>
      </c>
      <c r="Q146" s="32">
        <f t="shared" si="19"/>
        <v>0.51188400000000001</v>
      </c>
      <c r="R146" s="292">
        <f t="shared" si="64"/>
        <v>6.1994840000000009</v>
      </c>
      <c r="T146" s="33">
        <f t="shared" si="65"/>
        <v>8.5314000000000014</v>
      </c>
      <c r="U146" s="33">
        <f t="shared" si="28"/>
        <v>0.68251200000000012</v>
      </c>
      <c r="V146" s="50">
        <f t="shared" si="66"/>
        <v>9.2139120000000023</v>
      </c>
      <c r="X146" s="51">
        <f t="shared" si="75"/>
        <v>9.2139120000000023</v>
      </c>
      <c r="Y146" s="51">
        <f t="shared" si="75"/>
        <v>18.427824000000005</v>
      </c>
      <c r="Z146" s="51">
        <f t="shared" si="75"/>
        <v>27.641736000000009</v>
      </c>
      <c r="AA146" s="51">
        <f t="shared" si="75"/>
        <v>36.855648000000009</v>
      </c>
      <c r="AB146" s="51">
        <f t="shared" si="75"/>
        <v>46.06956000000001</v>
      </c>
      <c r="AC146" s="51">
        <f t="shared" si="75"/>
        <v>55.283472000000017</v>
      </c>
      <c r="AD146" s="51">
        <f t="shared" si="75"/>
        <v>64.497384000000011</v>
      </c>
      <c r="AE146" s="51">
        <f t="shared" si="75"/>
        <v>73.711296000000019</v>
      </c>
      <c r="AF146" s="51">
        <f t="shared" si="75"/>
        <v>82.925208000000026</v>
      </c>
      <c r="AG146" s="51">
        <f t="shared" si="75"/>
        <v>92.13912000000002</v>
      </c>
      <c r="AH146" s="51">
        <f t="shared" si="70"/>
        <v>184.27824000000004</v>
      </c>
      <c r="AI146" s="51">
        <f t="shared" si="70"/>
        <v>276.41736000000009</v>
      </c>
      <c r="AJ146" s="51">
        <f t="shared" si="70"/>
        <v>368.55648000000008</v>
      </c>
      <c r="AK146" s="51">
        <f t="shared" si="70"/>
        <v>460.69560000000013</v>
      </c>
      <c r="AL146" s="51">
        <f t="shared" si="70"/>
        <v>921.39120000000025</v>
      </c>
      <c r="AM146" s="51">
        <f t="shared" si="70"/>
        <v>1842.7824000000005</v>
      </c>
      <c r="AN146" s="51">
        <f t="shared" ref="AN146:AP162" si="93">$V146*AN$3</f>
        <v>2764.1736000000005</v>
      </c>
      <c r="AO146" s="51">
        <f t="shared" si="93"/>
        <v>3685.564800000001</v>
      </c>
      <c r="AP146" s="51">
        <f t="shared" si="93"/>
        <v>4606.956000000001</v>
      </c>
    </row>
    <row r="147" spans="1:42">
      <c r="A147" t="s">
        <v>810</v>
      </c>
      <c r="C147" t="s">
        <v>811</v>
      </c>
      <c r="D147" s="2" t="s">
        <v>616</v>
      </c>
      <c r="G147">
        <v>30</v>
      </c>
      <c r="H147" s="40">
        <v>4.37</v>
      </c>
      <c r="I147" s="40">
        <f>G147*H147</f>
        <v>131.1</v>
      </c>
      <c r="J147" s="40">
        <f t="shared" si="92"/>
        <v>0.39329999999999998</v>
      </c>
      <c r="L147" s="72">
        <v>44804</v>
      </c>
      <c r="M147" s="42">
        <f t="shared" si="61"/>
        <v>5.1566000000000001</v>
      </c>
      <c r="N147" s="2" t="s">
        <v>79</v>
      </c>
      <c r="P147" s="32">
        <f t="shared" si="63"/>
        <v>10.3132</v>
      </c>
      <c r="Q147" s="32">
        <f t="shared" si="19"/>
        <v>0.92818800000000001</v>
      </c>
      <c r="R147" s="292">
        <f t="shared" si="64"/>
        <v>11.241388000000001</v>
      </c>
      <c r="T147" s="33">
        <f t="shared" si="65"/>
        <v>15.469799999999999</v>
      </c>
      <c r="U147" s="33">
        <f t="shared" si="28"/>
        <v>1.237584</v>
      </c>
      <c r="V147" s="50">
        <f t="shared" si="66"/>
        <v>16.707383999999998</v>
      </c>
      <c r="X147" s="51">
        <f t="shared" si="75"/>
        <v>16.707383999999998</v>
      </c>
      <c r="Y147" s="51">
        <f t="shared" si="75"/>
        <v>33.414767999999995</v>
      </c>
      <c r="Z147" s="51">
        <f t="shared" si="75"/>
        <v>50.122151999999993</v>
      </c>
      <c r="AA147" s="51">
        <f t="shared" si="75"/>
        <v>66.82953599999999</v>
      </c>
      <c r="AB147" s="51">
        <f t="shared" si="75"/>
        <v>83.536919999999981</v>
      </c>
      <c r="AC147" s="51">
        <f t="shared" si="75"/>
        <v>100.24430399999999</v>
      </c>
      <c r="AD147" s="51">
        <f t="shared" si="75"/>
        <v>116.95168799999999</v>
      </c>
      <c r="AE147" s="51">
        <f t="shared" si="75"/>
        <v>133.65907199999998</v>
      </c>
      <c r="AF147" s="51">
        <f t="shared" si="75"/>
        <v>150.36645599999997</v>
      </c>
      <c r="AG147" s="51">
        <f t="shared" si="75"/>
        <v>167.07383999999996</v>
      </c>
      <c r="AH147" s="51">
        <f t="shared" si="75"/>
        <v>334.14767999999992</v>
      </c>
      <c r="AI147" s="51">
        <f t="shared" si="75"/>
        <v>501.22151999999994</v>
      </c>
      <c r="AJ147" s="51">
        <f t="shared" si="75"/>
        <v>668.29535999999985</v>
      </c>
      <c r="AK147" s="51">
        <f t="shared" si="75"/>
        <v>835.36919999999986</v>
      </c>
      <c r="AL147" s="51">
        <f t="shared" si="75"/>
        <v>1670.7383999999997</v>
      </c>
      <c r="AM147" s="51">
        <f t="shared" si="75"/>
        <v>3341.4767999999995</v>
      </c>
      <c r="AN147" s="51">
        <f t="shared" si="93"/>
        <v>5012.2151999999996</v>
      </c>
      <c r="AO147" s="51">
        <f t="shared" si="93"/>
        <v>6682.9535999999989</v>
      </c>
      <c r="AP147" s="51">
        <f t="shared" si="93"/>
        <v>8353.6919999999991</v>
      </c>
    </row>
    <row r="148" spans="1:42">
      <c r="A148" t="s">
        <v>812</v>
      </c>
      <c r="C148" t="s">
        <v>813</v>
      </c>
      <c r="D148" s="2" t="s">
        <v>616</v>
      </c>
      <c r="G148">
        <v>1</v>
      </c>
      <c r="H148" s="40">
        <v>2.42</v>
      </c>
      <c r="I148" s="40">
        <f>G148*H148</f>
        <v>2.42</v>
      </c>
      <c r="J148" s="40">
        <f t="shared" si="92"/>
        <v>0.21779999999999999</v>
      </c>
      <c r="L148" s="72">
        <v>45196</v>
      </c>
      <c r="M148" s="42">
        <f t="shared" si="61"/>
        <v>2.8555999999999999</v>
      </c>
      <c r="N148" s="2" t="s">
        <v>79</v>
      </c>
      <c r="P148" s="32">
        <f t="shared" si="63"/>
        <v>5.7111999999999998</v>
      </c>
      <c r="Q148" s="32">
        <f t="shared" si="19"/>
        <v>0.51400800000000002</v>
      </c>
      <c r="R148" s="292">
        <f t="shared" si="64"/>
        <v>6.2252080000000003</v>
      </c>
      <c r="T148" s="33">
        <f t="shared" si="65"/>
        <v>8.5668000000000006</v>
      </c>
      <c r="U148" s="33">
        <f t="shared" si="28"/>
        <v>0.68534400000000006</v>
      </c>
      <c r="V148" s="50">
        <f t="shared" si="66"/>
        <v>9.2521440000000013</v>
      </c>
      <c r="X148" s="51">
        <f t="shared" ref="X148:AM148" si="94">$V148*X$3</f>
        <v>9.2521440000000013</v>
      </c>
      <c r="Y148" s="51">
        <f t="shared" si="94"/>
        <v>18.504288000000003</v>
      </c>
      <c r="Z148" s="51">
        <f t="shared" si="94"/>
        <v>27.756432000000004</v>
      </c>
      <c r="AA148" s="51">
        <f t="shared" si="94"/>
        <v>37.008576000000005</v>
      </c>
      <c r="AB148" s="51">
        <f t="shared" si="94"/>
        <v>46.260720000000006</v>
      </c>
      <c r="AC148" s="51">
        <f t="shared" si="94"/>
        <v>55.512864000000008</v>
      </c>
      <c r="AD148" s="51">
        <f t="shared" si="94"/>
        <v>64.765008000000009</v>
      </c>
      <c r="AE148" s="51">
        <f t="shared" si="94"/>
        <v>74.01715200000001</v>
      </c>
      <c r="AF148" s="51">
        <f t="shared" si="94"/>
        <v>83.269296000000011</v>
      </c>
      <c r="AG148" s="51">
        <f t="shared" si="94"/>
        <v>92.521440000000013</v>
      </c>
      <c r="AH148" s="51">
        <f t="shared" si="94"/>
        <v>185.04288000000003</v>
      </c>
      <c r="AI148" s="51">
        <f t="shared" si="94"/>
        <v>277.56432000000007</v>
      </c>
      <c r="AJ148" s="51">
        <f t="shared" si="94"/>
        <v>370.08576000000005</v>
      </c>
      <c r="AK148" s="51">
        <f t="shared" si="94"/>
        <v>462.60720000000003</v>
      </c>
      <c r="AL148" s="51">
        <f t="shared" si="94"/>
        <v>925.21440000000007</v>
      </c>
      <c r="AM148" s="51">
        <f t="shared" si="94"/>
        <v>1850.4288000000001</v>
      </c>
      <c r="AN148" s="51">
        <f t="shared" si="93"/>
        <v>2775.6432000000004</v>
      </c>
      <c r="AO148" s="51">
        <f t="shared" si="93"/>
        <v>3700.8576000000003</v>
      </c>
      <c r="AP148" s="51">
        <f t="shared" si="93"/>
        <v>4626.072000000001</v>
      </c>
    </row>
    <row r="149" spans="1:42">
      <c r="A149" t="s">
        <v>413</v>
      </c>
      <c r="B149" s="29" t="s">
        <v>814</v>
      </c>
      <c r="C149" s="69" t="s">
        <v>414</v>
      </c>
      <c r="D149" s="2" t="s">
        <v>815</v>
      </c>
      <c r="G149">
        <v>1</v>
      </c>
      <c r="H149" s="40">
        <f>7.99/100</f>
        <v>7.9899999999999999E-2</v>
      </c>
      <c r="I149" s="40">
        <f t="shared" si="60"/>
        <v>7.9899999999999999E-2</v>
      </c>
      <c r="K149" s="40">
        <f>I149*0.09</f>
        <v>7.1909999999999995E-3</v>
      </c>
      <c r="L149" s="72">
        <v>44862</v>
      </c>
      <c r="M149" s="42">
        <f t="shared" si="61"/>
        <v>9.4282000000000005E-2</v>
      </c>
      <c r="N149" s="2" t="s">
        <v>122</v>
      </c>
      <c r="P149" s="32">
        <f t="shared" ref="P149:P166" si="95">M149*$P$2</f>
        <v>0.18856400000000001</v>
      </c>
      <c r="Q149" s="32">
        <f t="shared" ref="Q149:Q186" si="96">P149*0.09</f>
        <v>1.6970760000000001E-2</v>
      </c>
      <c r="R149" s="292">
        <f t="shared" ref="R149:R166" si="97">P149+Q149</f>
        <v>0.20553476000000001</v>
      </c>
      <c r="T149" s="33">
        <f t="shared" ref="T149:T166" si="98">M149*$T$2</f>
        <v>0.28284600000000004</v>
      </c>
      <c r="U149" s="33">
        <f t="shared" si="28"/>
        <v>2.2627680000000004E-2</v>
      </c>
      <c r="V149" s="50">
        <f t="shared" ref="V149:V166" si="99">T149+U149</f>
        <v>0.30547368000000003</v>
      </c>
      <c r="X149" s="51">
        <f t="shared" si="75"/>
        <v>0.30547368000000003</v>
      </c>
      <c r="Y149" s="51">
        <f t="shared" si="75"/>
        <v>0.61094736000000005</v>
      </c>
      <c r="Z149" s="51">
        <f t="shared" si="75"/>
        <v>0.91642104000000013</v>
      </c>
      <c r="AA149" s="51">
        <f t="shared" si="75"/>
        <v>1.2218947200000001</v>
      </c>
      <c r="AB149" s="51">
        <f t="shared" si="75"/>
        <v>1.5273684000000001</v>
      </c>
      <c r="AC149" s="51">
        <f t="shared" si="75"/>
        <v>1.8328420800000003</v>
      </c>
      <c r="AD149" s="51">
        <f t="shared" si="75"/>
        <v>2.1383157600000002</v>
      </c>
      <c r="AE149" s="51">
        <f t="shared" si="75"/>
        <v>2.4437894400000002</v>
      </c>
      <c r="AF149" s="51">
        <f t="shared" si="75"/>
        <v>2.7492631200000002</v>
      </c>
      <c r="AG149" s="51">
        <f t="shared" si="75"/>
        <v>3.0547368000000001</v>
      </c>
      <c r="AH149" s="51">
        <f t="shared" si="75"/>
        <v>6.1094736000000003</v>
      </c>
      <c r="AI149" s="51">
        <f t="shared" si="75"/>
        <v>9.1642104</v>
      </c>
      <c r="AJ149" s="51">
        <f t="shared" si="75"/>
        <v>12.218947200000001</v>
      </c>
      <c r="AK149" s="51">
        <f t="shared" si="75"/>
        <v>15.273684000000001</v>
      </c>
      <c r="AL149" s="51">
        <f t="shared" si="75"/>
        <v>30.547368000000002</v>
      </c>
      <c r="AM149" s="51">
        <f t="shared" si="75"/>
        <v>61.094736000000005</v>
      </c>
      <c r="AN149" s="51">
        <f t="shared" si="93"/>
        <v>91.642104000000003</v>
      </c>
      <c r="AO149" s="51">
        <f t="shared" si="93"/>
        <v>122.18947200000001</v>
      </c>
      <c r="AP149" s="51">
        <f t="shared" si="93"/>
        <v>152.73684</v>
      </c>
    </row>
    <row r="150" spans="1:42">
      <c r="A150" t="s">
        <v>816</v>
      </c>
      <c r="B150" s="29" t="s">
        <v>817</v>
      </c>
      <c r="C150" s="89" t="s">
        <v>818</v>
      </c>
      <c r="D150" s="2" t="s">
        <v>819</v>
      </c>
      <c r="G150">
        <v>1</v>
      </c>
      <c r="H150" s="40">
        <v>0.67</v>
      </c>
      <c r="I150" s="40">
        <v>67</v>
      </c>
      <c r="L150" s="72">
        <v>44782</v>
      </c>
      <c r="M150" s="42">
        <f t="shared" si="61"/>
        <v>0.73030000000000006</v>
      </c>
      <c r="N150" s="2" t="s">
        <v>122</v>
      </c>
      <c r="P150" s="32">
        <f t="shared" si="95"/>
        <v>1.4606000000000001</v>
      </c>
      <c r="Q150" s="32">
        <f t="shared" si="96"/>
        <v>0.13145400000000002</v>
      </c>
      <c r="R150" s="292">
        <f t="shared" si="97"/>
        <v>1.5920540000000001</v>
      </c>
      <c r="T150" s="33">
        <f t="shared" si="98"/>
        <v>2.1909000000000001</v>
      </c>
      <c r="U150" s="33">
        <f t="shared" si="28"/>
        <v>0.17527200000000001</v>
      </c>
      <c r="V150" s="50">
        <f t="shared" si="99"/>
        <v>2.3661720000000002</v>
      </c>
      <c r="X150" s="51">
        <f t="shared" si="75"/>
        <v>2.3661720000000002</v>
      </c>
      <c r="Y150" s="51">
        <f t="shared" si="75"/>
        <v>4.7323440000000003</v>
      </c>
      <c r="Z150" s="51">
        <f t="shared" si="75"/>
        <v>7.098516</v>
      </c>
      <c r="AA150" s="51">
        <f t="shared" si="75"/>
        <v>9.4646880000000007</v>
      </c>
      <c r="AB150" s="51">
        <f t="shared" si="75"/>
        <v>11.830860000000001</v>
      </c>
      <c r="AC150" s="51">
        <f t="shared" si="75"/>
        <v>14.197032</v>
      </c>
      <c r="AD150" s="51">
        <f t="shared" si="75"/>
        <v>16.563204000000002</v>
      </c>
      <c r="AE150" s="51">
        <f t="shared" si="75"/>
        <v>18.929376000000001</v>
      </c>
      <c r="AF150" s="51">
        <f t="shared" si="75"/>
        <v>21.295548</v>
      </c>
      <c r="AG150" s="51">
        <f t="shared" si="75"/>
        <v>23.661720000000003</v>
      </c>
      <c r="AH150" s="51">
        <f t="shared" si="75"/>
        <v>47.323440000000005</v>
      </c>
      <c r="AI150" s="51">
        <f t="shared" si="75"/>
        <v>70.985160000000008</v>
      </c>
      <c r="AJ150" s="51">
        <f t="shared" si="75"/>
        <v>94.64688000000001</v>
      </c>
      <c r="AK150" s="51">
        <f t="shared" si="75"/>
        <v>118.30860000000001</v>
      </c>
      <c r="AL150" s="51">
        <f t="shared" si="75"/>
        <v>236.61720000000003</v>
      </c>
      <c r="AM150" s="51">
        <f t="shared" si="75"/>
        <v>473.23440000000005</v>
      </c>
      <c r="AN150" s="51">
        <f t="shared" si="93"/>
        <v>709.85160000000008</v>
      </c>
      <c r="AO150" s="51">
        <f t="shared" si="93"/>
        <v>946.4688000000001</v>
      </c>
      <c r="AP150" s="51">
        <f t="shared" si="93"/>
        <v>1183.086</v>
      </c>
    </row>
    <row r="151" spans="1:42">
      <c r="A151" t="s">
        <v>820</v>
      </c>
      <c r="B151" s="29" t="s">
        <v>821</v>
      </c>
      <c r="C151" s="29">
        <v>5009</v>
      </c>
      <c r="D151" s="2" t="s">
        <v>822</v>
      </c>
      <c r="G151">
        <v>1</v>
      </c>
      <c r="H151" s="40">
        <v>0.16500000000000001</v>
      </c>
      <c r="I151" s="40">
        <v>44.35</v>
      </c>
      <c r="J151" s="40">
        <f>I151*0.09/268.8</f>
        <v>1.4849330357142856E-2</v>
      </c>
      <c r="L151" s="72">
        <v>44768</v>
      </c>
      <c r="M151" s="42">
        <f t="shared" si="61"/>
        <v>0.19469933035714287</v>
      </c>
      <c r="N151" s="2" t="s">
        <v>823</v>
      </c>
      <c r="P151" s="32">
        <f t="shared" si="95"/>
        <v>0.38939866071428575</v>
      </c>
      <c r="Q151" s="32">
        <f t="shared" si="96"/>
        <v>3.5045879464285716E-2</v>
      </c>
      <c r="R151" s="292">
        <f t="shared" si="97"/>
        <v>0.42444454017857147</v>
      </c>
      <c r="T151" s="33">
        <f t="shared" si="98"/>
        <v>0.58409799107142857</v>
      </c>
      <c r="U151" s="33">
        <f t="shared" si="28"/>
        <v>4.6727839285714286E-2</v>
      </c>
      <c r="V151" s="50">
        <f t="shared" si="99"/>
        <v>0.6308258303571429</v>
      </c>
      <c r="X151" s="51">
        <f t="shared" si="75"/>
        <v>0.6308258303571429</v>
      </c>
      <c r="Y151" s="51">
        <f t="shared" si="75"/>
        <v>1.2616516607142858</v>
      </c>
      <c r="Z151" s="51">
        <f t="shared" si="75"/>
        <v>1.8924774910714288</v>
      </c>
      <c r="AA151" s="51">
        <f t="shared" si="75"/>
        <v>2.5233033214285716</v>
      </c>
      <c r="AB151" s="51">
        <f t="shared" si="75"/>
        <v>3.1541291517857144</v>
      </c>
      <c r="AC151" s="51">
        <f t="shared" si="75"/>
        <v>3.7849549821428576</v>
      </c>
      <c r="AD151" s="51">
        <f t="shared" si="75"/>
        <v>4.4157808125000004</v>
      </c>
      <c r="AE151" s="51">
        <f t="shared" si="75"/>
        <v>5.0466066428571432</v>
      </c>
      <c r="AF151" s="51">
        <f t="shared" si="75"/>
        <v>5.677432473214286</v>
      </c>
      <c r="AG151" s="51">
        <f t="shared" si="75"/>
        <v>6.3082583035714288</v>
      </c>
      <c r="AH151" s="51">
        <f t="shared" si="75"/>
        <v>12.616516607142858</v>
      </c>
      <c r="AI151" s="51">
        <f t="shared" si="75"/>
        <v>18.924774910714287</v>
      </c>
      <c r="AJ151" s="51">
        <f t="shared" si="75"/>
        <v>25.233033214285715</v>
      </c>
      <c r="AK151" s="51">
        <f t="shared" si="75"/>
        <v>31.541291517857147</v>
      </c>
      <c r="AL151" s="51">
        <f t="shared" si="75"/>
        <v>63.082583035714293</v>
      </c>
      <c r="AM151" s="51">
        <f t="shared" si="75"/>
        <v>126.16516607142859</v>
      </c>
      <c r="AN151" s="51">
        <f t="shared" si="93"/>
        <v>189.24774910714288</v>
      </c>
      <c r="AO151" s="51">
        <f t="shared" si="93"/>
        <v>252.33033214285717</v>
      </c>
      <c r="AP151" s="51">
        <f t="shared" si="93"/>
        <v>315.41291517857144</v>
      </c>
    </row>
    <row r="152" spans="1:42">
      <c r="A152" t="s">
        <v>824</v>
      </c>
      <c r="B152" s="29" t="s">
        <v>825</v>
      </c>
      <c r="C152" t="s">
        <v>826</v>
      </c>
      <c r="D152" s="2" t="s">
        <v>827</v>
      </c>
      <c r="G152">
        <v>1</v>
      </c>
      <c r="H152" s="116">
        <v>3.5040000000000002E-3</v>
      </c>
      <c r="I152" s="40">
        <f>17.52</f>
        <v>17.52</v>
      </c>
      <c r="L152" s="72"/>
      <c r="M152" s="42">
        <f>SUM(J152:K152)+H152*$M$1</f>
        <v>3.8193600000000004E-3</v>
      </c>
      <c r="N152" s="2" t="s">
        <v>122</v>
      </c>
      <c r="P152" s="32">
        <f t="shared" si="95"/>
        <v>7.6387200000000008E-3</v>
      </c>
      <c r="Q152" s="32">
        <f t="shared" si="96"/>
        <v>6.8748480000000009E-4</v>
      </c>
      <c r="R152" s="292">
        <f t="shared" si="97"/>
        <v>8.3262048000000005E-3</v>
      </c>
      <c r="T152" s="33">
        <f t="shared" si="98"/>
        <v>1.1458080000000001E-2</v>
      </c>
      <c r="U152" s="33">
        <f t="shared" si="28"/>
        <v>9.1664640000000005E-4</v>
      </c>
      <c r="V152" s="50">
        <f t="shared" si="99"/>
        <v>1.2374726400000001E-2</v>
      </c>
      <c r="X152" s="51">
        <f t="shared" si="75"/>
        <v>1.2374726400000001E-2</v>
      </c>
      <c r="Y152" s="51">
        <f t="shared" si="75"/>
        <v>2.4749452800000002E-2</v>
      </c>
      <c r="Z152" s="51">
        <f t="shared" si="75"/>
        <v>3.7124179200000003E-2</v>
      </c>
      <c r="AA152" s="51">
        <f t="shared" si="75"/>
        <v>4.9498905600000004E-2</v>
      </c>
      <c r="AB152" s="51">
        <f t="shared" si="75"/>
        <v>6.1873632000000005E-2</v>
      </c>
      <c r="AC152" s="51">
        <f t="shared" si="75"/>
        <v>7.4248358400000006E-2</v>
      </c>
      <c r="AD152" s="51">
        <f t="shared" si="75"/>
        <v>8.66230848E-2</v>
      </c>
      <c r="AE152" s="51">
        <f t="shared" si="75"/>
        <v>9.8997811200000008E-2</v>
      </c>
      <c r="AF152" s="51">
        <f t="shared" si="75"/>
        <v>0.11137253760000002</v>
      </c>
      <c r="AG152" s="51">
        <f t="shared" si="75"/>
        <v>0.12374726400000001</v>
      </c>
      <c r="AH152" s="51">
        <f t="shared" si="75"/>
        <v>0.24749452800000002</v>
      </c>
      <c r="AI152" s="51">
        <f t="shared" si="75"/>
        <v>0.37124179200000001</v>
      </c>
      <c r="AJ152" s="51">
        <f t="shared" si="75"/>
        <v>0.49498905600000004</v>
      </c>
      <c r="AK152" s="51">
        <f t="shared" si="75"/>
        <v>0.61873632000000001</v>
      </c>
      <c r="AL152" s="51">
        <f t="shared" si="75"/>
        <v>1.23747264</v>
      </c>
      <c r="AM152" s="51">
        <f t="shared" si="75"/>
        <v>2.47494528</v>
      </c>
      <c r="AN152" s="51">
        <f t="shared" si="93"/>
        <v>3.7124179200000005</v>
      </c>
      <c r="AO152" s="51">
        <f t="shared" si="93"/>
        <v>4.9498905600000001</v>
      </c>
      <c r="AP152" s="51">
        <f t="shared" si="93"/>
        <v>6.1873632000000001</v>
      </c>
    </row>
    <row r="153" spans="1:42">
      <c r="A153" t="s">
        <v>828</v>
      </c>
      <c r="B153" s="29" t="s">
        <v>829</v>
      </c>
      <c r="C153" t="s">
        <v>830</v>
      </c>
      <c r="D153" s="2" t="s">
        <v>831</v>
      </c>
      <c r="G153">
        <v>1</v>
      </c>
      <c r="H153" s="94">
        <v>0.20182</v>
      </c>
      <c r="I153" s="40">
        <f>H153</f>
        <v>0.20182</v>
      </c>
      <c r="J153" s="40">
        <f>H153*0.09</f>
        <v>1.8163800000000001E-2</v>
      </c>
      <c r="K153" s="40">
        <f>H153*0.0036</f>
        <v>7.2655199999999999E-4</v>
      </c>
      <c r="L153" s="72">
        <v>44491</v>
      </c>
      <c r="M153" s="42">
        <f t="shared" si="61"/>
        <v>0.23887415200000001</v>
      </c>
      <c r="N153" s="2" t="s">
        <v>122</v>
      </c>
      <c r="P153" s="32">
        <f t="shared" si="95"/>
        <v>0.47774830400000001</v>
      </c>
      <c r="Q153" s="32">
        <f t="shared" si="96"/>
        <v>4.299734736E-2</v>
      </c>
      <c r="R153" s="292">
        <f t="shared" si="97"/>
        <v>0.52074565136000006</v>
      </c>
      <c r="T153" s="33">
        <f t="shared" si="98"/>
        <v>0.71662245600000007</v>
      </c>
      <c r="U153" s="33">
        <f t="shared" si="28"/>
        <v>5.7329796480000007E-2</v>
      </c>
      <c r="V153" s="50">
        <f t="shared" si="99"/>
        <v>0.7739522524800001</v>
      </c>
      <c r="X153" s="51">
        <f t="shared" si="75"/>
        <v>0.7739522524800001</v>
      </c>
      <c r="Y153" s="51">
        <f t="shared" si="75"/>
        <v>1.5479045049600002</v>
      </c>
      <c r="Z153" s="51">
        <f t="shared" si="75"/>
        <v>2.3218567574400004</v>
      </c>
      <c r="AA153" s="51">
        <f t="shared" si="75"/>
        <v>3.0958090099200004</v>
      </c>
      <c r="AB153" s="51">
        <f t="shared" si="75"/>
        <v>3.8697612624000004</v>
      </c>
      <c r="AC153" s="51">
        <f t="shared" si="75"/>
        <v>4.6437135148800008</v>
      </c>
      <c r="AD153" s="51">
        <f t="shared" si="75"/>
        <v>5.4176657673600008</v>
      </c>
      <c r="AE153" s="51">
        <f t="shared" si="75"/>
        <v>6.1916180198400008</v>
      </c>
      <c r="AF153" s="51">
        <f t="shared" si="75"/>
        <v>6.9655702723200008</v>
      </c>
      <c r="AG153" s="51">
        <f t="shared" si="75"/>
        <v>7.7395225248000008</v>
      </c>
      <c r="AH153" s="51">
        <f t="shared" si="75"/>
        <v>15.479045049600002</v>
      </c>
      <c r="AI153" s="51">
        <f t="shared" si="75"/>
        <v>23.218567574400002</v>
      </c>
      <c r="AJ153" s="51">
        <f t="shared" si="75"/>
        <v>30.958090099200003</v>
      </c>
      <c r="AK153" s="51">
        <f t="shared" si="75"/>
        <v>38.697612624000008</v>
      </c>
      <c r="AL153" s="51">
        <f t="shared" si="75"/>
        <v>77.395225248000017</v>
      </c>
      <c r="AM153" s="51">
        <f t="shared" si="75"/>
        <v>154.79045049600003</v>
      </c>
      <c r="AN153" s="51">
        <f t="shared" si="93"/>
        <v>232.18567574400004</v>
      </c>
      <c r="AO153" s="51">
        <f t="shared" si="93"/>
        <v>309.58090099200007</v>
      </c>
      <c r="AP153" s="51">
        <f t="shared" si="93"/>
        <v>386.97612624000004</v>
      </c>
    </row>
    <row r="154" spans="1:42">
      <c r="A154" t="s">
        <v>832</v>
      </c>
      <c r="B154" s="29" t="s">
        <v>833</v>
      </c>
      <c r="C154" s="89">
        <v>1322324</v>
      </c>
      <c r="D154" s="2" t="s">
        <v>650</v>
      </c>
      <c r="G154">
        <v>24</v>
      </c>
      <c r="H154" s="40">
        <v>5.7212500000000004</v>
      </c>
      <c r="I154" s="40">
        <f>G154*H154</f>
        <v>137.31</v>
      </c>
      <c r="L154" s="72">
        <v>44843</v>
      </c>
      <c r="M154" s="42">
        <f t="shared" si="61"/>
        <v>6.2361625000000007</v>
      </c>
      <c r="N154" s="2" t="s">
        <v>79</v>
      </c>
      <c r="P154" s="32">
        <f t="shared" si="95"/>
        <v>12.472325000000001</v>
      </c>
      <c r="Q154" s="32">
        <f t="shared" si="96"/>
        <v>1.12250925</v>
      </c>
      <c r="R154" s="292">
        <f t="shared" si="97"/>
        <v>13.594834250000002</v>
      </c>
      <c r="T154" s="33">
        <f t="shared" si="98"/>
        <v>18.708487500000004</v>
      </c>
      <c r="U154" s="33">
        <f t="shared" si="28"/>
        <v>1.4966790000000003</v>
      </c>
      <c r="V154" s="50">
        <f t="shared" si="99"/>
        <v>20.205166500000004</v>
      </c>
      <c r="X154" s="51">
        <f t="shared" si="75"/>
        <v>20.205166500000004</v>
      </c>
      <c r="Y154" s="51">
        <f t="shared" si="75"/>
        <v>40.410333000000008</v>
      </c>
      <c r="Z154" s="51">
        <f t="shared" si="75"/>
        <v>60.615499500000013</v>
      </c>
      <c r="AA154" s="51">
        <f t="shared" si="75"/>
        <v>80.820666000000017</v>
      </c>
      <c r="AB154" s="51">
        <f t="shared" si="75"/>
        <v>101.02583250000002</v>
      </c>
      <c r="AC154" s="51">
        <f t="shared" si="75"/>
        <v>121.23099900000003</v>
      </c>
      <c r="AD154" s="51">
        <f t="shared" si="75"/>
        <v>141.43616550000002</v>
      </c>
      <c r="AE154" s="51">
        <f t="shared" si="75"/>
        <v>161.64133200000003</v>
      </c>
      <c r="AF154" s="51">
        <f t="shared" si="75"/>
        <v>181.84649850000005</v>
      </c>
      <c r="AG154" s="51">
        <f t="shared" si="75"/>
        <v>202.05166500000004</v>
      </c>
      <c r="AH154" s="51">
        <f t="shared" si="75"/>
        <v>404.10333000000008</v>
      </c>
      <c r="AI154" s="51">
        <f t="shared" si="75"/>
        <v>606.1549950000001</v>
      </c>
      <c r="AJ154" s="51">
        <f t="shared" si="75"/>
        <v>808.20666000000017</v>
      </c>
      <c r="AK154" s="51">
        <f t="shared" si="75"/>
        <v>1010.2583250000002</v>
      </c>
      <c r="AL154" s="51">
        <f t="shared" si="75"/>
        <v>2020.5166500000005</v>
      </c>
      <c r="AM154" s="51">
        <f t="shared" si="75"/>
        <v>4041.033300000001</v>
      </c>
      <c r="AN154" s="51">
        <f t="shared" si="93"/>
        <v>6061.5499500000014</v>
      </c>
      <c r="AO154" s="51">
        <f t="shared" si="93"/>
        <v>8082.0666000000019</v>
      </c>
      <c r="AP154" s="51">
        <f t="shared" si="93"/>
        <v>10102.583250000001</v>
      </c>
    </row>
    <row r="155" spans="1:42">
      <c r="A155" t="s">
        <v>834</v>
      </c>
      <c r="B155" s="29" t="s">
        <v>833</v>
      </c>
      <c r="C155">
        <v>1324324</v>
      </c>
      <c r="D155" s="2" t="s">
        <v>650</v>
      </c>
      <c r="F155" s="73">
        <f>223.29/24</f>
        <v>9.3037499999999991</v>
      </c>
      <c r="G155">
        <v>24</v>
      </c>
      <c r="H155" s="40">
        <v>11.72</v>
      </c>
      <c r="I155" s="40">
        <f>G155*H155</f>
        <v>281.28000000000003</v>
      </c>
      <c r="L155" s="72">
        <v>44869</v>
      </c>
      <c r="M155" s="42">
        <f t="shared" si="61"/>
        <v>12.774800000000001</v>
      </c>
      <c r="N155" s="2" t="s">
        <v>79</v>
      </c>
      <c r="P155" s="32">
        <f t="shared" si="95"/>
        <v>25.549600000000002</v>
      </c>
      <c r="Q155" s="32">
        <f t="shared" si="96"/>
        <v>2.299464</v>
      </c>
      <c r="R155" s="292">
        <f t="shared" si="97"/>
        <v>27.849064000000002</v>
      </c>
      <c r="T155" s="33">
        <f t="shared" si="98"/>
        <v>38.324400000000004</v>
      </c>
      <c r="U155" s="33">
        <f t="shared" si="28"/>
        <v>3.0659520000000002</v>
      </c>
      <c r="V155" s="50">
        <f t="shared" si="99"/>
        <v>41.390352000000007</v>
      </c>
      <c r="X155" s="51">
        <f t="shared" si="75"/>
        <v>41.390352000000007</v>
      </c>
      <c r="Y155" s="51">
        <f t="shared" si="75"/>
        <v>82.780704000000014</v>
      </c>
      <c r="Z155" s="51">
        <f t="shared" si="75"/>
        <v>124.17105600000002</v>
      </c>
      <c r="AA155" s="51">
        <f t="shared" si="75"/>
        <v>165.56140800000003</v>
      </c>
      <c r="AB155" s="51">
        <f t="shared" si="75"/>
        <v>206.95176000000004</v>
      </c>
      <c r="AC155" s="51">
        <f t="shared" si="75"/>
        <v>248.34211200000004</v>
      </c>
      <c r="AD155" s="51">
        <f t="shared" si="75"/>
        <v>289.73246400000005</v>
      </c>
      <c r="AE155" s="51">
        <f t="shared" si="75"/>
        <v>331.12281600000006</v>
      </c>
      <c r="AF155" s="51">
        <f t="shared" si="75"/>
        <v>372.51316800000006</v>
      </c>
      <c r="AG155" s="51">
        <f t="shared" si="75"/>
        <v>413.90352000000007</v>
      </c>
      <c r="AH155" s="51">
        <f t="shared" si="75"/>
        <v>827.80704000000014</v>
      </c>
      <c r="AI155" s="51">
        <f t="shared" si="75"/>
        <v>1241.7105600000002</v>
      </c>
      <c r="AJ155" s="51">
        <f t="shared" si="75"/>
        <v>1655.6140800000003</v>
      </c>
      <c r="AK155" s="51">
        <f t="shared" si="75"/>
        <v>2069.5176000000001</v>
      </c>
      <c r="AL155" s="51">
        <f t="shared" si="75"/>
        <v>4139.0352000000003</v>
      </c>
      <c r="AM155" s="51">
        <f t="shared" si="75"/>
        <v>8278.0704000000005</v>
      </c>
      <c r="AN155" s="51">
        <f t="shared" si="93"/>
        <v>12417.105600000003</v>
      </c>
      <c r="AO155" s="51">
        <f t="shared" si="93"/>
        <v>16556.140800000001</v>
      </c>
      <c r="AP155" s="51">
        <f t="shared" si="93"/>
        <v>20695.176000000003</v>
      </c>
    </row>
    <row r="156" spans="1:42">
      <c r="A156" t="s">
        <v>835</v>
      </c>
      <c r="D156" s="2" t="s">
        <v>650</v>
      </c>
      <c r="G156">
        <v>10</v>
      </c>
      <c r="H156" s="40">
        <v>2.63</v>
      </c>
      <c r="I156" s="40">
        <f>G156*H156</f>
        <v>26.299999999999997</v>
      </c>
      <c r="L156" s="72">
        <v>44843</v>
      </c>
      <c r="M156" s="42">
        <f t="shared" si="61"/>
        <v>2.8667000000000002</v>
      </c>
      <c r="N156" s="2" t="s">
        <v>122</v>
      </c>
      <c r="P156" s="32">
        <f t="shared" si="95"/>
        <v>5.7334000000000005</v>
      </c>
      <c r="Q156" s="32">
        <f t="shared" si="96"/>
        <v>0.51600600000000008</v>
      </c>
      <c r="R156" s="292">
        <f t="shared" si="97"/>
        <v>6.2494060000000005</v>
      </c>
      <c r="T156" s="33">
        <f t="shared" si="98"/>
        <v>8.6001000000000012</v>
      </c>
      <c r="U156" s="33">
        <f t="shared" si="28"/>
        <v>0.68800800000000006</v>
      </c>
      <c r="V156" s="50">
        <f t="shared" si="99"/>
        <v>9.2881080000000011</v>
      </c>
      <c r="X156" s="51">
        <f t="shared" si="75"/>
        <v>9.2881080000000011</v>
      </c>
      <c r="Y156" s="51">
        <f t="shared" si="75"/>
        <v>18.576216000000002</v>
      </c>
      <c r="Z156" s="51">
        <f t="shared" si="75"/>
        <v>27.864324000000003</v>
      </c>
      <c r="AA156" s="51">
        <f t="shared" si="75"/>
        <v>37.152432000000005</v>
      </c>
      <c r="AB156" s="51">
        <f t="shared" si="75"/>
        <v>46.440540000000006</v>
      </c>
      <c r="AC156" s="51">
        <f t="shared" si="75"/>
        <v>55.728648000000007</v>
      </c>
      <c r="AD156" s="51">
        <f t="shared" si="75"/>
        <v>65.016756000000015</v>
      </c>
      <c r="AE156" s="51">
        <f t="shared" si="75"/>
        <v>74.304864000000009</v>
      </c>
      <c r="AF156" s="51">
        <f t="shared" si="75"/>
        <v>83.592972000000003</v>
      </c>
      <c r="AG156" s="51">
        <f t="shared" si="75"/>
        <v>92.881080000000011</v>
      </c>
      <c r="AH156" s="51">
        <f t="shared" si="75"/>
        <v>185.76216000000002</v>
      </c>
      <c r="AI156" s="51">
        <f t="shared" si="75"/>
        <v>278.64324000000005</v>
      </c>
      <c r="AJ156" s="51">
        <f t="shared" si="75"/>
        <v>371.52432000000005</v>
      </c>
      <c r="AK156" s="51">
        <f t="shared" si="75"/>
        <v>464.40540000000004</v>
      </c>
      <c r="AL156" s="51">
        <f t="shared" si="75"/>
        <v>928.81080000000009</v>
      </c>
      <c r="AM156" s="51">
        <f t="shared" si="75"/>
        <v>1857.6216000000002</v>
      </c>
      <c r="AN156" s="51">
        <f t="shared" si="93"/>
        <v>2786.4324000000001</v>
      </c>
      <c r="AO156" s="51">
        <f t="shared" si="93"/>
        <v>3715.2432000000003</v>
      </c>
      <c r="AP156" s="51">
        <f t="shared" si="93"/>
        <v>4644.054000000001</v>
      </c>
    </row>
    <row r="157" spans="1:42">
      <c r="A157" t="s">
        <v>836</v>
      </c>
      <c r="B157" s="29" t="s">
        <v>837</v>
      </c>
      <c r="D157" s="2" t="s">
        <v>650</v>
      </c>
      <c r="G157">
        <v>1</v>
      </c>
      <c r="H157" s="40">
        <v>3.49</v>
      </c>
      <c r="I157" s="40">
        <v>3.49</v>
      </c>
      <c r="L157" s="72">
        <v>44843</v>
      </c>
      <c r="M157" s="42">
        <f t="shared" si="61"/>
        <v>3.8041000000000005</v>
      </c>
      <c r="N157" s="2" t="s">
        <v>122</v>
      </c>
      <c r="P157" s="32">
        <f t="shared" si="95"/>
        <v>7.608200000000001</v>
      </c>
      <c r="Q157" s="32">
        <f t="shared" si="96"/>
        <v>0.68473800000000007</v>
      </c>
      <c r="R157" s="292">
        <f t="shared" si="97"/>
        <v>8.2929380000000013</v>
      </c>
      <c r="T157" s="33">
        <f t="shared" si="98"/>
        <v>11.412300000000002</v>
      </c>
      <c r="U157" s="33">
        <f t="shared" si="28"/>
        <v>0.91298400000000013</v>
      </c>
      <c r="V157" s="50">
        <f t="shared" si="99"/>
        <v>12.325284000000002</v>
      </c>
      <c r="X157" s="51">
        <f t="shared" si="75"/>
        <v>12.325284000000002</v>
      </c>
      <c r="Y157" s="51">
        <f t="shared" si="75"/>
        <v>24.650568000000003</v>
      </c>
      <c r="Z157" s="51">
        <f t="shared" si="75"/>
        <v>36.975852000000003</v>
      </c>
      <c r="AA157" s="51">
        <f t="shared" si="75"/>
        <v>49.301136000000007</v>
      </c>
      <c r="AB157" s="51">
        <f t="shared" si="75"/>
        <v>61.62642000000001</v>
      </c>
      <c r="AC157" s="51">
        <f t="shared" si="75"/>
        <v>73.951704000000007</v>
      </c>
      <c r="AD157" s="51">
        <f t="shared" si="75"/>
        <v>86.276988000000017</v>
      </c>
      <c r="AE157" s="51">
        <f t="shared" si="75"/>
        <v>98.602272000000013</v>
      </c>
      <c r="AF157" s="51">
        <f t="shared" si="75"/>
        <v>110.92755600000001</v>
      </c>
      <c r="AG157" s="51">
        <f t="shared" si="75"/>
        <v>123.25284000000002</v>
      </c>
      <c r="AH157" s="51">
        <f t="shared" si="75"/>
        <v>246.50568000000004</v>
      </c>
      <c r="AI157" s="51">
        <f t="shared" si="75"/>
        <v>369.75852000000003</v>
      </c>
      <c r="AJ157" s="51">
        <f t="shared" si="75"/>
        <v>493.01136000000008</v>
      </c>
      <c r="AK157" s="51">
        <f t="shared" si="75"/>
        <v>616.26420000000007</v>
      </c>
      <c r="AL157" s="51">
        <f t="shared" si="75"/>
        <v>1232.5284000000001</v>
      </c>
      <c r="AM157" s="51">
        <f t="shared" si="75"/>
        <v>2465.0568000000003</v>
      </c>
      <c r="AN157" s="51">
        <f t="shared" si="93"/>
        <v>3697.5852000000004</v>
      </c>
      <c r="AO157" s="51">
        <f t="shared" si="93"/>
        <v>4930.1136000000006</v>
      </c>
      <c r="AP157" s="51">
        <f t="shared" si="93"/>
        <v>6162.6420000000007</v>
      </c>
    </row>
    <row r="158" spans="1:42">
      <c r="A158" t="s">
        <v>838</v>
      </c>
      <c r="B158" s="29" t="s">
        <v>839</v>
      </c>
      <c r="D158" s="2" t="s">
        <v>650</v>
      </c>
      <c r="G158">
        <v>1</v>
      </c>
      <c r="H158" s="40">
        <v>4.49</v>
      </c>
      <c r="I158" s="40">
        <v>4.49</v>
      </c>
      <c r="L158" s="72">
        <v>44843</v>
      </c>
      <c r="M158" s="42">
        <f t="shared" si="61"/>
        <v>4.8941000000000008</v>
      </c>
      <c r="N158" s="2" t="s">
        <v>122</v>
      </c>
      <c r="P158" s="32">
        <f t="shared" si="95"/>
        <v>9.7882000000000016</v>
      </c>
      <c r="Q158" s="32">
        <f t="shared" si="96"/>
        <v>0.88093800000000011</v>
      </c>
      <c r="R158" s="292">
        <f t="shared" si="97"/>
        <v>10.669138000000002</v>
      </c>
      <c r="T158" s="33">
        <f t="shared" si="98"/>
        <v>14.682300000000001</v>
      </c>
      <c r="U158" s="33">
        <f t="shared" si="28"/>
        <v>1.1745840000000001</v>
      </c>
      <c r="V158" s="50">
        <f t="shared" si="99"/>
        <v>15.856884000000001</v>
      </c>
      <c r="X158" s="51">
        <f t="shared" si="75"/>
        <v>15.856884000000001</v>
      </c>
      <c r="Y158" s="51">
        <f t="shared" si="75"/>
        <v>31.713768000000002</v>
      </c>
      <c r="Z158" s="51">
        <f t="shared" si="75"/>
        <v>47.570652000000003</v>
      </c>
      <c r="AA158" s="51">
        <f t="shared" si="75"/>
        <v>63.427536000000003</v>
      </c>
      <c r="AB158" s="51">
        <f t="shared" si="75"/>
        <v>79.284420000000011</v>
      </c>
      <c r="AC158" s="51">
        <f t="shared" si="75"/>
        <v>95.141304000000005</v>
      </c>
      <c r="AD158" s="51">
        <f t="shared" si="75"/>
        <v>110.998188</v>
      </c>
      <c r="AE158" s="51">
        <f t="shared" si="75"/>
        <v>126.85507200000001</v>
      </c>
      <c r="AF158" s="51">
        <f t="shared" si="75"/>
        <v>142.71195600000001</v>
      </c>
      <c r="AG158" s="51">
        <f t="shared" si="75"/>
        <v>158.56884000000002</v>
      </c>
      <c r="AH158" s="51">
        <f t="shared" si="75"/>
        <v>317.13768000000005</v>
      </c>
      <c r="AI158" s="51">
        <f t="shared" si="75"/>
        <v>475.70652000000001</v>
      </c>
      <c r="AJ158" s="51">
        <f t="shared" si="75"/>
        <v>634.27536000000009</v>
      </c>
      <c r="AK158" s="51">
        <f t="shared" si="75"/>
        <v>792.8442</v>
      </c>
      <c r="AL158" s="51">
        <f t="shared" si="75"/>
        <v>1585.6884</v>
      </c>
      <c r="AM158" s="51">
        <f t="shared" si="75"/>
        <v>3171.3768</v>
      </c>
      <c r="AN158" s="51">
        <f t="shared" si="93"/>
        <v>4757.0652</v>
      </c>
      <c r="AO158" s="51">
        <f t="shared" si="93"/>
        <v>6342.7536</v>
      </c>
      <c r="AP158" s="51">
        <f t="shared" si="93"/>
        <v>7928.442</v>
      </c>
    </row>
    <row r="159" spans="1:42">
      <c r="A159" s="177" t="s">
        <v>840</v>
      </c>
      <c r="B159" s="29" t="s">
        <v>841</v>
      </c>
      <c r="C159" s="177" t="s">
        <v>842</v>
      </c>
      <c r="D159" s="2" t="s">
        <v>843</v>
      </c>
      <c r="G159">
        <v>1</v>
      </c>
      <c r="H159" s="40">
        <v>4</v>
      </c>
      <c r="I159" s="40">
        <v>4</v>
      </c>
      <c r="J159" s="40">
        <f t="shared" ref="J159:J164" si="100">H159*0.09</f>
        <v>0.36</v>
      </c>
      <c r="L159" s="72">
        <v>44879</v>
      </c>
      <c r="M159" s="42">
        <f t="shared" si="61"/>
        <v>4.7200000000000006</v>
      </c>
      <c r="N159" s="2" t="s">
        <v>122</v>
      </c>
      <c r="P159" s="32">
        <f t="shared" si="95"/>
        <v>9.4400000000000013</v>
      </c>
      <c r="Q159" s="32">
        <f t="shared" si="96"/>
        <v>0.84960000000000013</v>
      </c>
      <c r="R159" s="292">
        <f t="shared" si="97"/>
        <v>10.289600000000002</v>
      </c>
      <c r="T159" s="33">
        <f t="shared" si="98"/>
        <v>14.160000000000002</v>
      </c>
      <c r="U159" s="33">
        <f t="shared" si="28"/>
        <v>1.1328000000000003</v>
      </c>
      <c r="V159" s="50">
        <f t="shared" si="99"/>
        <v>15.292800000000002</v>
      </c>
      <c r="X159" s="51">
        <f t="shared" ref="X159:AM166" si="101">$V159*X$3</f>
        <v>15.292800000000002</v>
      </c>
      <c r="Y159" s="51">
        <f t="shared" si="101"/>
        <v>30.585600000000003</v>
      </c>
      <c r="Z159" s="51">
        <f t="shared" si="101"/>
        <v>45.878400000000006</v>
      </c>
      <c r="AA159" s="51">
        <f t="shared" si="101"/>
        <v>61.171200000000006</v>
      </c>
      <c r="AB159" s="51">
        <f t="shared" si="101"/>
        <v>76.464000000000013</v>
      </c>
      <c r="AC159" s="51">
        <f t="shared" si="101"/>
        <v>91.756800000000013</v>
      </c>
      <c r="AD159" s="51">
        <f t="shared" si="101"/>
        <v>107.04960000000001</v>
      </c>
      <c r="AE159" s="51">
        <f t="shared" si="101"/>
        <v>122.34240000000001</v>
      </c>
      <c r="AF159" s="51">
        <f t="shared" si="101"/>
        <v>137.63520000000003</v>
      </c>
      <c r="AG159" s="51">
        <f t="shared" si="101"/>
        <v>152.92800000000003</v>
      </c>
      <c r="AH159" s="51">
        <f t="shared" si="101"/>
        <v>305.85600000000005</v>
      </c>
      <c r="AI159" s="51">
        <f t="shared" si="101"/>
        <v>458.78400000000005</v>
      </c>
      <c r="AJ159" s="51">
        <f t="shared" si="101"/>
        <v>611.7120000000001</v>
      </c>
      <c r="AK159" s="51">
        <f t="shared" si="101"/>
        <v>764.6400000000001</v>
      </c>
      <c r="AL159" s="51">
        <f t="shared" si="101"/>
        <v>1529.2800000000002</v>
      </c>
      <c r="AM159" s="51">
        <f t="shared" si="101"/>
        <v>3058.5600000000004</v>
      </c>
      <c r="AN159" s="51">
        <f t="shared" si="93"/>
        <v>4587.84</v>
      </c>
      <c r="AO159" s="51">
        <f t="shared" si="93"/>
        <v>6117.1200000000008</v>
      </c>
      <c r="AP159" s="51">
        <f t="shared" si="93"/>
        <v>7646.4000000000005</v>
      </c>
    </row>
    <row r="160" spans="1:42">
      <c r="A160" s="177" t="s">
        <v>844</v>
      </c>
      <c r="B160" s="29" t="s">
        <v>841</v>
      </c>
      <c r="C160" s="177" t="s">
        <v>845</v>
      </c>
      <c r="D160" s="2" t="s">
        <v>843</v>
      </c>
      <c r="G160">
        <v>1</v>
      </c>
      <c r="H160" s="40">
        <v>5.75</v>
      </c>
      <c r="I160" s="40">
        <v>5.75</v>
      </c>
      <c r="J160" s="40">
        <f t="shared" si="100"/>
        <v>0.51749999999999996</v>
      </c>
      <c r="L160" s="72">
        <v>44879</v>
      </c>
      <c r="M160" s="42">
        <f t="shared" si="61"/>
        <v>6.7850000000000001</v>
      </c>
      <c r="N160" s="2" t="s">
        <v>122</v>
      </c>
      <c r="P160" s="32">
        <f t="shared" si="95"/>
        <v>13.57</v>
      </c>
      <c r="Q160" s="32">
        <f t="shared" si="96"/>
        <v>1.2213000000000001</v>
      </c>
      <c r="R160" s="292">
        <f t="shared" si="97"/>
        <v>14.7913</v>
      </c>
      <c r="T160" s="33">
        <f t="shared" si="98"/>
        <v>20.355</v>
      </c>
      <c r="U160" s="33">
        <f t="shared" si="28"/>
        <v>1.6284000000000001</v>
      </c>
      <c r="V160" s="50">
        <f t="shared" si="99"/>
        <v>21.9834</v>
      </c>
      <c r="X160" s="51">
        <f t="shared" si="101"/>
        <v>21.9834</v>
      </c>
      <c r="Y160" s="51">
        <f t="shared" si="101"/>
        <v>43.966799999999999</v>
      </c>
      <c r="Z160" s="51">
        <f t="shared" si="101"/>
        <v>65.950199999999995</v>
      </c>
      <c r="AA160" s="51">
        <f t="shared" si="101"/>
        <v>87.933599999999998</v>
      </c>
      <c r="AB160" s="51">
        <f t="shared" si="101"/>
        <v>109.917</v>
      </c>
      <c r="AC160" s="51">
        <f t="shared" si="101"/>
        <v>131.90039999999999</v>
      </c>
      <c r="AD160" s="51">
        <f t="shared" si="101"/>
        <v>153.88380000000001</v>
      </c>
      <c r="AE160" s="51">
        <f t="shared" si="101"/>
        <v>175.8672</v>
      </c>
      <c r="AF160" s="51">
        <f t="shared" si="101"/>
        <v>197.85059999999999</v>
      </c>
      <c r="AG160" s="51">
        <f t="shared" si="101"/>
        <v>219.834</v>
      </c>
      <c r="AH160" s="51">
        <f t="shared" si="101"/>
        <v>439.66800000000001</v>
      </c>
      <c r="AI160" s="51">
        <f t="shared" si="101"/>
        <v>659.50199999999995</v>
      </c>
      <c r="AJ160" s="51">
        <f t="shared" si="101"/>
        <v>879.33600000000001</v>
      </c>
      <c r="AK160" s="51">
        <f t="shared" si="101"/>
        <v>1099.17</v>
      </c>
      <c r="AL160" s="51">
        <f t="shared" si="101"/>
        <v>2198.34</v>
      </c>
      <c r="AM160" s="51">
        <f t="shared" si="101"/>
        <v>4396.68</v>
      </c>
      <c r="AN160" s="51">
        <f t="shared" si="93"/>
        <v>6595.0199999999995</v>
      </c>
      <c r="AO160" s="51">
        <f t="shared" si="93"/>
        <v>8793.36</v>
      </c>
      <c r="AP160" s="51">
        <f t="shared" si="93"/>
        <v>10991.699999999999</v>
      </c>
    </row>
    <row r="161" spans="1:42">
      <c r="A161" s="177" t="s">
        <v>846</v>
      </c>
      <c r="B161" s="29" t="s">
        <v>841</v>
      </c>
      <c r="C161" s="177" t="s">
        <v>847</v>
      </c>
      <c r="D161" s="2" t="s">
        <v>843</v>
      </c>
      <c r="G161">
        <v>1</v>
      </c>
      <c r="H161" s="40">
        <v>8.5</v>
      </c>
      <c r="I161" s="40">
        <v>8.5</v>
      </c>
      <c r="J161" s="40">
        <f t="shared" si="100"/>
        <v>0.76500000000000001</v>
      </c>
      <c r="L161" s="72">
        <v>44879</v>
      </c>
      <c r="M161" s="42">
        <f t="shared" si="61"/>
        <v>10.030000000000001</v>
      </c>
      <c r="N161" s="2" t="s">
        <v>122</v>
      </c>
      <c r="P161" s="32">
        <f t="shared" si="95"/>
        <v>20.060000000000002</v>
      </c>
      <c r="Q161" s="32">
        <f t="shared" si="96"/>
        <v>1.8054000000000001</v>
      </c>
      <c r="R161" s="292">
        <f t="shared" si="97"/>
        <v>21.865400000000001</v>
      </c>
      <c r="T161" s="33">
        <f t="shared" si="98"/>
        <v>30.090000000000003</v>
      </c>
      <c r="U161" s="33">
        <f t="shared" si="28"/>
        <v>2.4072000000000005</v>
      </c>
      <c r="V161" s="50">
        <f t="shared" si="99"/>
        <v>32.497200000000007</v>
      </c>
      <c r="X161" s="51">
        <f t="shared" si="101"/>
        <v>32.497200000000007</v>
      </c>
      <c r="Y161" s="51">
        <f t="shared" si="101"/>
        <v>64.994400000000013</v>
      </c>
      <c r="Z161" s="51">
        <f t="shared" si="101"/>
        <v>97.49160000000002</v>
      </c>
      <c r="AA161" s="51">
        <f t="shared" si="101"/>
        <v>129.98880000000003</v>
      </c>
      <c r="AB161" s="51">
        <f t="shared" si="101"/>
        <v>162.48600000000005</v>
      </c>
      <c r="AC161" s="51">
        <f t="shared" si="101"/>
        <v>194.98320000000004</v>
      </c>
      <c r="AD161" s="51">
        <f t="shared" si="101"/>
        <v>227.48040000000003</v>
      </c>
      <c r="AE161" s="51">
        <f t="shared" si="101"/>
        <v>259.97760000000005</v>
      </c>
      <c r="AF161" s="51">
        <f t="shared" si="101"/>
        <v>292.47480000000007</v>
      </c>
      <c r="AG161" s="51">
        <f t="shared" si="101"/>
        <v>324.97200000000009</v>
      </c>
      <c r="AH161" s="51">
        <f t="shared" si="101"/>
        <v>649.94400000000019</v>
      </c>
      <c r="AI161" s="51">
        <f t="shared" si="101"/>
        <v>974.91600000000017</v>
      </c>
      <c r="AJ161" s="51">
        <f t="shared" si="101"/>
        <v>1299.8880000000004</v>
      </c>
      <c r="AK161" s="51">
        <f t="shared" si="101"/>
        <v>1624.8600000000004</v>
      </c>
      <c r="AL161" s="51">
        <f t="shared" si="101"/>
        <v>3249.7200000000007</v>
      </c>
      <c r="AM161" s="51">
        <f t="shared" si="101"/>
        <v>6499.4400000000014</v>
      </c>
      <c r="AN161" s="51">
        <f t="shared" si="93"/>
        <v>9749.1600000000017</v>
      </c>
      <c r="AO161" s="51">
        <f t="shared" si="93"/>
        <v>12998.880000000003</v>
      </c>
      <c r="AP161" s="51">
        <f t="shared" si="93"/>
        <v>16248.600000000004</v>
      </c>
    </row>
    <row r="162" spans="1:42">
      <c r="A162" s="177" t="s">
        <v>848</v>
      </c>
      <c r="B162" s="29" t="s">
        <v>849</v>
      </c>
      <c r="C162" s="177" t="s">
        <v>850</v>
      </c>
      <c r="D162" s="2" t="s">
        <v>843</v>
      </c>
      <c r="G162">
        <v>1</v>
      </c>
      <c r="H162" s="40">
        <v>104.5</v>
      </c>
      <c r="I162" s="40">
        <v>104.5</v>
      </c>
      <c r="J162" s="40">
        <f t="shared" si="100"/>
        <v>9.4049999999999994</v>
      </c>
      <c r="L162" s="72">
        <v>44879</v>
      </c>
      <c r="M162" s="42">
        <f t="shared" si="61"/>
        <v>123.31000000000002</v>
      </c>
      <c r="N162" s="2" t="s">
        <v>122</v>
      </c>
      <c r="P162" s="32">
        <f t="shared" si="95"/>
        <v>246.62000000000003</v>
      </c>
      <c r="Q162" s="32">
        <f t="shared" si="96"/>
        <v>22.195800000000002</v>
      </c>
      <c r="R162" s="292">
        <f t="shared" si="97"/>
        <v>268.81580000000002</v>
      </c>
      <c r="T162" s="33">
        <f t="shared" si="98"/>
        <v>369.93000000000006</v>
      </c>
      <c r="U162" s="33">
        <f t="shared" si="28"/>
        <v>29.594400000000007</v>
      </c>
      <c r="V162" s="50">
        <f t="shared" si="99"/>
        <v>399.52440000000007</v>
      </c>
      <c r="X162" s="51">
        <f t="shared" si="101"/>
        <v>399.52440000000007</v>
      </c>
      <c r="Y162" s="51">
        <f t="shared" si="101"/>
        <v>799.04880000000014</v>
      </c>
      <c r="Z162" s="51">
        <f t="shared" si="101"/>
        <v>1198.5732000000003</v>
      </c>
      <c r="AA162" s="51">
        <f t="shared" si="101"/>
        <v>1598.0976000000003</v>
      </c>
      <c r="AB162" s="51">
        <f t="shared" si="101"/>
        <v>1997.6220000000003</v>
      </c>
      <c r="AC162" s="51">
        <f t="shared" si="101"/>
        <v>2397.1464000000005</v>
      </c>
      <c r="AD162" s="51">
        <f t="shared" si="101"/>
        <v>2796.6708000000003</v>
      </c>
      <c r="AE162" s="51">
        <f t="shared" si="101"/>
        <v>3196.1952000000006</v>
      </c>
      <c r="AF162" s="51">
        <f t="shared" si="101"/>
        <v>3595.7196000000008</v>
      </c>
      <c r="AG162" s="51">
        <f t="shared" si="101"/>
        <v>3995.2440000000006</v>
      </c>
      <c r="AH162" s="51">
        <f t="shared" si="101"/>
        <v>7990.4880000000012</v>
      </c>
      <c r="AI162" s="51">
        <f t="shared" si="101"/>
        <v>11985.732000000002</v>
      </c>
      <c r="AJ162" s="51">
        <f t="shared" si="101"/>
        <v>15980.976000000002</v>
      </c>
      <c r="AK162" s="51">
        <f t="shared" si="101"/>
        <v>19976.220000000005</v>
      </c>
      <c r="AL162" s="51">
        <f t="shared" si="101"/>
        <v>39952.44000000001</v>
      </c>
      <c r="AM162" s="51">
        <f t="shared" si="101"/>
        <v>79904.880000000019</v>
      </c>
      <c r="AN162" s="51">
        <f t="shared" si="93"/>
        <v>119857.32000000002</v>
      </c>
      <c r="AO162" s="51">
        <f t="shared" si="93"/>
        <v>159809.76000000004</v>
      </c>
      <c r="AP162" s="51">
        <f t="shared" si="93"/>
        <v>199762.20000000004</v>
      </c>
    </row>
    <row r="163" spans="1:42">
      <c r="A163" s="177" t="s">
        <v>851</v>
      </c>
      <c r="B163" s="29" t="s">
        <v>852</v>
      </c>
      <c r="C163" s="177" t="s">
        <v>853</v>
      </c>
      <c r="D163" s="2" t="s">
        <v>843</v>
      </c>
      <c r="G163">
        <v>1</v>
      </c>
      <c r="H163" s="40">
        <v>20</v>
      </c>
      <c r="I163" s="40">
        <v>20</v>
      </c>
      <c r="J163" s="40">
        <f t="shared" si="100"/>
        <v>1.7999999999999998</v>
      </c>
      <c r="L163" s="72">
        <v>44879</v>
      </c>
      <c r="M163" s="42">
        <f t="shared" si="61"/>
        <v>23.6</v>
      </c>
      <c r="N163" s="2" t="s">
        <v>122</v>
      </c>
      <c r="P163" s="32">
        <f t="shared" si="95"/>
        <v>47.2</v>
      </c>
      <c r="Q163" s="32">
        <f t="shared" si="96"/>
        <v>4.2480000000000002</v>
      </c>
      <c r="R163" s="292">
        <f t="shared" si="97"/>
        <v>51.448</v>
      </c>
      <c r="T163" s="33">
        <f t="shared" si="98"/>
        <v>70.800000000000011</v>
      </c>
      <c r="U163" s="33">
        <f t="shared" si="28"/>
        <v>5.6640000000000006</v>
      </c>
      <c r="V163" s="50">
        <f t="shared" si="99"/>
        <v>76.464000000000013</v>
      </c>
      <c r="X163" s="51">
        <f t="shared" si="101"/>
        <v>76.464000000000013</v>
      </c>
      <c r="Y163" s="51">
        <f t="shared" si="101"/>
        <v>152.92800000000003</v>
      </c>
      <c r="Z163" s="51">
        <f t="shared" si="101"/>
        <v>229.39200000000005</v>
      </c>
      <c r="AA163" s="51">
        <f t="shared" si="101"/>
        <v>305.85600000000005</v>
      </c>
      <c r="AB163" s="51">
        <f t="shared" si="101"/>
        <v>382.32000000000005</v>
      </c>
      <c r="AC163" s="51">
        <f t="shared" si="101"/>
        <v>458.78400000000011</v>
      </c>
      <c r="AD163" s="51">
        <f t="shared" si="101"/>
        <v>535.24800000000005</v>
      </c>
      <c r="AE163" s="51">
        <f t="shared" si="101"/>
        <v>611.7120000000001</v>
      </c>
      <c r="AF163" s="51">
        <f t="shared" si="101"/>
        <v>688.17600000000016</v>
      </c>
      <c r="AG163" s="51">
        <f t="shared" si="101"/>
        <v>764.6400000000001</v>
      </c>
      <c r="AH163" s="51">
        <f t="shared" si="101"/>
        <v>1529.2800000000002</v>
      </c>
      <c r="AI163" s="51">
        <f t="shared" si="101"/>
        <v>2293.9200000000005</v>
      </c>
      <c r="AJ163" s="51">
        <f t="shared" si="101"/>
        <v>3058.5600000000004</v>
      </c>
      <c r="AK163" s="51">
        <f t="shared" si="101"/>
        <v>3823.2000000000007</v>
      </c>
      <c r="AL163" s="51">
        <f t="shared" si="101"/>
        <v>7646.4000000000015</v>
      </c>
      <c r="AM163" s="51">
        <f t="shared" si="101"/>
        <v>15292.800000000003</v>
      </c>
      <c r="AN163" s="51">
        <f t="shared" ref="AN163:AP166" si="102">$V163*AN$3</f>
        <v>22939.200000000004</v>
      </c>
      <c r="AO163" s="51">
        <f t="shared" si="102"/>
        <v>30585.600000000006</v>
      </c>
      <c r="AP163" s="51">
        <f t="shared" si="102"/>
        <v>38232.000000000007</v>
      </c>
    </row>
    <row r="164" spans="1:42">
      <c r="A164" s="177" t="s">
        <v>854</v>
      </c>
      <c r="B164" s="29" t="s">
        <v>855</v>
      </c>
      <c r="C164" s="177" t="s">
        <v>856</v>
      </c>
      <c r="D164" s="2" t="s">
        <v>843</v>
      </c>
      <c r="G164">
        <v>1</v>
      </c>
      <c r="H164" s="40">
        <v>20</v>
      </c>
      <c r="I164" s="40">
        <v>20</v>
      </c>
      <c r="J164" s="40">
        <f t="shared" si="100"/>
        <v>1.7999999999999998</v>
      </c>
      <c r="L164" s="72">
        <v>44879</v>
      </c>
      <c r="M164" s="42">
        <f t="shared" si="61"/>
        <v>23.6</v>
      </c>
      <c r="N164" s="2" t="s">
        <v>122</v>
      </c>
      <c r="P164" s="32">
        <f t="shared" si="95"/>
        <v>47.2</v>
      </c>
      <c r="Q164" s="32">
        <f t="shared" si="96"/>
        <v>4.2480000000000002</v>
      </c>
      <c r="R164" s="292">
        <f t="shared" si="97"/>
        <v>51.448</v>
      </c>
      <c r="T164" s="33">
        <f t="shared" si="98"/>
        <v>70.800000000000011</v>
      </c>
      <c r="U164" s="33">
        <f t="shared" si="28"/>
        <v>5.6640000000000006</v>
      </c>
      <c r="V164" s="50">
        <f t="shared" si="99"/>
        <v>76.464000000000013</v>
      </c>
      <c r="X164" s="51">
        <f t="shared" si="101"/>
        <v>76.464000000000013</v>
      </c>
      <c r="Y164" s="51">
        <f t="shared" si="101"/>
        <v>152.92800000000003</v>
      </c>
      <c r="Z164" s="51">
        <f t="shared" si="101"/>
        <v>229.39200000000005</v>
      </c>
      <c r="AA164" s="51">
        <f t="shared" si="101"/>
        <v>305.85600000000005</v>
      </c>
      <c r="AB164" s="51">
        <f t="shared" si="101"/>
        <v>382.32000000000005</v>
      </c>
      <c r="AC164" s="51">
        <f t="shared" si="101"/>
        <v>458.78400000000011</v>
      </c>
      <c r="AD164" s="51">
        <f t="shared" si="101"/>
        <v>535.24800000000005</v>
      </c>
      <c r="AE164" s="51">
        <f t="shared" si="101"/>
        <v>611.7120000000001</v>
      </c>
      <c r="AF164" s="51">
        <f t="shared" si="101"/>
        <v>688.17600000000016</v>
      </c>
      <c r="AG164" s="51">
        <f t="shared" si="101"/>
        <v>764.6400000000001</v>
      </c>
      <c r="AH164" s="51">
        <f t="shared" si="101"/>
        <v>1529.2800000000002</v>
      </c>
      <c r="AI164" s="51">
        <f t="shared" si="101"/>
        <v>2293.9200000000005</v>
      </c>
      <c r="AJ164" s="51">
        <f t="shared" si="101"/>
        <v>3058.5600000000004</v>
      </c>
      <c r="AK164" s="51">
        <f t="shared" si="101"/>
        <v>3823.2000000000007</v>
      </c>
      <c r="AL164" s="51">
        <f t="shared" si="101"/>
        <v>7646.4000000000015</v>
      </c>
      <c r="AM164" s="51">
        <f t="shared" si="101"/>
        <v>15292.800000000003</v>
      </c>
      <c r="AN164" s="51">
        <f t="shared" si="102"/>
        <v>22939.200000000004</v>
      </c>
      <c r="AO164" s="51">
        <f t="shared" si="102"/>
        <v>30585.600000000006</v>
      </c>
      <c r="AP164" s="51">
        <f t="shared" si="102"/>
        <v>38232.000000000007</v>
      </c>
    </row>
    <row r="165" spans="1:42">
      <c r="L165" s="72"/>
      <c r="M165" s="42">
        <f t="shared" si="61"/>
        <v>0</v>
      </c>
      <c r="P165" s="32">
        <f t="shared" si="95"/>
        <v>0</v>
      </c>
      <c r="Q165" s="32">
        <f t="shared" si="96"/>
        <v>0</v>
      </c>
      <c r="R165" s="292">
        <f t="shared" si="97"/>
        <v>0</v>
      </c>
      <c r="T165" s="33">
        <f t="shared" si="98"/>
        <v>0</v>
      </c>
      <c r="U165" s="33">
        <f t="shared" si="28"/>
        <v>0</v>
      </c>
      <c r="V165" s="50">
        <f t="shared" si="99"/>
        <v>0</v>
      </c>
      <c r="X165" s="51">
        <f t="shared" si="101"/>
        <v>0</v>
      </c>
      <c r="Y165" s="51">
        <f t="shared" si="101"/>
        <v>0</v>
      </c>
      <c r="Z165" s="51">
        <f t="shared" si="101"/>
        <v>0</v>
      </c>
      <c r="AA165" s="51">
        <f t="shared" si="101"/>
        <v>0</v>
      </c>
      <c r="AB165" s="51">
        <f t="shared" si="101"/>
        <v>0</v>
      </c>
      <c r="AC165" s="51">
        <f t="shared" si="101"/>
        <v>0</v>
      </c>
      <c r="AD165" s="51">
        <f t="shared" si="101"/>
        <v>0</v>
      </c>
      <c r="AE165" s="51">
        <f t="shared" si="101"/>
        <v>0</v>
      </c>
      <c r="AF165" s="51">
        <f t="shared" si="101"/>
        <v>0</v>
      </c>
      <c r="AG165" s="51">
        <f t="shared" si="101"/>
        <v>0</v>
      </c>
      <c r="AH165" s="51">
        <f t="shared" si="101"/>
        <v>0</v>
      </c>
      <c r="AI165" s="51">
        <f t="shared" si="101"/>
        <v>0</v>
      </c>
      <c r="AJ165" s="51">
        <f t="shared" si="101"/>
        <v>0</v>
      </c>
      <c r="AK165" s="51">
        <f t="shared" si="101"/>
        <v>0</v>
      </c>
      <c r="AL165" s="51">
        <f t="shared" si="101"/>
        <v>0</v>
      </c>
      <c r="AM165" s="51">
        <f t="shared" si="101"/>
        <v>0</v>
      </c>
      <c r="AN165" s="51">
        <f t="shared" si="102"/>
        <v>0</v>
      </c>
      <c r="AO165" s="51">
        <f t="shared" si="102"/>
        <v>0</v>
      </c>
      <c r="AP165" s="51">
        <f t="shared" si="102"/>
        <v>0</v>
      </c>
    </row>
    <row r="166" spans="1:42">
      <c r="L166" s="72"/>
      <c r="M166" s="42">
        <f t="shared" si="61"/>
        <v>0</v>
      </c>
      <c r="P166" s="32">
        <f t="shared" si="95"/>
        <v>0</v>
      </c>
      <c r="Q166" s="32">
        <f t="shared" si="96"/>
        <v>0</v>
      </c>
      <c r="R166" s="292">
        <f t="shared" si="97"/>
        <v>0</v>
      </c>
      <c r="T166" s="33">
        <f t="shared" si="98"/>
        <v>0</v>
      </c>
      <c r="U166" s="33">
        <f t="shared" si="28"/>
        <v>0</v>
      </c>
      <c r="V166" s="50">
        <f t="shared" si="99"/>
        <v>0</v>
      </c>
      <c r="X166" s="51">
        <f t="shared" si="101"/>
        <v>0</v>
      </c>
      <c r="Y166" s="51">
        <f t="shared" si="101"/>
        <v>0</v>
      </c>
      <c r="Z166" s="51">
        <f t="shared" si="101"/>
        <v>0</v>
      </c>
      <c r="AA166" s="51">
        <f t="shared" si="101"/>
        <v>0</v>
      </c>
      <c r="AB166" s="51">
        <f t="shared" si="101"/>
        <v>0</v>
      </c>
      <c r="AC166" s="51">
        <f t="shared" si="101"/>
        <v>0</v>
      </c>
      <c r="AD166" s="51">
        <f t="shared" si="101"/>
        <v>0</v>
      </c>
      <c r="AE166" s="51">
        <f t="shared" si="101"/>
        <v>0</v>
      </c>
      <c r="AF166" s="51">
        <f t="shared" si="101"/>
        <v>0</v>
      </c>
      <c r="AG166" s="51">
        <f t="shared" si="101"/>
        <v>0</v>
      </c>
      <c r="AH166" s="51">
        <f t="shared" si="101"/>
        <v>0</v>
      </c>
      <c r="AI166" s="51">
        <f t="shared" si="101"/>
        <v>0</v>
      </c>
      <c r="AJ166" s="51">
        <f t="shared" si="101"/>
        <v>0</v>
      </c>
      <c r="AK166" s="51">
        <f t="shared" si="101"/>
        <v>0</v>
      </c>
      <c r="AL166" s="51">
        <f t="shared" si="101"/>
        <v>0</v>
      </c>
      <c r="AM166" s="51">
        <f t="shared" si="101"/>
        <v>0</v>
      </c>
      <c r="AN166" s="51">
        <f t="shared" si="102"/>
        <v>0</v>
      </c>
      <c r="AO166" s="51">
        <f t="shared" si="102"/>
        <v>0</v>
      </c>
      <c r="AP166" s="51">
        <f t="shared" si="102"/>
        <v>0</v>
      </c>
    </row>
    <row r="167" spans="1:42">
      <c r="L167" s="72"/>
      <c r="M167" s="42">
        <f t="shared" si="61"/>
        <v>0</v>
      </c>
      <c r="P167" s="32">
        <f t="shared" si="63"/>
        <v>0</v>
      </c>
      <c r="Q167" s="32">
        <f t="shared" si="96"/>
        <v>0</v>
      </c>
      <c r="R167" s="292">
        <f t="shared" si="64"/>
        <v>0</v>
      </c>
      <c r="T167" s="33">
        <f t="shared" si="65"/>
        <v>0</v>
      </c>
      <c r="U167" s="33">
        <f t="shared" si="28"/>
        <v>0</v>
      </c>
      <c r="V167" s="50">
        <f t="shared" si="66"/>
        <v>0</v>
      </c>
      <c r="X167" s="51">
        <f t="shared" si="69"/>
        <v>0</v>
      </c>
      <c r="Y167" s="51">
        <f t="shared" si="69"/>
        <v>0</v>
      </c>
      <c r="Z167" s="51">
        <f t="shared" si="69"/>
        <v>0</v>
      </c>
      <c r="AA167" s="51">
        <f t="shared" si="69"/>
        <v>0</v>
      </c>
      <c r="AB167" s="51">
        <f t="shared" si="69"/>
        <v>0</v>
      </c>
      <c r="AC167" s="51">
        <f t="shared" si="69"/>
        <v>0</v>
      </c>
      <c r="AD167" s="51">
        <f t="shared" si="69"/>
        <v>0</v>
      </c>
      <c r="AE167" s="51">
        <f t="shared" si="69"/>
        <v>0</v>
      </c>
      <c r="AF167" s="51">
        <f t="shared" si="69"/>
        <v>0</v>
      </c>
      <c r="AG167" s="51">
        <f t="shared" si="69"/>
        <v>0</v>
      </c>
      <c r="AH167" s="51">
        <f t="shared" si="70"/>
        <v>0</v>
      </c>
      <c r="AI167" s="51">
        <f t="shared" si="70"/>
        <v>0</v>
      </c>
      <c r="AJ167" s="51">
        <f t="shared" si="70"/>
        <v>0</v>
      </c>
      <c r="AK167" s="51">
        <f t="shared" si="70"/>
        <v>0</v>
      </c>
      <c r="AL167" s="51">
        <f t="shared" si="70"/>
        <v>0</v>
      </c>
      <c r="AM167" s="51">
        <f t="shared" si="70"/>
        <v>0</v>
      </c>
      <c r="AN167" s="51">
        <f t="shared" si="70"/>
        <v>0</v>
      </c>
      <c r="AO167" s="51">
        <f t="shared" si="70"/>
        <v>0</v>
      </c>
      <c r="AP167" s="51">
        <f t="shared" si="70"/>
        <v>0</v>
      </c>
    </row>
    <row r="168" spans="1:42">
      <c r="L168" s="72"/>
      <c r="M168" s="42">
        <f t="shared" si="61"/>
        <v>0</v>
      </c>
      <c r="P168" s="32">
        <f t="shared" si="63"/>
        <v>0</v>
      </c>
      <c r="Q168" s="32">
        <f t="shared" si="96"/>
        <v>0</v>
      </c>
      <c r="R168" s="292">
        <f t="shared" si="64"/>
        <v>0</v>
      </c>
      <c r="T168" s="33">
        <f t="shared" si="65"/>
        <v>0</v>
      </c>
      <c r="U168" s="33">
        <f t="shared" si="28"/>
        <v>0</v>
      </c>
      <c r="V168" s="50">
        <f t="shared" si="66"/>
        <v>0</v>
      </c>
      <c r="X168" s="51">
        <f t="shared" si="69"/>
        <v>0</v>
      </c>
      <c r="Y168" s="51">
        <f t="shared" si="69"/>
        <v>0</v>
      </c>
      <c r="Z168" s="51">
        <f t="shared" si="69"/>
        <v>0</v>
      </c>
      <c r="AA168" s="51">
        <f t="shared" si="69"/>
        <v>0</v>
      </c>
      <c r="AB168" s="51">
        <f t="shared" si="69"/>
        <v>0</v>
      </c>
      <c r="AC168" s="51">
        <f t="shared" si="69"/>
        <v>0</v>
      </c>
      <c r="AD168" s="51">
        <f t="shared" si="69"/>
        <v>0</v>
      </c>
      <c r="AE168" s="51">
        <f t="shared" si="69"/>
        <v>0</v>
      </c>
      <c r="AF168" s="51">
        <f t="shared" si="69"/>
        <v>0</v>
      </c>
      <c r="AG168" s="51">
        <f t="shared" si="69"/>
        <v>0</v>
      </c>
      <c r="AH168" s="51">
        <f t="shared" si="70"/>
        <v>0</v>
      </c>
      <c r="AI168" s="51">
        <f t="shared" si="70"/>
        <v>0</v>
      </c>
      <c r="AJ168" s="51">
        <f t="shared" si="70"/>
        <v>0</v>
      </c>
      <c r="AK168" s="51">
        <f t="shared" si="70"/>
        <v>0</v>
      </c>
      <c r="AL168" s="51">
        <f t="shared" si="70"/>
        <v>0</v>
      </c>
      <c r="AM168" s="51">
        <f t="shared" si="70"/>
        <v>0</v>
      </c>
      <c r="AN168" s="51">
        <f t="shared" si="70"/>
        <v>0</v>
      </c>
      <c r="AO168" s="51">
        <f t="shared" si="70"/>
        <v>0</v>
      </c>
      <c r="AP168" s="51">
        <f t="shared" si="70"/>
        <v>0</v>
      </c>
    </row>
    <row r="169" spans="1:42">
      <c r="L169" s="72"/>
      <c r="M169" s="42">
        <f t="shared" si="61"/>
        <v>0</v>
      </c>
      <c r="P169" s="32">
        <f t="shared" si="63"/>
        <v>0</v>
      </c>
      <c r="Q169" s="32">
        <f t="shared" si="96"/>
        <v>0</v>
      </c>
      <c r="R169" s="292">
        <f t="shared" si="64"/>
        <v>0</v>
      </c>
      <c r="T169" s="33">
        <f t="shared" si="65"/>
        <v>0</v>
      </c>
      <c r="U169" s="33">
        <f t="shared" si="28"/>
        <v>0</v>
      </c>
      <c r="V169" s="50">
        <f t="shared" si="66"/>
        <v>0</v>
      </c>
      <c r="X169" s="51">
        <f t="shared" si="69"/>
        <v>0</v>
      </c>
      <c r="Y169" s="51">
        <f t="shared" si="69"/>
        <v>0</v>
      </c>
      <c r="Z169" s="51">
        <f t="shared" si="69"/>
        <v>0</v>
      </c>
      <c r="AA169" s="51">
        <f t="shared" si="69"/>
        <v>0</v>
      </c>
      <c r="AB169" s="51">
        <f t="shared" si="69"/>
        <v>0</v>
      </c>
      <c r="AC169" s="51">
        <f t="shared" si="69"/>
        <v>0</v>
      </c>
      <c r="AD169" s="51">
        <f t="shared" si="69"/>
        <v>0</v>
      </c>
      <c r="AE169" s="51">
        <f t="shared" si="69"/>
        <v>0</v>
      </c>
      <c r="AF169" s="51">
        <f t="shared" si="69"/>
        <v>0</v>
      </c>
      <c r="AG169" s="51">
        <f t="shared" si="69"/>
        <v>0</v>
      </c>
      <c r="AH169" s="51">
        <f t="shared" si="70"/>
        <v>0</v>
      </c>
      <c r="AI169" s="51">
        <f t="shared" si="70"/>
        <v>0</v>
      </c>
      <c r="AJ169" s="51">
        <f t="shared" si="70"/>
        <v>0</v>
      </c>
      <c r="AK169" s="51">
        <f t="shared" si="70"/>
        <v>0</v>
      </c>
      <c r="AL169" s="51">
        <f t="shared" si="70"/>
        <v>0</v>
      </c>
      <c r="AM169" s="51">
        <f t="shared" si="70"/>
        <v>0</v>
      </c>
      <c r="AN169" s="51">
        <f t="shared" si="70"/>
        <v>0</v>
      </c>
      <c r="AO169" s="51">
        <f t="shared" si="70"/>
        <v>0</v>
      </c>
      <c r="AP169" s="51">
        <f t="shared" si="70"/>
        <v>0</v>
      </c>
    </row>
    <row r="170" spans="1:42">
      <c r="L170" s="72"/>
      <c r="M170" s="42">
        <f t="shared" si="61"/>
        <v>0</v>
      </c>
      <c r="P170" s="32">
        <f t="shared" si="63"/>
        <v>0</v>
      </c>
      <c r="Q170" s="32">
        <f t="shared" si="96"/>
        <v>0</v>
      </c>
      <c r="R170" s="292">
        <f t="shared" si="64"/>
        <v>0</v>
      </c>
      <c r="T170" s="33">
        <f t="shared" si="65"/>
        <v>0</v>
      </c>
      <c r="U170" s="33">
        <f t="shared" si="28"/>
        <v>0</v>
      </c>
      <c r="V170" s="50">
        <f t="shared" si="66"/>
        <v>0</v>
      </c>
      <c r="X170" s="51">
        <f t="shared" si="69"/>
        <v>0</v>
      </c>
      <c r="Y170" s="51">
        <f t="shared" si="69"/>
        <v>0</v>
      </c>
      <c r="Z170" s="51">
        <f t="shared" si="69"/>
        <v>0</v>
      </c>
      <c r="AA170" s="51">
        <f t="shared" si="69"/>
        <v>0</v>
      </c>
      <c r="AB170" s="51">
        <f t="shared" si="69"/>
        <v>0</v>
      </c>
      <c r="AC170" s="51">
        <f t="shared" si="69"/>
        <v>0</v>
      </c>
      <c r="AD170" s="51">
        <f t="shared" si="69"/>
        <v>0</v>
      </c>
      <c r="AE170" s="51">
        <f t="shared" si="69"/>
        <v>0</v>
      </c>
      <c r="AF170" s="51">
        <f t="shared" si="69"/>
        <v>0</v>
      </c>
      <c r="AG170" s="51">
        <f t="shared" si="69"/>
        <v>0</v>
      </c>
      <c r="AH170" s="51">
        <f t="shared" si="70"/>
        <v>0</v>
      </c>
      <c r="AI170" s="51">
        <f t="shared" si="70"/>
        <v>0</v>
      </c>
      <c r="AJ170" s="51">
        <f t="shared" si="70"/>
        <v>0</v>
      </c>
      <c r="AK170" s="51">
        <f t="shared" si="70"/>
        <v>0</v>
      </c>
      <c r="AL170" s="51">
        <f t="shared" si="70"/>
        <v>0</v>
      </c>
      <c r="AM170" s="51">
        <f t="shared" si="70"/>
        <v>0</v>
      </c>
      <c r="AN170" s="51">
        <f t="shared" si="70"/>
        <v>0</v>
      </c>
      <c r="AO170" s="51">
        <f t="shared" si="70"/>
        <v>0</v>
      </c>
      <c r="AP170" s="51">
        <f t="shared" si="70"/>
        <v>0</v>
      </c>
    </row>
    <row r="171" spans="1:42">
      <c r="L171" s="72"/>
      <c r="M171" s="42">
        <f t="shared" si="61"/>
        <v>0</v>
      </c>
      <c r="P171" s="32">
        <f t="shared" si="63"/>
        <v>0</v>
      </c>
      <c r="Q171" s="32">
        <f t="shared" si="96"/>
        <v>0</v>
      </c>
      <c r="R171" s="292">
        <f t="shared" si="64"/>
        <v>0</v>
      </c>
      <c r="T171" s="33">
        <f t="shared" si="65"/>
        <v>0</v>
      </c>
      <c r="U171" s="33">
        <f t="shared" si="28"/>
        <v>0</v>
      </c>
      <c r="V171" s="50">
        <f t="shared" si="66"/>
        <v>0</v>
      </c>
      <c r="X171" s="51">
        <f t="shared" si="69"/>
        <v>0</v>
      </c>
      <c r="Y171" s="51">
        <f t="shared" si="69"/>
        <v>0</v>
      </c>
      <c r="Z171" s="51">
        <f t="shared" si="69"/>
        <v>0</v>
      </c>
      <c r="AA171" s="51">
        <f t="shared" si="69"/>
        <v>0</v>
      </c>
      <c r="AB171" s="51">
        <f t="shared" si="69"/>
        <v>0</v>
      </c>
      <c r="AC171" s="51">
        <f t="shared" si="69"/>
        <v>0</v>
      </c>
      <c r="AD171" s="51">
        <f t="shared" si="69"/>
        <v>0</v>
      </c>
      <c r="AE171" s="51">
        <f t="shared" si="69"/>
        <v>0</v>
      </c>
      <c r="AF171" s="51">
        <f t="shared" si="69"/>
        <v>0</v>
      </c>
      <c r="AG171" s="51">
        <f t="shared" si="69"/>
        <v>0</v>
      </c>
      <c r="AH171" s="51">
        <f t="shared" si="70"/>
        <v>0</v>
      </c>
      <c r="AI171" s="51">
        <f t="shared" si="70"/>
        <v>0</v>
      </c>
      <c r="AJ171" s="51">
        <f t="shared" si="70"/>
        <v>0</v>
      </c>
      <c r="AK171" s="51">
        <f t="shared" si="70"/>
        <v>0</v>
      </c>
      <c r="AL171" s="51">
        <f t="shared" si="70"/>
        <v>0</v>
      </c>
      <c r="AM171" s="51">
        <f t="shared" si="70"/>
        <v>0</v>
      </c>
      <c r="AN171" s="51">
        <f t="shared" si="70"/>
        <v>0</v>
      </c>
      <c r="AO171" s="51">
        <f t="shared" si="70"/>
        <v>0</v>
      </c>
      <c r="AP171" s="51">
        <f t="shared" si="70"/>
        <v>0</v>
      </c>
    </row>
    <row r="172" spans="1:42">
      <c r="L172" s="72"/>
      <c r="M172" s="42">
        <f t="shared" si="61"/>
        <v>0</v>
      </c>
      <c r="P172" s="32">
        <f t="shared" si="63"/>
        <v>0</v>
      </c>
      <c r="Q172" s="32">
        <f t="shared" si="96"/>
        <v>0</v>
      </c>
      <c r="R172" s="292">
        <f t="shared" si="64"/>
        <v>0</v>
      </c>
      <c r="T172" s="33">
        <f t="shared" si="65"/>
        <v>0</v>
      </c>
      <c r="U172" s="33">
        <f t="shared" si="28"/>
        <v>0</v>
      </c>
      <c r="V172" s="50">
        <f t="shared" si="66"/>
        <v>0</v>
      </c>
      <c r="X172" s="51">
        <f t="shared" si="69"/>
        <v>0</v>
      </c>
      <c r="Y172" s="51">
        <f t="shared" si="69"/>
        <v>0</v>
      </c>
      <c r="Z172" s="51">
        <f t="shared" si="69"/>
        <v>0</v>
      </c>
      <c r="AA172" s="51">
        <f t="shared" si="69"/>
        <v>0</v>
      </c>
      <c r="AB172" s="51">
        <f t="shared" si="69"/>
        <v>0</v>
      </c>
      <c r="AC172" s="51">
        <f t="shared" si="69"/>
        <v>0</v>
      </c>
      <c r="AD172" s="51">
        <f t="shared" si="69"/>
        <v>0</v>
      </c>
      <c r="AE172" s="51">
        <f t="shared" si="69"/>
        <v>0</v>
      </c>
      <c r="AF172" s="51">
        <f t="shared" si="69"/>
        <v>0</v>
      </c>
      <c r="AG172" s="51">
        <f t="shared" si="69"/>
        <v>0</v>
      </c>
      <c r="AH172" s="51">
        <f t="shared" si="70"/>
        <v>0</v>
      </c>
      <c r="AI172" s="51">
        <f t="shared" si="70"/>
        <v>0</v>
      </c>
      <c r="AJ172" s="51">
        <f t="shared" si="70"/>
        <v>0</v>
      </c>
      <c r="AK172" s="51">
        <f t="shared" si="70"/>
        <v>0</v>
      </c>
      <c r="AL172" s="51">
        <f t="shared" si="70"/>
        <v>0</v>
      </c>
      <c r="AM172" s="51">
        <f t="shared" si="70"/>
        <v>0</v>
      </c>
      <c r="AN172" s="51">
        <f t="shared" si="70"/>
        <v>0</v>
      </c>
      <c r="AO172" s="51">
        <f t="shared" si="70"/>
        <v>0</v>
      </c>
      <c r="AP172" s="51">
        <f t="shared" si="70"/>
        <v>0</v>
      </c>
    </row>
    <row r="173" spans="1:42">
      <c r="L173" s="72"/>
      <c r="M173" s="42">
        <f t="shared" si="61"/>
        <v>0</v>
      </c>
      <c r="P173" s="32">
        <f t="shared" si="63"/>
        <v>0</v>
      </c>
      <c r="Q173" s="32">
        <f t="shared" si="96"/>
        <v>0</v>
      </c>
      <c r="R173" s="292">
        <f t="shared" si="64"/>
        <v>0</v>
      </c>
      <c r="T173" s="33">
        <f t="shared" si="65"/>
        <v>0</v>
      </c>
      <c r="U173" s="33">
        <f t="shared" si="28"/>
        <v>0</v>
      </c>
      <c r="V173" s="50">
        <f t="shared" si="66"/>
        <v>0</v>
      </c>
      <c r="X173" s="51">
        <f t="shared" si="69"/>
        <v>0</v>
      </c>
      <c r="Y173" s="51">
        <f t="shared" si="69"/>
        <v>0</v>
      </c>
      <c r="Z173" s="51">
        <f t="shared" si="69"/>
        <v>0</v>
      </c>
      <c r="AA173" s="51">
        <f t="shared" si="69"/>
        <v>0</v>
      </c>
      <c r="AB173" s="51">
        <f t="shared" si="69"/>
        <v>0</v>
      </c>
      <c r="AC173" s="51">
        <f t="shared" si="69"/>
        <v>0</v>
      </c>
      <c r="AD173" s="51">
        <f t="shared" si="69"/>
        <v>0</v>
      </c>
      <c r="AE173" s="51">
        <f t="shared" si="69"/>
        <v>0</v>
      </c>
      <c r="AF173" s="51">
        <f t="shared" si="69"/>
        <v>0</v>
      </c>
      <c r="AG173" s="51">
        <f t="shared" si="69"/>
        <v>0</v>
      </c>
      <c r="AH173" s="51">
        <f t="shared" si="70"/>
        <v>0</v>
      </c>
      <c r="AI173" s="51">
        <f t="shared" si="70"/>
        <v>0</v>
      </c>
      <c r="AJ173" s="51">
        <f t="shared" si="70"/>
        <v>0</v>
      </c>
      <c r="AK173" s="51">
        <f t="shared" si="70"/>
        <v>0</v>
      </c>
      <c r="AL173" s="51">
        <f t="shared" si="70"/>
        <v>0</v>
      </c>
      <c r="AM173" s="51">
        <f t="shared" si="70"/>
        <v>0</v>
      </c>
      <c r="AN173" s="51">
        <f t="shared" si="70"/>
        <v>0</v>
      </c>
      <c r="AO173" s="51">
        <f t="shared" si="70"/>
        <v>0</v>
      </c>
      <c r="AP173" s="51">
        <f t="shared" si="70"/>
        <v>0</v>
      </c>
    </row>
    <row r="174" spans="1:42">
      <c r="L174" s="72"/>
      <c r="M174" s="42">
        <f t="shared" si="61"/>
        <v>0</v>
      </c>
      <c r="P174" s="32">
        <f t="shared" si="63"/>
        <v>0</v>
      </c>
      <c r="Q174" s="32">
        <f t="shared" si="96"/>
        <v>0</v>
      </c>
      <c r="R174" s="292">
        <f t="shared" si="64"/>
        <v>0</v>
      </c>
      <c r="T174" s="33">
        <f t="shared" si="65"/>
        <v>0</v>
      </c>
      <c r="U174" s="33">
        <f t="shared" si="28"/>
        <v>0</v>
      </c>
      <c r="V174" s="50">
        <f t="shared" si="66"/>
        <v>0</v>
      </c>
      <c r="X174" s="51">
        <f t="shared" si="69"/>
        <v>0</v>
      </c>
      <c r="Y174" s="51">
        <f t="shared" si="69"/>
        <v>0</v>
      </c>
      <c r="Z174" s="51">
        <f t="shared" si="69"/>
        <v>0</v>
      </c>
      <c r="AA174" s="51">
        <f t="shared" si="69"/>
        <v>0</v>
      </c>
      <c r="AB174" s="51">
        <f t="shared" si="69"/>
        <v>0</v>
      </c>
      <c r="AC174" s="51">
        <f t="shared" si="69"/>
        <v>0</v>
      </c>
      <c r="AD174" s="51">
        <f t="shared" si="69"/>
        <v>0</v>
      </c>
      <c r="AE174" s="51">
        <f t="shared" si="69"/>
        <v>0</v>
      </c>
      <c r="AF174" s="51">
        <f t="shared" si="69"/>
        <v>0</v>
      </c>
      <c r="AG174" s="51">
        <f t="shared" si="69"/>
        <v>0</v>
      </c>
      <c r="AH174" s="51">
        <f t="shared" si="70"/>
        <v>0</v>
      </c>
      <c r="AI174" s="51">
        <f t="shared" si="70"/>
        <v>0</v>
      </c>
      <c r="AJ174" s="51">
        <f t="shared" si="70"/>
        <v>0</v>
      </c>
      <c r="AK174" s="51">
        <f t="shared" si="70"/>
        <v>0</v>
      </c>
      <c r="AL174" s="51">
        <f t="shared" si="70"/>
        <v>0</v>
      </c>
      <c r="AM174" s="51">
        <f t="shared" si="70"/>
        <v>0</v>
      </c>
      <c r="AN174" s="51">
        <f t="shared" si="70"/>
        <v>0</v>
      </c>
      <c r="AO174" s="51">
        <f t="shared" si="70"/>
        <v>0</v>
      </c>
      <c r="AP174" s="51">
        <f t="shared" si="70"/>
        <v>0</v>
      </c>
    </row>
    <row r="175" spans="1:42">
      <c r="L175" s="72"/>
      <c r="M175" s="42">
        <f t="shared" si="61"/>
        <v>0</v>
      </c>
      <c r="P175" s="32">
        <f t="shared" si="63"/>
        <v>0</v>
      </c>
      <c r="Q175" s="32">
        <f t="shared" si="96"/>
        <v>0</v>
      </c>
      <c r="R175" s="292">
        <f t="shared" si="64"/>
        <v>0</v>
      </c>
      <c r="T175" s="33">
        <f t="shared" si="65"/>
        <v>0</v>
      </c>
      <c r="U175" s="33">
        <f t="shared" si="28"/>
        <v>0</v>
      </c>
      <c r="V175" s="50">
        <f t="shared" si="66"/>
        <v>0</v>
      </c>
      <c r="X175" s="51">
        <f t="shared" si="69"/>
        <v>0</v>
      </c>
      <c r="Y175" s="51">
        <f t="shared" si="69"/>
        <v>0</v>
      </c>
      <c r="Z175" s="51">
        <f t="shared" si="69"/>
        <v>0</v>
      </c>
      <c r="AA175" s="51">
        <f t="shared" si="69"/>
        <v>0</v>
      </c>
      <c r="AB175" s="51">
        <f t="shared" si="69"/>
        <v>0</v>
      </c>
      <c r="AC175" s="51">
        <f t="shared" si="69"/>
        <v>0</v>
      </c>
      <c r="AD175" s="51">
        <f t="shared" si="69"/>
        <v>0</v>
      </c>
      <c r="AE175" s="51">
        <f t="shared" si="69"/>
        <v>0</v>
      </c>
      <c r="AF175" s="51">
        <f t="shared" si="69"/>
        <v>0</v>
      </c>
      <c r="AG175" s="51">
        <f t="shared" si="69"/>
        <v>0</v>
      </c>
      <c r="AH175" s="51">
        <f t="shared" si="70"/>
        <v>0</v>
      </c>
      <c r="AI175" s="51">
        <f t="shared" si="70"/>
        <v>0</v>
      </c>
      <c r="AJ175" s="51">
        <f t="shared" si="70"/>
        <v>0</v>
      </c>
      <c r="AK175" s="51">
        <f t="shared" si="70"/>
        <v>0</v>
      </c>
      <c r="AL175" s="51">
        <f t="shared" si="70"/>
        <v>0</v>
      </c>
      <c r="AM175" s="51">
        <f t="shared" si="70"/>
        <v>0</v>
      </c>
      <c r="AN175" s="51">
        <f t="shared" si="70"/>
        <v>0</v>
      </c>
      <c r="AO175" s="51">
        <f t="shared" si="70"/>
        <v>0</v>
      </c>
      <c r="AP175" s="51">
        <f t="shared" si="70"/>
        <v>0</v>
      </c>
    </row>
    <row r="176" spans="1:42">
      <c r="L176" s="72"/>
      <c r="M176" s="42">
        <f t="shared" si="61"/>
        <v>0</v>
      </c>
      <c r="P176" s="32">
        <f t="shared" si="63"/>
        <v>0</v>
      </c>
      <c r="Q176" s="32">
        <f t="shared" si="96"/>
        <v>0</v>
      </c>
      <c r="R176" s="292">
        <f t="shared" si="64"/>
        <v>0</v>
      </c>
      <c r="T176" s="33">
        <f t="shared" si="65"/>
        <v>0</v>
      </c>
      <c r="U176" s="33">
        <f t="shared" si="28"/>
        <v>0</v>
      </c>
      <c r="V176" s="50">
        <f t="shared" si="66"/>
        <v>0</v>
      </c>
      <c r="X176" s="51">
        <f t="shared" si="69"/>
        <v>0</v>
      </c>
      <c r="Y176" s="51">
        <f t="shared" si="69"/>
        <v>0</v>
      </c>
      <c r="Z176" s="51">
        <f t="shared" si="69"/>
        <v>0</v>
      </c>
      <c r="AA176" s="51">
        <f t="shared" si="69"/>
        <v>0</v>
      </c>
      <c r="AB176" s="51">
        <f t="shared" si="69"/>
        <v>0</v>
      </c>
      <c r="AC176" s="51">
        <f t="shared" si="69"/>
        <v>0</v>
      </c>
      <c r="AD176" s="51">
        <f t="shared" si="69"/>
        <v>0</v>
      </c>
      <c r="AE176" s="51">
        <f t="shared" si="69"/>
        <v>0</v>
      </c>
      <c r="AF176" s="51">
        <f t="shared" si="69"/>
        <v>0</v>
      </c>
      <c r="AG176" s="51">
        <f t="shared" si="69"/>
        <v>0</v>
      </c>
      <c r="AH176" s="51">
        <f t="shared" si="70"/>
        <v>0</v>
      </c>
      <c r="AI176" s="51">
        <f t="shared" si="70"/>
        <v>0</v>
      </c>
      <c r="AJ176" s="51">
        <f t="shared" si="70"/>
        <v>0</v>
      </c>
      <c r="AK176" s="51">
        <f t="shared" si="70"/>
        <v>0</v>
      </c>
      <c r="AL176" s="51">
        <f t="shared" si="70"/>
        <v>0</v>
      </c>
      <c r="AM176" s="51">
        <f t="shared" si="70"/>
        <v>0</v>
      </c>
      <c r="AN176" s="51">
        <f t="shared" si="70"/>
        <v>0</v>
      </c>
      <c r="AO176" s="51">
        <f t="shared" si="70"/>
        <v>0</v>
      </c>
      <c r="AP176" s="51">
        <f t="shared" si="70"/>
        <v>0</v>
      </c>
    </row>
    <row r="177" spans="12:42">
      <c r="L177" s="72"/>
      <c r="M177" s="42">
        <f t="shared" si="61"/>
        <v>0</v>
      </c>
      <c r="P177" s="32">
        <f t="shared" si="63"/>
        <v>0</v>
      </c>
      <c r="Q177" s="32">
        <f t="shared" si="96"/>
        <v>0</v>
      </c>
      <c r="R177" s="292">
        <f t="shared" si="64"/>
        <v>0</v>
      </c>
      <c r="T177" s="33">
        <f t="shared" si="65"/>
        <v>0</v>
      </c>
      <c r="U177" s="33">
        <f t="shared" si="28"/>
        <v>0</v>
      </c>
      <c r="V177" s="50">
        <f t="shared" si="66"/>
        <v>0</v>
      </c>
      <c r="X177" s="51">
        <f t="shared" si="69"/>
        <v>0</v>
      </c>
      <c r="Y177" s="51">
        <f t="shared" si="69"/>
        <v>0</v>
      </c>
      <c r="Z177" s="51">
        <f t="shared" si="69"/>
        <v>0</v>
      </c>
      <c r="AA177" s="51">
        <f t="shared" si="69"/>
        <v>0</v>
      </c>
      <c r="AB177" s="51">
        <f t="shared" si="69"/>
        <v>0</v>
      </c>
      <c r="AC177" s="51">
        <f t="shared" si="69"/>
        <v>0</v>
      </c>
      <c r="AD177" s="51">
        <f t="shared" si="69"/>
        <v>0</v>
      </c>
      <c r="AE177" s="51">
        <f t="shared" si="69"/>
        <v>0</v>
      </c>
      <c r="AF177" s="51">
        <f t="shared" si="69"/>
        <v>0</v>
      </c>
      <c r="AG177" s="51">
        <f t="shared" si="69"/>
        <v>0</v>
      </c>
      <c r="AH177" s="51">
        <f t="shared" si="70"/>
        <v>0</v>
      </c>
      <c r="AI177" s="51">
        <f t="shared" si="70"/>
        <v>0</v>
      </c>
      <c r="AJ177" s="51">
        <f t="shared" si="70"/>
        <v>0</v>
      </c>
      <c r="AK177" s="51">
        <f t="shared" si="70"/>
        <v>0</v>
      </c>
      <c r="AL177" s="51">
        <f t="shared" si="70"/>
        <v>0</v>
      </c>
      <c r="AM177" s="51">
        <f t="shared" si="70"/>
        <v>0</v>
      </c>
      <c r="AN177" s="51">
        <f t="shared" si="70"/>
        <v>0</v>
      </c>
      <c r="AO177" s="51">
        <f t="shared" si="70"/>
        <v>0</v>
      </c>
      <c r="AP177" s="51">
        <f t="shared" si="70"/>
        <v>0</v>
      </c>
    </row>
    <row r="178" spans="12:42">
      <c r="L178" s="72"/>
      <c r="M178" s="42">
        <f t="shared" si="61"/>
        <v>0</v>
      </c>
      <c r="P178" s="32">
        <f t="shared" si="63"/>
        <v>0</v>
      </c>
      <c r="Q178" s="32">
        <f t="shared" si="96"/>
        <v>0</v>
      </c>
      <c r="R178" s="292">
        <f t="shared" si="64"/>
        <v>0</v>
      </c>
      <c r="T178" s="33">
        <f t="shared" si="65"/>
        <v>0</v>
      </c>
      <c r="U178" s="33">
        <f t="shared" si="28"/>
        <v>0</v>
      </c>
      <c r="V178" s="50">
        <f t="shared" si="66"/>
        <v>0</v>
      </c>
      <c r="X178" s="51">
        <f t="shared" si="69"/>
        <v>0</v>
      </c>
      <c r="Y178" s="51">
        <f t="shared" si="69"/>
        <v>0</v>
      </c>
      <c r="Z178" s="51">
        <f t="shared" si="69"/>
        <v>0</v>
      </c>
      <c r="AA178" s="51">
        <f t="shared" si="69"/>
        <v>0</v>
      </c>
      <c r="AB178" s="51">
        <f t="shared" si="69"/>
        <v>0</v>
      </c>
      <c r="AC178" s="51">
        <f t="shared" si="69"/>
        <v>0</v>
      </c>
      <c r="AD178" s="51">
        <f t="shared" si="69"/>
        <v>0</v>
      </c>
      <c r="AE178" s="51">
        <f t="shared" si="69"/>
        <v>0</v>
      </c>
      <c r="AF178" s="51">
        <f t="shared" si="69"/>
        <v>0</v>
      </c>
      <c r="AG178" s="51">
        <f t="shared" si="69"/>
        <v>0</v>
      </c>
      <c r="AH178" s="51">
        <f t="shared" si="70"/>
        <v>0</v>
      </c>
      <c r="AI178" s="51">
        <f t="shared" si="70"/>
        <v>0</v>
      </c>
      <c r="AJ178" s="51">
        <f t="shared" si="70"/>
        <v>0</v>
      </c>
      <c r="AK178" s="51">
        <f t="shared" si="70"/>
        <v>0</v>
      </c>
      <c r="AL178" s="51">
        <f t="shared" si="70"/>
        <v>0</v>
      </c>
      <c r="AM178" s="51">
        <f t="shared" si="70"/>
        <v>0</v>
      </c>
      <c r="AN178" s="51">
        <f t="shared" si="70"/>
        <v>0</v>
      </c>
      <c r="AO178" s="51">
        <f t="shared" si="70"/>
        <v>0</v>
      </c>
      <c r="AP178" s="51">
        <f t="shared" si="70"/>
        <v>0</v>
      </c>
    </row>
    <row r="179" spans="12:42">
      <c r="L179" s="72"/>
      <c r="M179" s="42">
        <f t="shared" si="61"/>
        <v>0</v>
      </c>
      <c r="P179" s="32">
        <f t="shared" si="63"/>
        <v>0</v>
      </c>
      <c r="Q179" s="32">
        <f t="shared" si="96"/>
        <v>0</v>
      </c>
      <c r="R179" s="292">
        <f t="shared" si="64"/>
        <v>0</v>
      </c>
      <c r="T179" s="33">
        <f t="shared" si="65"/>
        <v>0</v>
      </c>
      <c r="U179" s="33">
        <f t="shared" si="28"/>
        <v>0</v>
      </c>
      <c r="V179" s="50">
        <f t="shared" si="66"/>
        <v>0</v>
      </c>
      <c r="X179" s="51">
        <f t="shared" si="69"/>
        <v>0</v>
      </c>
      <c r="Y179" s="51">
        <f t="shared" si="69"/>
        <v>0</v>
      </c>
      <c r="Z179" s="51">
        <f t="shared" si="69"/>
        <v>0</v>
      </c>
      <c r="AA179" s="51">
        <f t="shared" si="69"/>
        <v>0</v>
      </c>
      <c r="AB179" s="51">
        <f t="shared" si="69"/>
        <v>0</v>
      </c>
      <c r="AC179" s="51">
        <f t="shared" si="69"/>
        <v>0</v>
      </c>
      <c r="AD179" s="51">
        <f t="shared" si="69"/>
        <v>0</v>
      </c>
      <c r="AE179" s="51">
        <f t="shared" si="69"/>
        <v>0</v>
      </c>
      <c r="AF179" s="51">
        <f t="shared" si="69"/>
        <v>0</v>
      </c>
      <c r="AG179" s="51">
        <f t="shared" si="69"/>
        <v>0</v>
      </c>
      <c r="AH179" s="51">
        <f t="shared" si="70"/>
        <v>0</v>
      </c>
      <c r="AI179" s="51">
        <f t="shared" si="70"/>
        <v>0</v>
      </c>
      <c r="AJ179" s="51">
        <f t="shared" si="70"/>
        <v>0</v>
      </c>
      <c r="AK179" s="51">
        <f t="shared" si="70"/>
        <v>0</v>
      </c>
      <c r="AL179" s="51">
        <f t="shared" si="70"/>
        <v>0</v>
      </c>
      <c r="AM179" s="51">
        <f t="shared" si="70"/>
        <v>0</v>
      </c>
      <c r="AN179" s="51">
        <f t="shared" si="70"/>
        <v>0</v>
      </c>
      <c r="AO179" s="51">
        <f t="shared" si="70"/>
        <v>0</v>
      </c>
      <c r="AP179" s="51">
        <f t="shared" si="70"/>
        <v>0</v>
      </c>
    </row>
    <row r="180" spans="12:42">
      <c r="L180" s="72"/>
      <c r="M180" s="42">
        <f t="shared" si="61"/>
        <v>0</v>
      </c>
      <c r="P180" s="32">
        <f t="shared" si="63"/>
        <v>0</v>
      </c>
      <c r="Q180" s="32">
        <f t="shared" si="96"/>
        <v>0</v>
      </c>
      <c r="R180" s="292">
        <f t="shared" si="64"/>
        <v>0</v>
      </c>
      <c r="T180" s="33">
        <f t="shared" si="65"/>
        <v>0</v>
      </c>
      <c r="U180" s="33">
        <f t="shared" si="28"/>
        <v>0</v>
      </c>
      <c r="V180" s="50">
        <f t="shared" si="66"/>
        <v>0</v>
      </c>
      <c r="X180" s="51">
        <f t="shared" si="69"/>
        <v>0</v>
      </c>
      <c r="Y180" s="51">
        <f t="shared" si="69"/>
        <v>0</v>
      </c>
      <c r="Z180" s="51">
        <f t="shared" si="69"/>
        <v>0</v>
      </c>
      <c r="AA180" s="51">
        <f t="shared" si="69"/>
        <v>0</v>
      </c>
      <c r="AB180" s="51">
        <f t="shared" si="69"/>
        <v>0</v>
      </c>
      <c r="AC180" s="51">
        <f t="shared" si="69"/>
        <v>0</v>
      </c>
      <c r="AD180" s="51">
        <f t="shared" si="69"/>
        <v>0</v>
      </c>
      <c r="AE180" s="51">
        <f t="shared" si="69"/>
        <v>0</v>
      </c>
      <c r="AF180" s="51">
        <f t="shared" si="69"/>
        <v>0</v>
      </c>
      <c r="AG180" s="51">
        <f t="shared" si="69"/>
        <v>0</v>
      </c>
      <c r="AH180" s="51">
        <f t="shared" si="70"/>
        <v>0</v>
      </c>
      <c r="AI180" s="51">
        <f t="shared" si="70"/>
        <v>0</v>
      </c>
      <c r="AJ180" s="51">
        <f t="shared" si="70"/>
        <v>0</v>
      </c>
      <c r="AK180" s="51">
        <f t="shared" si="70"/>
        <v>0</v>
      </c>
      <c r="AL180" s="51">
        <f t="shared" si="70"/>
        <v>0</v>
      </c>
      <c r="AM180" s="51">
        <f t="shared" si="70"/>
        <v>0</v>
      </c>
      <c r="AN180" s="51">
        <f t="shared" si="70"/>
        <v>0</v>
      </c>
      <c r="AO180" s="51">
        <f t="shared" si="70"/>
        <v>0</v>
      </c>
      <c r="AP180" s="51">
        <f t="shared" si="70"/>
        <v>0</v>
      </c>
    </row>
    <row r="181" spans="12:42">
      <c r="L181" s="72"/>
      <c r="M181" s="42">
        <f t="shared" si="61"/>
        <v>0</v>
      </c>
      <c r="P181" s="32">
        <f t="shared" si="56"/>
        <v>0</v>
      </c>
      <c r="Q181" s="32">
        <f t="shared" si="96"/>
        <v>0</v>
      </c>
      <c r="R181" s="292">
        <f t="shared" si="57"/>
        <v>0</v>
      </c>
      <c r="T181" s="33">
        <f t="shared" si="58"/>
        <v>0</v>
      </c>
      <c r="U181" s="33">
        <f t="shared" si="28"/>
        <v>0</v>
      </c>
      <c r="V181" s="50">
        <f t="shared" si="59"/>
        <v>0</v>
      </c>
      <c r="X181" s="51">
        <f t="shared" si="46"/>
        <v>0</v>
      </c>
      <c r="Y181" s="51">
        <f t="shared" si="46"/>
        <v>0</v>
      </c>
      <c r="Z181" s="51">
        <f t="shared" si="46"/>
        <v>0</v>
      </c>
      <c r="AA181" s="51">
        <f t="shared" si="46"/>
        <v>0</v>
      </c>
      <c r="AB181" s="51">
        <f t="shared" si="46"/>
        <v>0</v>
      </c>
      <c r="AC181" s="51">
        <f t="shared" si="46"/>
        <v>0</v>
      </c>
      <c r="AD181" s="51">
        <f t="shared" si="46"/>
        <v>0</v>
      </c>
      <c r="AE181" s="51">
        <f t="shared" si="46"/>
        <v>0</v>
      </c>
      <c r="AF181" s="51">
        <f t="shared" si="46"/>
        <v>0</v>
      </c>
      <c r="AG181" s="51">
        <f t="shared" si="46"/>
        <v>0</v>
      </c>
      <c r="AH181" s="51">
        <f t="shared" si="47"/>
        <v>0</v>
      </c>
      <c r="AI181" s="51">
        <f t="shared" si="47"/>
        <v>0</v>
      </c>
      <c r="AJ181" s="51">
        <f t="shared" si="47"/>
        <v>0</v>
      </c>
      <c r="AK181" s="51">
        <f t="shared" si="47"/>
        <v>0</v>
      </c>
      <c r="AL181" s="51">
        <f t="shared" si="47"/>
        <v>0</v>
      </c>
      <c r="AM181" s="51">
        <f t="shared" si="47"/>
        <v>0</v>
      </c>
      <c r="AN181" s="51">
        <f t="shared" si="47"/>
        <v>0</v>
      </c>
      <c r="AO181" s="51">
        <f t="shared" si="47"/>
        <v>0</v>
      </c>
      <c r="AP181" s="51">
        <f t="shared" si="47"/>
        <v>0</v>
      </c>
    </row>
    <row r="182" spans="12:42">
      <c r="L182" s="72"/>
      <c r="M182" s="42">
        <f t="shared" si="61"/>
        <v>0</v>
      </c>
      <c r="P182" s="32">
        <f t="shared" si="56"/>
        <v>0</v>
      </c>
      <c r="Q182" s="32">
        <f t="shared" si="96"/>
        <v>0</v>
      </c>
      <c r="R182" s="292">
        <f t="shared" si="57"/>
        <v>0</v>
      </c>
      <c r="T182" s="33">
        <f t="shared" si="58"/>
        <v>0</v>
      </c>
      <c r="U182" s="33">
        <f t="shared" si="28"/>
        <v>0</v>
      </c>
      <c r="V182" s="50">
        <f t="shared" si="59"/>
        <v>0</v>
      </c>
      <c r="X182" s="51">
        <f t="shared" si="46"/>
        <v>0</v>
      </c>
      <c r="Y182" s="51">
        <f t="shared" si="46"/>
        <v>0</v>
      </c>
      <c r="Z182" s="51">
        <f t="shared" si="46"/>
        <v>0</v>
      </c>
      <c r="AA182" s="51">
        <f t="shared" si="46"/>
        <v>0</v>
      </c>
      <c r="AB182" s="51">
        <f t="shared" si="46"/>
        <v>0</v>
      </c>
      <c r="AC182" s="51">
        <f t="shared" si="46"/>
        <v>0</v>
      </c>
      <c r="AD182" s="51">
        <f t="shared" si="46"/>
        <v>0</v>
      </c>
      <c r="AE182" s="51">
        <f t="shared" si="46"/>
        <v>0</v>
      </c>
      <c r="AF182" s="51">
        <f t="shared" si="46"/>
        <v>0</v>
      </c>
      <c r="AG182" s="51">
        <f t="shared" si="46"/>
        <v>0</v>
      </c>
      <c r="AH182" s="51">
        <f t="shared" si="47"/>
        <v>0</v>
      </c>
      <c r="AI182" s="51">
        <f t="shared" si="47"/>
        <v>0</v>
      </c>
      <c r="AJ182" s="51">
        <f t="shared" si="47"/>
        <v>0</v>
      </c>
      <c r="AK182" s="51">
        <f t="shared" si="47"/>
        <v>0</v>
      </c>
      <c r="AL182" s="51">
        <f t="shared" si="47"/>
        <v>0</v>
      </c>
      <c r="AM182" s="51">
        <f t="shared" si="47"/>
        <v>0</v>
      </c>
      <c r="AN182" s="51">
        <f t="shared" si="47"/>
        <v>0</v>
      </c>
      <c r="AO182" s="51">
        <f t="shared" si="47"/>
        <v>0</v>
      </c>
      <c r="AP182" s="51">
        <f t="shared" si="47"/>
        <v>0</v>
      </c>
    </row>
    <row r="183" spans="12:42">
      <c r="L183" s="72"/>
      <c r="M183" s="42">
        <f t="shared" si="61"/>
        <v>0</v>
      </c>
      <c r="P183" s="32">
        <f t="shared" si="56"/>
        <v>0</v>
      </c>
      <c r="Q183" s="32">
        <f t="shared" si="96"/>
        <v>0</v>
      </c>
      <c r="R183" s="292">
        <f t="shared" si="57"/>
        <v>0</v>
      </c>
      <c r="T183" s="33">
        <f t="shared" si="58"/>
        <v>0</v>
      </c>
      <c r="U183" s="33">
        <f t="shared" si="28"/>
        <v>0</v>
      </c>
      <c r="V183" s="50">
        <f t="shared" si="59"/>
        <v>0</v>
      </c>
      <c r="X183" s="51">
        <f t="shared" si="46"/>
        <v>0</v>
      </c>
      <c r="Y183" s="51">
        <f t="shared" si="46"/>
        <v>0</v>
      </c>
      <c r="Z183" s="51">
        <f t="shared" si="46"/>
        <v>0</v>
      </c>
      <c r="AA183" s="51">
        <f t="shared" si="46"/>
        <v>0</v>
      </c>
      <c r="AB183" s="51">
        <f t="shared" si="46"/>
        <v>0</v>
      </c>
      <c r="AC183" s="51">
        <f t="shared" si="46"/>
        <v>0</v>
      </c>
      <c r="AD183" s="51">
        <f t="shared" si="46"/>
        <v>0</v>
      </c>
      <c r="AE183" s="51">
        <f t="shared" si="46"/>
        <v>0</v>
      </c>
      <c r="AF183" s="51">
        <f t="shared" si="46"/>
        <v>0</v>
      </c>
      <c r="AG183" s="51">
        <f t="shared" si="46"/>
        <v>0</v>
      </c>
      <c r="AH183" s="51">
        <f t="shared" si="47"/>
        <v>0</v>
      </c>
      <c r="AI183" s="51">
        <f t="shared" si="47"/>
        <v>0</v>
      </c>
      <c r="AJ183" s="51">
        <f t="shared" si="47"/>
        <v>0</v>
      </c>
      <c r="AK183" s="51">
        <f t="shared" si="47"/>
        <v>0</v>
      </c>
      <c r="AL183" s="51">
        <f t="shared" si="47"/>
        <v>0</v>
      </c>
      <c r="AM183" s="51">
        <f t="shared" si="47"/>
        <v>0</v>
      </c>
      <c r="AN183" s="51">
        <f t="shared" si="47"/>
        <v>0</v>
      </c>
      <c r="AO183" s="51">
        <f t="shared" si="47"/>
        <v>0</v>
      </c>
      <c r="AP183" s="51">
        <f t="shared" si="47"/>
        <v>0</v>
      </c>
    </row>
    <row r="184" spans="12:42">
      <c r="L184" s="72"/>
      <c r="M184" s="42">
        <f t="shared" ref="M184:M186" si="103">SUM(J184:K184)+H184*$M$1</f>
        <v>0</v>
      </c>
      <c r="P184" s="32">
        <f t="shared" si="56"/>
        <v>0</v>
      </c>
      <c r="Q184" s="32">
        <f t="shared" si="96"/>
        <v>0</v>
      </c>
      <c r="R184" s="292">
        <f t="shared" si="57"/>
        <v>0</v>
      </c>
      <c r="T184" s="33">
        <f t="shared" si="58"/>
        <v>0</v>
      </c>
      <c r="U184" s="33">
        <f t="shared" si="28"/>
        <v>0</v>
      </c>
      <c r="V184" s="50">
        <f t="shared" si="59"/>
        <v>0</v>
      </c>
      <c r="X184" s="51">
        <f t="shared" ref="X184:AM186" si="104">$V184*X$3</f>
        <v>0</v>
      </c>
      <c r="Y184" s="51">
        <f t="shared" si="104"/>
        <v>0</v>
      </c>
      <c r="Z184" s="51">
        <f t="shared" si="104"/>
        <v>0</v>
      </c>
      <c r="AA184" s="51">
        <f t="shared" si="104"/>
        <v>0</v>
      </c>
      <c r="AB184" s="51">
        <f t="shared" si="104"/>
        <v>0</v>
      </c>
      <c r="AC184" s="51">
        <f t="shared" si="104"/>
        <v>0</v>
      </c>
      <c r="AD184" s="51">
        <f t="shared" si="104"/>
        <v>0</v>
      </c>
      <c r="AE184" s="51">
        <f t="shared" si="104"/>
        <v>0</v>
      </c>
      <c r="AF184" s="51">
        <f t="shared" si="104"/>
        <v>0</v>
      </c>
      <c r="AG184" s="51">
        <f t="shared" si="104"/>
        <v>0</v>
      </c>
      <c r="AH184" s="51">
        <f t="shared" si="104"/>
        <v>0</v>
      </c>
      <c r="AI184" s="51">
        <f t="shared" si="104"/>
        <v>0</v>
      </c>
      <c r="AJ184" s="51">
        <f t="shared" si="104"/>
        <v>0</v>
      </c>
      <c r="AK184" s="51">
        <f t="shared" si="104"/>
        <v>0</v>
      </c>
      <c r="AL184" s="51">
        <f t="shared" si="104"/>
        <v>0</v>
      </c>
      <c r="AM184" s="51">
        <f t="shared" si="104"/>
        <v>0</v>
      </c>
      <c r="AN184" s="51">
        <f t="shared" ref="AH184:AP186" si="105">$V184*AN$3</f>
        <v>0</v>
      </c>
      <c r="AO184" s="51">
        <f t="shared" si="105"/>
        <v>0</v>
      </c>
      <c r="AP184" s="51">
        <f t="shared" si="105"/>
        <v>0</v>
      </c>
    </row>
    <row r="185" spans="12:42">
      <c r="L185" s="72"/>
      <c r="M185" s="42">
        <f t="shared" si="103"/>
        <v>0</v>
      </c>
      <c r="P185" s="32">
        <f t="shared" si="56"/>
        <v>0</v>
      </c>
      <c r="Q185" s="32">
        <f t="shared" si="96"/>
        <v>0</v>
      </c>
      <c r="R185" s="292">
        <f t="shared" si="57"/>
        <v>0</v>
      </c>
      <c r="T185" s="33">
        <f t="shared" si="58"/>
        <v>0</v>
      </c>
      <c r="U185" s="33">
        <f t="shared" si="28"/>
        <v>0</v>
      </c>
      <c r="V185" s="50">
        <f t="shared" si="59"/>
        <v>0</v>
      </c>
      <c r="X185" s="51">
        <f t="shared" si="104"/>
        <v>0</v>
      </c>
      <c r="Y185" s="51">
        <f t="shared" si="104"/>
        <v>0</v>
      </c>
      <c r="Z185" s="51">
        <f t="shared" si="104"/>
        <v>0</v>
      </c>
      <c r="AA185" s="51">
        <f t="shared" si="104"/>
        <v>0</v>
      </c>
      <c r="AB185" s="51">
        <f t="shared" si="104"/>
        <v>0</v>
      </c>
      <c r="AC185" s="51">
        <f t="shared" si="104"/>
        <v>0</v>
      </c>
      <c r="AD185" s="51">
        <f t="shared" si="104"/>
        <v>0</v>
      </c>
      <c r="AE185" s="51">
        <f t="shared" si="104"/>
        <v>0</v>
      </c>
      <c r="AF185" s="51">
        <f t="shared" si="104"/>
        <v>0</v>
      </c>
      <c r="AG185" s="51">
        <f t="shared" si="104"/>
        <v>0</v>
      </c>
      <c r="AH185" s="51">
        <f t="shared" si="105"/>
        <v>0</v>
      </c>
      <c r="AI185" s="51">
        <f t="shared" si="105"/>
        <v>0</v>
      </c>
      <c r="AJ185" s="51">
        <f t="shared" si="105"/>
        <v>0</v>
      </c>
      <c r="AK185" s="51">
        <f t="shared" si="105"/>
        <v>0</v>
      </c>
      <c r="AL185" s="51">
        <f t="shared" si="105"/>
        <v>0</v>
      </c>
      <c r="AM185" s="51">
        <f t="shared" si="105"/>
        <v>0</v>
      </c>
      <c r="AN185" s="51">
        <f t="shared" si="105"/>
        <v>0</v>
      </c>
      <c r="AO185" s="51">
        <f t="shared" si="105"/>
        <v>0</v>
      </c>
      <c r="AP185" s="51">
        <f t="shared" si="105"/>
        <v>0</v>
      </c>
    </row>
    <row r="186" spans="12:42">
      <c r="L186" s="72"/>
      <c r="M186" s="42">
        <f t="shared" si="103"/>
        <v>0</v>
      </c>
      <c r="P186" s="32">
        <f t="shared" si="56"/>
        <v>0</v>
      </c>
      <c r="Q186" s="32">
        <f t="shared" si="96"/>
        <v>0</v>
      </c>
      <c r="R186" s="292">
        <f t="shared" si="57"/>
        <v>0</v>
      </c>
      <c r="T186" s="33">
        <f t="shared" si="58"/>
        <v>0</v>
      </c>
      <c r="U186" s="33">
        <f t="shared" si="28"/>
        <v>0</v>
      </c>
      <c r="V186" s="50">
        <f t="shared" si="59"/>
        <v>0</v>
      </c>
      <c r="X186" s="51">
        <f t="shared" si="104"/>
        <v>0</v>
      </c>
      <c r="Y186" s="51">
        <f t="shared" si="104"/>
        <v>0</v>
      </c>
      <c r="Z186" s="51">
        <f t="shared" si="104"/>
        <v>0</v>
      </c>
      <c r="AA186" s="51">
        <f t="shared" si="104"/>
        <v>0</v>
      </c>
      <c r="AB186" s="51">
        <f t="shared" si="104"/>
        <v>0</v>
      </c>
      <c r="AC186" s="51">
        <f t="shared" si="104"/>
        <v>0</v>
      </c>
      <c r="AD186" s="51">
        <f t="shared" si="104"/>
        <v>0</v>
      </c>
      <c r="AE186" s="51">
        <f t="shared" si="104"/>
        <v>0</v>
      </c>
      <c r="AF186" s="51">
        <f t="shared" si="104"/>
        <v>0</v>
      </c>
      <c r="AG186" s="51">
        <f t="shared" si="104"/>
        <v>0</v>
      </c>
      <c r="AH186" s="51">
        <f t="shared" si="105"/>
        <v>0</v>
      </c>
      <c r="AI186" s="51">
        <f t="shared" si="105"/>
        <v>0</v>
      </c>
      <c r="AJ186" s="51">
        <f t="shared" si="105"/>
        <v>0</v>
      </c>
      <c r="AK186" s="51">
        <f t="shared" si="105"/>
        <v>0</v>
      </c>
      <c r="AL186" s="51">
        <f t="shared" si="105"/>
        <v>0</v>
      </c>
      <c r="AM186" s="51">
        <f t="shared" si="105"/>
        <v>0</v>
      </c>
      <c r="AN186" s="51">
        <f t="shared" si="105"/>
        <v>0</v>
      </c>
      <c r="AO186" s="51">
        <f t="shared" si="105"/>
        <v>0</v>
      </c>
      <c r="AP186" s="51">
        <f t="shared" si="105"/>
        <v>0</v>
      </c>
    </row>
  </sheetData>
  <sheetProtection algorithmName="SHA-512" hashValue="LsceWyTx7ZI1C9EVXjtToVoQspux0aezkZqmWUeN6YuBnVhjUzbC/aFO4s+ORmP2HGkdmV5wxyJpT+pQB+SMvA==" saltValue="lpXVJJBkGXohaZ3yhfWdnA==" spinCount="100000" sheet="1" objects="1" scenarios="1"/>
  <mergeCells count="3">
    <mergeCell ref="P1:R1"/>
    <mergeCell ref="T1:V1"/>
    <mergeCell ref="U2:V2"/>
  </mergeCells>
  <pageMargins left="0.7" right="0.7" top="0.75" bottom="0.75" header="0.3" footer="0.3"/>
  <pageSetup scale="68" orientation="landscape" r:id="rId1"/>
  <ignoredErrors>
    <ignoredError sqref="M149:M151 M153:M186 M99:M111 M113:M118 M139:M141 M122 M120 M134:M137 M78:M97 M67:M76 M4:M19 M25:M40 M145:M147 M132 M124:M129 M42:M56" formulaRange="1"/>
    <ignoredError sqref="F13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0C264-6FA8-4C88-AB61-098E795FB534}">
  <sheetPr codeName="Sheet5">
    <tabColor rgb="FFFFC000"/>
  </sheetPr>
  <dimension ref="A1:AA93"/>
  <sheetViews>
    <sheetView topLeftCell="A26" workbookViewId="0">
      <selection activeCell="E37" sqref="E37"/>
    </sheetView>
  </sheetViews>
  <sheetFormatPr defaultRowHeight="15"/>
  <cols>
    <col min="2" max="2" width="13.140625" style="2" customWidth="1"/>
    <col min="3" max="3" width="30.5703125" style="2" customWidth="1"/>
    <col min="4" max="4" width="9.140625" style="2"/>
    <col min="5" max="5" width="13.140625" style="2" customWidth="1"/>
    <col min="6" max="6" width="11.140625" style="2" customWidth="1"/>
    <col min="7" max="7" width="9.7109375" customWidth="1"/>
    <col min="8" max="8" width="12.140625" customWidth="1"/>
    <col min="10" max="10" width="11.5703125" bestFit="1" customWidth="1"/>
    <col min="11" max="11" width="10.7109375" customWidth="1"/>
    <col min="12" max="12" width="11.85546875" customWidth="1"/>
    <col min="21" max="21" width="10" customWidth="1"/>
    <col min="22" max="22" width="10.5703125" customWidth="1"/>
  </cols>
  <sheetData>
    <row r="1" spans="1:22">
      <c r="U1" s="337" t="s">
        <v>857</v>
      </c>
      <c r="V1" s="337"/>
    </row>
    <row r="2" spans="1:22">
      <c r="I2" s="303" t="s">
        <v>858</v>
      </c>
      <c r="J2" s="303"/>
      <c r="K2" s="303"/>
      <c r="L2" s="303"/>
      <c r="U2" s="37" t="s">
        <v>459</v>
      </c>
      <c r="V2" s="37" t="s">
        <v>859</v>
      </c>
    </row>
    <row r="3" spans="1:22">
      <c r="E3" s="2">
        <f>SUM(E5:E21)</f>
        <v>148</v>
      </c>
      <c r="I3" s="98">
        <f>SUM(I5:I21)</f>
        <v>105.01183727990286</v>
      </c>
      <c r="J3" s="98">
        <f>SUM(J5:J21)</f>
        <v>0</v>
      </c>
      <c r="K3" s="98">
        <f t="shared" ref="K3:L3" si="0">SUM(K5:K21)</f>
        <v>0</v>
      </c>
      <c r="L3" s="98">
        <f t="shared" si="0"/>
        <v>0</v>
      </c>
      <c r="M3" s="98">
        <f>SUM(I3:L3)</f>
        <v>105.01183727990286</v>
      </c>
      <c r="N3" s="98">
        <f>SUM(N5:N7)</f>
        <v>105.01183727990286</v>
      </c>
      <c r="U3" s="37" t="s">
        <v>860</v>
      </c>
      <c r="V3" s="37" t="s">
        <v>861</v>
      </c>
    </row>
    <row r="4" spans="1:22">
      <c r="A4" t="s">
        <v>500</v>
      </c>
      <c r="B4" s="2" t="s">
        <v>369</v>
      </c>
      <c r="C4" s="2" t="s">
        <v>393</v>
      </c>
      <c r="D4" s="2" t="s">
        <v>438</v>
      </c>
      <c r="E4" s="2" t="s">
        <v>205</v>
      </c>
      <c r="G4" s="2" t="s">
        <v>862</v>
      </c>
      <c r="H4" s="2" t="s">
        <v>329</v>
      </c>
      <c r="I4" s="2" t="s">
        <v>863</v>
      </c>
      <c r="J4" s="2" t="s">
        <v>864</v>
      </c>
      <c r="K4" s="2" t="s">
        <v>865</v>
      </c>
      <c r="L4" s="2" t="s">
        <v>866</v>
      </c>
      <c r="U4" s="37" t="s">
        <v>867</v>
      </c>
      <c r="V4" s="37" t="s">
        <v>868</v>
      </c>
    </row>
    <row r="5" spans="1:22">
      <c r="B5" s="2">
        <v>4</v>
      </c>
      <c r="C5" s="2">
        <v>32</v>
      </c>
      <c r="D5" s="2">
        <v>72</v>
      </c>
      <c r="E5" s="2">
        <f>((C5*D5)/144)*2*B5</f>
        <v>128</v>
      </c>
      <c r="G5" s="107" t="s">
        <v>869</v>
      </c>
      <c r="H5" s="98">
        <f>IF(G5="","",VLOOKUP(G5,B27:M74,12,0))</f>
        <v>0.82040497874924112</v>
      </c>
      <c r="I5" s="98">
        <f>IF(H5="","",E5*H5)</f>
        <v>105.01183727990286</v>
      </c>
      <c r="J5" s="98" cm="1">
        <f t="array" ref="J5">IFERROR(LOOKUP($G5,$B$27:$B$36,$I$27:$I$36*$E5),0)</f>
        <v>0</v>
      </c>
      <c r="K5" s="98" cm="1">
        <f t="array" ref="K5">IFERROR(LOOKUP($G5,$B$27:$B$36,$J$27:$J$36*$E5),0)</f>
        <v>0</v>
      </c>
      <c r="L5" s="98" cm="1">
        <f t="array" ref="L5">IFERROR(LOOKUP($G5,$B$27:$B$36,$K$27:$K$36*$E5),0)</f>
        <v>0</v>
      </c>
      <c r="N5" s="98">
        <f>SUM(I5:K5)</f>
        <v>105.01183727990286</v>
      </c>
      <c r="U5" s="37" t="s">
        <v>870</v>
      </c>
      <c r="V5" s="37" t="s">
        <v>871</v>
      </c>
    </row>
    <row r="6" spans="1:22">
      <c r="B6" s="2">
        <v>1</v>
      </c>
      <c r="C6" s="2">
        <v>48</v>
      </c>
      <c r="D6" s="2">
        <v>30</v>
      </c>
      <c r="E6" s="2">
        <f t="shared" ref="E6:E21" si="1">((C6*D6)/144)*2*B6</f>
        <v>20</v>
      </c>
      <c r="G6" s="107"/>
      <c r="H6" s="98" t="str">
        <f t="shared" ref="H6:H21" si="2">IF(G6="","",VLOOKUP(G6,B28:M75,10,0))</f>
        <v/>
      </c>
      <c r="I6" s="98" t="str">
        <f t="shared" ref="I6:I21" si="3">IF(H6="","",E6*H6)</f>
        <v/>
      </c>
      <c r="J6" s="98" cm="1">
        <f t="array" ref="J6">IFERROR(LOOKUP($G6,$B$27:$B$36,$I$27:$I$36*$E6),0)</f>
        <v>0</v>
      </c>
      <c r="K6" s="98" cm="1">
        <f t="array" ref="K6">IFERROR(LOOKUP($G6,$B$27:$B$36,$J$27:$J$36*$E6),0)</f>
        <v>0</v>
      </c>
      <c r="L6" s="98" cm="1">
        <f t="array" ref="L6">IFERROR(LOOKUP($G6,$B$27:$B$36,$K$27:$K$36*$E6),0)</f>
        <v>0</v>
      </c>
      <c r="N6" s="98">
        <f>SUM(I6:K6)</f>
        <v>0</v>
      </c>
      <c r="U6" s="37" t="s">
        <v>872</v>
      </c>
      <c r="V6" s="37" t="s">
        <v>873</v>
      </c>
    </row>
    <row r="7" spans="1:22">
      <c r="E7" s="2">
        <f t="shared" si="1"/>
        <v>0</v>
      </c>
      <c r="G7" s="107"/>
      <c r="H7" s="98" t="str">
        <f t="shared" si="2"/>
        <v/>
      </c>
      <c r="I7" s="98" t="str">
        <f t="shared" si="3"/>
        <v/>
      </c>
      <c r="J7" s="98" cm="1">
        <f t="array" ref="J7">IFERROR(LOOKUP($G7,$B$27:$B$36,$I$27:$I$36*$E7),0)</f>
        <v>0</v>
      </c>
      <c r="K7" s="98" cm="1">
        <f t="array" ref="K7">IFERROR(LOOKUP($G7,$B$27:$B$36,$J$27:$J$36*$E7),0)</f>
        <v>0</v>
      </c>
      <c r="L7" s="98" cm="1">
        <f t="array" ref="L7">IFERROR(LOOKUP($G7,$B$27:$B$36,$K$27:$K$36*$E7),0)</f>
        <v>0</v>
      </c>
      <c r="N7" s="98">
        <f>SUM(I7:K7)</f>
        <v>0</v>
      </c>
      <c r="U7" s="37" t="s">
        <v>874</v>
      </c>
      <c r="V7" s="37" t="s">
        <v>875</v>
      </c>
    </row>
    <row r="8" spans="1:22">
      <c r="E8" s="2">
        <f t="shared" si="1"/>
        <v>0</v>
      </c>
      <c r="G8" s="107"/>
      <c r="H8" s="98" t="str">
        <f t="shared" si="2"/>
        <v/>
      </c>
      <c r="I8" s="98" t="str">
        <f t="shared" si="3"/>
        <v/>
      </c>
      <c r="J8" s="98" cm="1">
        <f t="array" ref="J8">IFERROR(LOOKUP($G8,$B$27:$B$36,$I$27:$I$36*$E8),0)</f>
        <v>0</v>
      </c>
      <c r="K8" s="98" cm="1">
        <f t="array" ref="K8">IFERROR(LOOKUP($G8,$B$27:$B$36,$J$27:$J$36*$E8),0)</f>
        <v>0</v>
      </c>
      <c r="L8" s="98" cm="1">
        <f t="array" ref="L8">IFERROR(LOOKUP($G8,$B$27:$B$36,$K$27:$K$36*$E8),0)</f>
        <v>0</v>
      </c>
      <c r="U8" s="37" t="s">
        <v>876</v>
      </c>
      <c r="V8" s="37" t="s">
        <v>877</v>
      </c>
    </row>
    <row r="9" spans="1:22">
      <c r="E9" s="2">
        <f t="shared" si="1"/>
        <v>0</v>
      </c>
      <c r="G9" s="107"/>
      <c r="H9" s="98" t="str">
        <f t="shared" si="2"/>
        <v/>
      </c>
      <c r="I9" s="98" t="str">
        <f t="shared" si="3"/>
        <v/>
      </c>
      <c r="J9" s="98" cm="1">
        <f t="array" ref="J9">IFERROR(LOOKUP($G9,$B$27:$B$36,$I$27:$I$36*$E9),0)</f>
        <v>0</v>
      </c>
      <c r="K9" s="98" cm="1">
        <f t="array" ref="K9">IFERROR(LOOKUP($G9,$B$27:$B$36,$J$27:$J$36*$E9),0)</f>
        <v>0</v>
      </c>
      <c r="L9" s="98" cm="1">
        <f t="array" ref="L9">IFERROR(LOOKUP($G9,$B$27:$B$36,$K$27:$K$36*$E9),0)</f>
        <v>0</v>
      </c>
      <c r="U9" s="37" t="s">
        <v>878</v>
      </c>
      <c r="V9" s="37" t="s">
        <v>879</v>
      </c>
    </row>
    <row r="10" spans="1:22">
      <c r="E10" s="2">
        <f t="shared" si="1"/>
        <v>0</v>
      </c>
      <c r="G10" s="107"/>
      <c r="H10" s="98" t="str">
        <f t="shared" si="2"/>
        <v/>
      </c>
      <c r="I10" s="98" t="str">
        <f t="shared" si="3"/>
        <v/>
      </c>
      <c r="J10" s="98" cm="1">
        <f t="array" ref="J10">IFERROR(LOOKUP($G10,$B$27:$B$36,$I$27:$I$36*$E10),0)</f>
        <v>0</v>
      </c>
      <c r="K10" s="98" cm="1">
        <f t="array" ref="K10">IFERROR(LOOKUP($G10,$B$27:$B$36,$J$27:$J$36*$E10),0)</f>
        <v>0</v>
      </c>
      <c r="L10" s="98" cm="1">
        <f t="array" ref="L10">IFERROR(LOOKUP($G10,$B$27:$B$36,$K$27:$K$36*$E10),0)</f>
        <v>0</v>
      </c>
      <c r="U10" s="37" t="s">
        <v>880</v>
      </c>
      <c r="V10" s="37" t="s">
        <v>881</v>
      </c>
    </row>
    <row r="11" spans="1:22">
      <c r="E11" s="2">
        <f t="shared" si="1"/>
        <v>0</v>
      </c>
      <c r="G11" s="107"/>
      <c r="H11" s="98" t="str">
        <f t="shared" si="2"/>
        <v/>
      </c>
      <c r="I11" s="98" t="str">
        <f t="shared" si="3"/>
        <v/>
      </c>
      <c r="J11" s="98" cm="1">
        <f t="array" ref="J11">IFERROR(LOOKUP($G11,$B$27:$B$36,$I$27:$I$36*$E11),0)</f>
        <v>0</v>
      </c>
      <c r="K11" s="98" cm="1">
        <f t="array" ref="K11">IFERROR(LOOKUP($G11,$B$27:$B$36,$J$27:$J$36*$E11),0)</f>
        <v>0</v>
      </c>
      <c r="L11" s="98" cm="1">
        <f t="array" ref="L11">IFERROR(LOOKUP($G11,$B$27:$B$36,$K$27:$K$36*$E11),0)</f>
        <v>0</v>
      </c>
      <c r="U11" s="37" t="s">
        <v>882</v>
      </c>
      <c r="V11" s="37" t="s">
        <v>883</v>
      </c>
    </row>
    <row r="12" spans="1:22">
      <c r="E12" s="2">
        <f t="shared" si="1"/>
        <v>0</v>
      </c>
      <c r="G12" s="107"/>
      <c r="H12" s="98" t="str">
        <f t="shared" si="2"/>
        <v/>
      </c>
      <c r="I12" s="98" t="str">
        <f t="shared" si="3"/>
        <v/>
      </c>
      <c r="J12" s="98" cm="1">
        <f t="array" ref="J12">IFERROR(LOOKUP($G12,$B$27:$B$36,$I$27:$I$36*$E12),0)</f>
        <v>0</v>
      </c>
      <c r="K12" s="98" cm="1">
        <f t="array" ref="K12">IFERROR(LOOKUP($G12,$B$27:$B$36,$J$27:$J$36*$E12),0)</f>
        <v>0</v>
      </c>
      <c r="L12" s="98" cm="1">
        <f t="array" ref="L12">IFERROR(LOOKUP($G12,$B$27:$B$36,$K$27:$K$36*$E12),0)</f>
        <v>0</v>
      </c>
      <c r="U12" s="37" t="s">
        <v>884</v>
      </c>
      <c r="V12" s="37" t="s">
        <v>885</v>
      </c>
    </row>
    <row r="13" spans="1:22">
      <c r="E13" s="2">
        <f t="shared" si="1"/>
        <v>0</v>
      </c>
      <c r="G13" s="107"/>
      <c r="H13" s="98" t="str">
        <f t="shared" si="2"/>
        <v/>
      </c>
      <c r="I13" s="98" t="str">
        <f t="shared" si="3"/>
        <v/>
      </c>
      <c r="J13" s="98" cm="1">
        <f t="array" ref="J13">IFERROR(LOOKUP($G13,$B$27:$B$36,$I$27:$I$36*$E13),0)</f>
        <v>0</v>
      </c>
      <c r="K13" s="98" cm="1">
        <f t="array" ref="K13">IFERROR(LOOKUP($G13,$B$27:$B$36,$J$27:$J$36*$E13),0)</f>
        <v>0</v>
      </c>
      <c r="L13" s="98" cm="1">
        <f t="array" ref="L13">IFERROR(LOOKUP($G13,$B$27:$B$36,$K$27:$K$36*$E13),0)</f>
        <v>0</v>
      </c>
      <c r="U13" s="37" t="s">
        <v>395</v>
      </c>
      <c r="V13" s="37" t="s">
        <v>886</v>
      </c>
    </row>
    <row r="14" spans="1:22">
      <c r="E14" s="2">
        <f t="shared" si="1"/>
        <v>0</v>
      </c>
      <c r="G14" s="107"/>
      <c r="H14" s="98" t="str">
        <f t="shared" si="2"/>
        <v/>
      </c>
      <c r="I14" s="98" t="str">
        <f t="shared" si="3"/>
        <v/>
      </c>
      <c r="J14" s="98" cm="1">
        <f t="array" ref="J14">IFERROR(LOOKUP($G14,$B$27:$B$36,$I$27:$I$36*$E14),0)</f>
        <v>0</v>
      </c>
      <c r="K14" s="98" cm="1">
        <f t="array" ref="K14">IFERROR(LOOKUP($G14,$B$27:$B$36,$J$27:$J$36*$E14),0)</f>
        <v>0</v>
      </c>
      <c r="L14" s="98" cm="1">
        <f t="array" ref="L14">IFERROR(LOOKUP($G14,$B$27:$B$36,$K$27:$K$36*$E14),0)</f>
        <v>0</v>
      </c>
      <c r="U14" s="37" t="s">
        <v>887</v>
      </c>
      <c r="V14" s="37" t="s">
        <v>888</v>
      </c>
    </row>
    <row r="15" spans="1:22">
      <c r="E15" s="2">
        <f t="shared" si="1"/>
        <v>0</v>
      </c>
      <c r="G15" s="107"/>
      <c r="H15" s="98" t="str">
        <f t="shared" si="2"/>
        <v/>
      </c>
      <c r="I15" s="98" t="str">
        <f t="shared" si="3"/>
        <v/>
      </c>
      <c r="J15" s="98" cm="1">
        <f t="array" ref="J15">IFERROR(LOOKUP($G15,$B$27:$B$36,$I$27:$I$36*$E15),0)</f>
        <v>0</v>
      </c>
      <c r="K15" s="98" cm="1">
        <f t="array" ref="K15">IFERROR(LOOKUP($G15,$B$27:$B$36,$J$27:$J$36*$E15),0)</f>
        <v>0</v>
      </c>
      <c r="L15" s="98" cm="1">
        <f t="array" ref="L15">IFERROR(LOOKUP($G15,$B$27:$B$36,$K$27:$K$36*$E15),0)</f>
        <v>0</v>
      </c>
      <c r="U15" s="37" t="s">
        <v>889</v>
      </c>
      <c r="V15" s="37" t="s">
        <v>890</v>
      </c>
    </row>
    <row r="16" spans="1:22">
      <c r="E16" s="2">
        <f t="shared" si="1"/>
        <v>0</v>
      </c>
      <c r="G16" s="107"/>
      <c r="H16" s="98" t="str">
        <f t="shared" si="2"/>
        <v/>
      </c>
      <c r="I16" s="98" t="str">
        <f t="shared" si="3"/>
        <v/>
      </c>
      <c r="J16" s="98" cm="1">
        <f t="array" ref="J16">IFERROR(LOOKUP($G16,$B$27:$B$36,$I$27:$I$36*$E16),0)</f>
        <v>0</v>
      </c>
      <c r="K16" s="98" cm="1">
        <f t="array" ref="K16">IFERROR(LOOKUP($G16,$B$27:$B$36,$J$27:$J$36*$E16),0)</f>
        <v>0</v>
      </c>
      <c r="L16" s="98" cm="1">
        <f t="array" ref="L16">IFERROR(LOOKUP($G16,$B$27:$B$36,$K$27:$K$36*$E16),0)</f>
        <v>0</v>
      </c>
      <c r="U16" s="37" t="s">
        <v>891</v>
      </c>
      <c r="V16" s="37" t="s">
        <v>892</v>
      </c>
    </row>
    <row r="17" spans="2:22">
      <c r="E17" s="2">
        <f t="shared" si="1"/>
        <v>0</v>
      </c>
      <c r="G17" s="107"/>
      <c r="H17" s="98" t="str">
        <f t="shared" si="2"/>
        <v/>
      </c>
      <c r="I17" s="98" t="str">
        <f t="shared" si="3"/>
        <v/>
      </c>
      <c r="J17" s="98" cm="1">
        <f t="array" ref="J17">IFERROR(LOOKUP($G17,$B$27:$B$36,$I$27:$I$36*$E17),0)</f>
        <v>0</v>
      </c>
      <c r="K17" s="98" cm="1">
        <f t="array" ref="K17">IFERROR(LOOKUP($G17,$B$27:$B$36,$J$27:$J$36*$E17),0)</f>
        <v>0</v>
      </c>
      <c r="L17" s="98" cm="1">
        <f t="array" ref="L17">IFERROR(LOOKUP($G17,$B$27:$B$36,$K$27:$K$36*$E17),0)</f>
        <v>0</v>
      </c>
      <c r="U17" s="37" t="s">
        <v>893</v>
      </c>
      <c r="V17" s="37" t="s">
        <v>894</v>
      </c>
    </row>
    <row r="18" spans="2:22">
      <c r="E18" s="2">
        <f t="shared" si="1"/>
        <v>0</v>
      </c>
      <c r="G18" s="107"/>
      <c r="H18" s="98" t="str">
        <f t="shared" si="2"/>
        <v/>
      </c>
      <c r="I18" s="98" t="str">
        <f t="shared" si="3"/>
        <v/>
      </c>
      <c r="J18" s="98" cm="1">
        <f t="array" ref="J18">IFERROR(LOOKUP($G18,$B$27:$B$36,$I$27:$I$36*$E18),0)</f>
        <v>0</v>
      </c>
      <c r="K18" s="98" cm="1">
        <f t="array" ref="K18">IFERROR(LOOKUP($G18,$B$27:$B$36,$J$27:$J$36*$E18),0)</f>
        <v>0</v>
      </c>
      <c r="L18" s="98" cm="1">
        <f t="array" ref="L18">IFERROR(LOOKUP($G18,$B$27:$B$36,$K$27:$K$36*$E18),0)</f>
        <v>0</v>
      </c>
      <c r="U18" s="37" t="s">
        <v>895</v>
      </c>
      <c r="V18" s="37" t="s">
        <v>896</v>
      </c>
    </row>
    <row r="19" spans="2:22">
      <c r="E19" s="2">
        <f t="shared" si="1"/>
        <v>0</v>
      </c>
      <c r="G19" s="107"/>
      <c r="H19" s="98" t="str">
        <f t="shared" si="2"/>
        <v/>
      </c>
      <c r="I19" s="98" t="str">
        <f t="shared" si="3"/>
        <v/>
      </c>
      <c r="J19" s="98" cm="1">
        <f t="array" ref="J19">IFERROR(LOOKUP($G19,$B$27:$B$36,$I$27:$I$36*$E19),0)</f>
        <v>0</v>
      </c>
      <c r="K19" s="98" cm="1">
        <f t="array" ref="K19">IFERROR(LOOKUP($G19,$B$27:$B$36,$J$27:$J$36*$E19),0)</f>
        <v>0</v>
      </c>
      <c r="L19" s="98" cm="1">
        <f t="array" ref="L19">IFERROR(LOOKUP($G19,$B$27:$B$36,$K$27:$K$36*$E19),0)</f>
        <v>0</v>
      </c>
      <c r="U19" s="37" t="s">
        <v>897</v>
      </c>
      <c r="V19" s="37" t="s">
        <v>898</v>
      </c>
    </row>
    <row r="20" spans="2:22">
      <c r="E20" s="2">
        <f t="shared" si="1"/>
        <v>0</v>
      </c>
      <c r="G20" s="107"/>
      <c r="H20" s="98" t="str">
        <f t="shared" si="2"/>
        <v/>
      </c>
      <c r="I20" s="98" t="str">
        <f t="shared" si="3"/>
        <v/>
      </c>
      <c r="J20" s="98" cm="1">
        <f t="array" ref="J20">IFERROR(LOOKUP($G20,$B$27:$B$36,$I$27:$I$36*$E20),0)</f>
        <v>0</v>
      </c>
      <c r="K20" s="98" cm="1">
        <f t="array" ref="K20">IFERROR(LOOKUP($G20,$B$27:$B$36,$J$27:$J$36*$E20),0)</f>
        <v>0</v>
      </c>
      <c r="L20" s="98" cm="1">
        <f t="array" ref="L20">IFERROR(LOOKUP($G20,$B$27:$B$36,$K$27:$K$36*$E20),0)</f>
        <v>0</v>
      </c>
      <c r="U20" s="37" t="s">
        <v>899</v>
      </c>
      <c r="V20" s="37" t="s">
        <v>900</v>
      </c>
    </row>
    <row r="21" spans="2:22">
      <c r="E21" s="2">
        <f t="shared" si="1"/>
        <v>0</v>
      </c>
      <c r="G21" s="107"/>
      <c r="H21" s="98" t="str">
        <f t="shared" si="2"/>
        <v/>
      </c>
      <c r="I21" s="98" t="str">
        <f t="shared" si="3"/>
        <v/>
      </c>
      <c r="J21" s="98" cm="1">
        <f t="array" ref="J21">IFERROR(LOOKUP($G21,$B$27:$B$36,$I$27:$I$36*$E21),0)</f>
        <v>0</v>
      </c>
      <c r="K21" s="98" cm="1">
        <f t="array" ref="K21">IFERROR(LOOKUP($G21,$B$27:$B$36,$J$27:$J$36*$E21),0)</f>
        <v>0</v>
      </c>
      <c r="L21" s="98" cm="1">
        <f t="array" ref="L21">IFERROR(LOOKUP($G21,$B$27:$B$36,$K$27:$K$36*$E21),0)</f>
        <v>0</v>
      </c>
      <c r="U21" s="37" t="s">
        <v>901</v>
      </c>
      <c r="V21" s="37" t="s">
        <v>902</v>
      </c>
    </row>
    <row r="22" spans="2:22">
      <c r="H22" s="2" t="s">
        <v>903</v>
      </c>
      <c r="U22" s="37" t="s">
        <v>904</v>
      </c>
      <c r="V22" s="37" t="s">
        <v>905</v>
      </c>
    </row>
    <row r="23" spans="2:22">
      <c r="H23" s="30">
        <f>AVERAGE(H27:H63)</f>
        <v>3.6053762009189638E-2</v>
      </c>
      <c r="N23" s="2" t="s">
        <v>906</v>
      </c>
    </row>
    <row r="24" spans="2:22">
      <c r="H24" s="73">
        <f>25*1.2</f>
        <v>30</v>
      </c>
      <c r="K24" s="303" t="s">
        <v>903</v>
      </c>
      <c r="L24" s="303"/>
      <c r="M24" s="2" t="s">
        <v>329</v>
      </c>
      <c r="N24" s="5">
        <f>AVERAGE(N27:N62)</f>
        <v>5.5374287822624935E-2</v>
      </c>
    </row>
    <row r="25" spans="2:22">
      <c r="H25" s="2" t="s">
        <v>370</v>
      </c>
      <c r="K25" s="5">
        <f>AVERAGE(K27:K68)</f>
        <v>2.196137378620254</v>
      </c>
      <c r="L25" s="5">
        <f>AVERAGE(L27:L73)</f>
        <v>2.4271623354610106</v>
      </c>
      <c r="M25">
        <v>1.1000000000000001</v>
      </c>
      <c r="N25" s="73">
        <f>30*1.2</f>
        <v>36</v>
      </c>
      <c r="V25" s="37">
        <f>34/16</f>
        <v>2.125</v>
      </c>
    </row>
    <row r="26" spans="2:22" ht="17.25">
      <c r="B26" s="107" t="s">
        <v>907</v>
      </c>
      <c r="C26" s="2" t="s">
        <v>335</v>
      </c>
      <c r="D26" s="2" t="s">
        <v>908</v>
      </c>
      <c r="E26" s="2" t="s">
        <v>909</v>
      </c>
      <c r="F26" s="2" t="s">
        <v>247</v>
      </c>
      <c r="G26" s="2" t="s">
        <v>823</v>
      </c>
      <c r="H26" s="2" t="s">
        <v>910</v>
      </c>
      <c r="I26" s="2" t="s">
        <v>205</v>
      </c>
      <c r="J26" s="2" t="s">
        <v>50</v>
      </c>
      <c r="K26" s="2" t="s">
        <v>329</v>
      </c>
      <c r="L26" s="2" t="s">
        <v>911</v>
      </c>
      <c r="M26" s="2" t="s">
        <v>912</v>
      </c>
      <c r="N26" s="2" t="s">
        <v>396</v>
      </c>
      <c r="R26" t="s">
        <v>913</v>
      </c>
      <c r="V26">
        <f>48*48/144</f>
        <v>16</v>
      </c>
    </row>
    <row r="27" spans="2:22">
      <c r="B27" s="110" t="s">
        <v>459</v>
      </c>
      <c r="C27" s="37" t="s">
        <v>859</v>
      </c>
      <c r="D27" s="2">
        <v>631</v>
      </c>
      <c r="E27" s="6">
        <v>80.790000000000006</v>
      </c>
      <c r="F27" s="6">
        <f>E27*0.65</f>
        <v>52.513500000000008</v>
      </c>
      <c r="G27">
        <v>16</v>
      </c>
      <c r="H27" s="42">
        <f>(I27/570)/144*H24</f>
        <v>6.9225146198830419E-3</v>
      </c>
      <c r="I27" s="2">
        <v>18.940000000000001</v>
      </c>
      <c r="J27" s="6"/>
      <c r="K27" s="73">
        <f>IF(I27="","",F27/I27)</f>
        <v>2.7726240760295671</v>
      </c>
      <c r="L27" s="73">
        <f>IF(G27="","",F27/G27)</f>
        <v>3.2820937500000005</v>
      </c>
      <c r="M27" s="5">
        <f>IF(G27="","",K27*$M$25)+$M$48</f>
        <v>3.8702914623817652</v>
      </c>
      <c r="N27" s="73">
        <f>(I27/607)/144*N25</f>
        <v>7.8006589785831974E-3</v>
      </c>
      <c r="R27" s="2" t="s">
        <v>369</v>
      </c>
      <c r="S27" s="2" t="s">
        <v>393</v>
      </c>
      <c r="T27" s="2" t="s">
        <v>438</v>
      </c>
      <c r="U27" s="2" t="s">
        <v>205</v>
      </c>
    </row>
    <row r="28" spans="2:22">
      <c r="B28" s="110" t="s">
        <v>860</v>
      </c>
      <c r="C28" s="37" t="s">
        <v>861</v>
      </c>
      <c r="E28" s="6">
        <v>87.25</v>
      </c>
      <c r="F28" s="6">
        <f t="shared" ref="F28:F65" si="4">E28*0.65</f>
        <v>56.712499999999999</v>
      </c>
      <c r="G28">
        <v>16</v>
      </c>
      <c r="H28" s="94"/>
      <c r="I28" s="2">
        <v>18.940000000000001</v>
      </c>
      <c r="J28" s="73"/>
      <c r="K28" s="73">
        <f t="shared" ref="K28:K71" si="5">IF(I28="","",F28/I28)</f>
        <v>2.9943241816261876</v>
      </c>
      <c r="L28" s="73">
        <f t="shared" ref="L28:L50" si="6">IF(G28="","",F28/G28)</f>
        <v>3.5445312499999999</v>
      </c>
      <c r="M28" s="5">
        <f t="shared" ref="M28:M47" si="7">IF(G28="","",K28*$M$25)+$M$48</f>
        <v>4.1141615785380479</v>
      </c>
      <c r="N28" s="73"/>
      <c r="Q28">
        <v>1</v>
      </c>
      <c r="R28">
        <v>1</v>
      </c>
      <c r="S28">
        <v>44</v>
      </c>
      <c r="T28">
        <v>36</v>
      </c>
      <c r="U28">
        <f>(((S28*T28/144)*2)+(((S28/12)*2)*(1.5/12))+(((T28/12)*2)*(1.5/12)))*R28</f>
        <v>23.666666666666668</v>
      </c>
    </row>
    <row r="29" spans="2:22">
      <c r="B29" s="110" t="s">
        <v>867</v>
      </c>
      <c r="C29" s="37" t="s">
        <v>868</v>
      </c>
      <c r="E29" s="6">
        <v>84.61</v>
      </c>
      <c r="F29" s="6">
        <f t="shared" si="4"/>
        <v>54.996500000000005</v>
      </c>
      <c r="G29">
        <v>16</v>
      </c>
      <c r="H29" s="94"/>
      <c r="I29" s="2">
        <v>18.940000000000001</v>
      </c>
      <c r="J29" s="73"/>
      <c r="K29" s="73">
        <f t="shared" si="5"/>
        <v>2.9037222808870116</v>
      </c>
      <c r="L29" s="73">
        <f t="shared" si="6"/>
        <v>3.4372812500000003</v>
      </c>
      <c r="M29" s="5">
        <f t="shared" si="7"/>
        <v>4.0144994877249545</v>
      </c>
      <c r="N29" s="73"/>
      <c r="Q29">
        <v>2</v>
      </c>
      <c r="U29">
        <f t="shared" ref="U29:U56" si="8">(((S29*T29/144)*2)+(((S29/12)*2)*(1.5/12))+(((T29/12)*2)*(1.5/12)))*R29</f>
        <v>0</v>
      </c>
    </row>
    <row r="30" spans="2:22">
      <c r="B30" s="110" t="s">
        <v>870</v>
      </c>
      <c r="C30" s="37" t="s">
        <v>871</v>
      </c>
      <c r="E30" s="6">
        <v>84.14</v>
      </c>
      <c r="F30" s="6">
        <f t="shared" si="4"/>
        <v>54.691000000000003</v>
      </c>
      <c r="G30">
        <v>16</v>
      </c>
      <c r="H30" s="94"/>
      <c r="I30" s="2">
        <v>18.940000000000001</v>
      </c>
      <c r="J30" s="73"/>
      <c r="K30" s="73">
        <f t="shared" si="5"/>
        <v>2.8875923970432944</v>
      </c>
      <c r="L30" s="73">
        <f t="shared" si="6"/>
        <v>3.4181875000000002</v>
      </c>
      <c r="M30" s="5">
        <f t="shared" si="7"/>
        <v>3.996756615496865</v>
      </c>
      <c r="N30" s="73"/>
      <c r="Q30">
        <v>3</v>
      </c>
      <c r="U30">
        <f t="shared" si="8"/>
        <v>0</v>
      </c>
    </row>
    <row r="31" spans="2:22">
      <c r="B31" s="110" t="s">
        <v>872</v>
      </c>
      <c r="C31" s="37" t="s">
        <v>873</v>
      </c>
      <c r="E31" s="6">
        <v>83</v>
      </c>
      <c r="F31" s="6">
        <f t="shared" si="4"/>
        <v>53.95</v>
      </c>
      <c r="G31">
        <v>16</v>
      </c>
      <c r="H31" s="94"/>
      <c r="I31" s="2">
        <v>18.940000000000001</v>
      </c>
      <c r="J31" s="73"/>
      <c r="K31" s="73">
        <f t="shared" si="5"/>
        <v>2.8484688489968319</v>
      </c>
      <c r="L31" s="73">
        <f t="shared" si="6"/>
        <v>3.3718750000000002</v>
      </c>
      <c r="M31" s="5">
        <f t="shared" si="7"/>
        <v>3.9537207126457563</v>
      </c>
      <c r="N31" s="73"/>
      <c r="Q31">
        <v>4</v>
      </c>
      <c r="U31">
        <f t="shared" si="8"/>
        <v>0</v>
      </c>
    </row>
    <row r="32" spans="2:22">
      <c r="B32" s="110" t="s">
        <v>874</v>
      </c>
      <c r="C32" s="37" t="s">
        <v>875</v>
      </c>
      <c r="E32" s="6">
        <v>83.29</v>
      </c>
      <c r="F32" s="6">
        <f t="shared" si="4"/>
        <v>54.138500000000008</v>
      </c>
      <c r="G32">
        <v>16</v>
      </c>
      <c r="H32" s="94"/>
      <c r="I32" s="2">
        <v>18.940000000000001</v>
      </c>
      <c r="J32" s="73"/>
      <c r="K32" s="73">
        <f t="shared" si="5"/>
        <v>2.8584213305174235</v>
      </c>
      <c r="L32" s="73">
        <f t="shared" si="6"/>
        <v>3.3836562500000005</v>
      </c>
      <c r="M32" s="5">
        <f t="shared" si="7"/>
        <v>3.9646684423184073</v>
      </c>
      <c r="N32" s="73"/>
      <c r="Q32">
        <v>5</v>
      </c>
      <c r="U32">
        <f t="shared" si="8"/>
        <v>0</v>
      </c>
    </row>
    <row r="33" spans="2:21">
      <c r="B33" s="110" t="s">
        <v>876</v>
      </c>
      <c r="C33" s="37" t="s">
        <v>877</v>
      </c>
      <c r="E33" s="6">
        <v>89.12</v>
      </c>
      <c r="F33" s="6">
        <f t="shared" si="4"/>
        <v>57.928000000000004</v>
      </c>
      <c r="G33">
        <v>16</v>
      </c>
      <c r="H33" s="94"/>
      <c r="I33" s="2">
        <v>18.940000000000001</v>
      </c>
      <c r="J33" s="73"/>
      <c r="K33" s="73">
        <f t="shared" si="5"/>
        <v>3.0585005279831043</v>
      </c>
      <c r="L33" s="73">
        <f t="shared" si="6"/>
        <v>3.6205000000000003</v>
      </c>
      <c r="M33" s="5">
        <f t="shared" si="7"/>
        <v>4.1847555595306556</v>
      </c>
      <c r="N33" s="73"/>
      <c r="Q33">
        <v>6</v>
      </c>
      <c r="U33">
        <f t="shared" si="8"/>
        <v>0</v>
      </c>
    </row>
    <row r="34" spans="2:21">
      <c r="B34" s="110" t="s">
        <v>878</v>
      </c>
      <c r="C34" s="37" t="s">
        <v>879</v>
      </c>
      <c r="E34" s="6"/>
      <c r="F34" s="6">
        <f t="shared" si="4"/>
        <v>0</v>
      </c>
      <c r="G34">
        <v>16</v>
      </c>
      <c r="H34" s="94"/>
      <c r="I34" s="2">
        <v>18.940000000000001</v>
      </c>
      <c r="J34" s="73"/>
      <c r="K34" s="73">
        <f t="shared" si="5"/>
        <v>0</v>
      </c>
      <c r="L34" s="73">
        <f t="shared" si="6"/>
        <v>0</v>
      </c>
      <c r="M34" s="5">
        <f t="shared" si="7"/>
        <v>0.82040497874924112</v>
      </c>
      <c r="N34" s="73"/>
      <c r="Q34">
        <v>7</v>
      </c>
      <c r="U34">
        <f t="shared" si="8"/>
        <v>0</v>
      </c>
    </row>
    <row r="35" spans="2:21">
      <c r="B35" s="110" t="s">
        <v>880</v>
      </c>
      <c r="C35" s="37" t="s">
        <v>881</v>
      </c>
      <c r="E35" s="6"/>
      <c r="F35" s="6">
        <f t="shared" si="4"/>
        <v>0</v>
      </c>
      <c r="G35">
        <v>16</v>
      </c>
      <c r="H35" s="94"/>
      <c r="I35" s="2">
        <v>18.940000000000001</v>
      </c>
      <c r="J35" s="73"/>
      <c r="K35" s="73">
        <f t="shared" si="5"/>
        <v>0</v>
      </c>
      <c r="L35" s="73">
        <f t="shared" si="6"/>
        <v>0</v>
      </c>
      <c r="M35" s="5">
        <f t="shared" si="7"/>
        <v>0.82040497874924112</v>
      </c>
      <c r="N35" s="73"/>
      <c r="Q35">
        <v>8</v>
      </c>
      <c r="U35">
        <f t="shared" si="8"/>
        <v>0</v>
      </c>
    </row>
    <row r="36" spans="2:21">
      <c r="B36" s="110" t="s">
        <v>882</v>
      </c>
      <c r="C36" s="37" t="s">
        <v>883</v>
      </c>
      <c r="E36" s="6">
        <v>83.56</v>
      </c>
      <c r="F36" s="6">
        <f t="shared" si="4"/>
        <v>54.314</v>
      </c>
      <c r="G36">
        <v>16</v>
      </c>
      <c r="H36" s="94"/>
      <c r="I36" s="2">
        <v>18.940000000000001</v>
      </c>
      <c r="J36" s="73"/>
      <c r="K36" s="73">
        <f t="shared" si="5"/>
        <v>2.8676874340021117</v>
      </c>
      <c r="L36" s="73">
        <f t="shared" si="6"/>
        <v>3.394625</v>
      </c>
      <c r="M36" s="5">
        <f t="shared" si="7"/>
        <v>3.9748611561515643</v>
      </c>
      <c r="N36" s="73"/>
      <c r="Q36">
        <v>9</v>
      </c>
      <c r="U36">
        <f t="shared" si="8"/>
        <v>0</v>
      </c>
    </row>
    <row r="37" spans="2:21">
      <c r="B37" s="110" t="s">
        <v>884</v>
      </c>
      <c r="C37" s="37" t="s">
        <v>885</v>
      </c>
      <c r="E37" s="6">
        <v>98.03</v>
      </c>
      <c r="F37" s="6">
        <f t="shared" si="4"/>
        <v>63.719500000000004</v>
      </c>
      <c r="G37">
        <v>16</v>
      </c>
      <c r="H37" s="94"/>
      <c r="I37" s="2">
        <v>18.940000000000001</v>
      </c>
      <c r="J37" s="73"/>
      <c r="K37" s="73">
        <f t="shared" si="5"/>
        <v>3.3642819429778248</v>
      </c>
      <c r="L37" s="73">
        <f t="shared" si="6"/>
        <v>3.9824687500000002</v>
      </c>
      <c r="M37" s="5">
        <f t="shared" si="7"/>
        <v>4.5211151160248484</v>
      </c>
      <c r="N37" s="73"/>
      <c r="Q37">
        <v>10</v>
      </c>
      <c r="U37">
        <f t="shared" si="8"/>
        <v>0</v>
      </c>
    </row>
    <row r="38" spans="2:21">
      <c r="B38" s="110" t="s">
        <v>395</v>
      </c>
      <c r="C38" s="37" t="s">
        <v>886</v>
      </c>
      <c r="E38" s="6">
        <v>96.67</v>
      </c>
      <c r="F38" s="6">
        <f t="shared" si="4"/>
        <v>62.835500000000003</v>
      </c>
      <c r="G38">
        <v>16</v>
      </c>
      <c r="H38" s="94"/>
      <c r="I38" s="2">
        <v>18.940000000000001</v>
      </c>
      <c r="J38" s="73"/>
      <c r="K38" s="73">
        <f t="shared" si="5"/>
        <v>3.3176082365364308</v>
      </c>
      <c r="L38" s="73">
        <f t="shared" si="6"/>
        <v>3.9272187500000002</v>
      </c>
      <c r="M38" s="5">
        <f t="shared" si="7"/>
        <v>4.469774038939315</v>
      </c>
      <c r="N38" s="73"/>
      <c r="Q38">
        <v>11</v>
      </c>
      <c r="U38">
        <f t="shared" si="8"/>
        <v>0</v>
      </c>
    </row>
    <row r="39" spans="2:21">
      <c r="B39" s="110" t="s">
        <v>887</v>
      </c>
      <c r="C39" s="37" t="s">
        <v>888</v>
      </c>
      <c r="E39" s="6"/>
      <c r="F39" s="6">
        <f t="shared" si="4"/>
        <v>0</v>
      </c>
      <c r="G39">
        <v>16</v>
      </c>
      <c r="H39" s="94"/>
      <c r="I39" s="2">
        <v>18.940000000000001</v>
      </c>
      <c r="J39" s="73"/>
      <c r="K39" s="73">
        <f t="shared" si="5"/>
        <v>0</v>
      </c>
      <c r="L39" s="73">
        <f t="shared" si="6"/>
        <v>0</v>
      </c>
      <c r="M39" s="5">
        <f t="shared" si="7"/>
        <v>0.82040497874924112</v>
      </c>
      <c r="N39" s="73"/>
      <c r="Q39">
        <v>12</v>
      </c>
      <c r="U39">
        <f t="shared" si="8"/>
        <v>0</v>
      </c>
    </row>
    <row r="40" spans="2:21">
      <c r="B40" s="110" t="s">
        <v>889</v>
      </c>
      <c r="C40" s="37" t="s">
        <v>890</v>
      </c>
      <c r="E40" s="6">
        <v>83.8</v>
      </c>
      <c r="F40" s="6">
        <f t="shared" si="4"/>
        <v>54.47</v>
      </c>
      <c r="G40">
        <v>16</v>
      </c>
      <c r="H40" s="94"/>
      <c r="I40" s="2">
        <v>18.940000000000001</v>
      </c>
      <c r="J40" s="73"/>
      <c r="K40" s="73">
        <f t="shared" si="5"/>
        <v>2.8759239704329458</v>
      </c>
      <c r="L40" s="73">
        <f t="shared" si="6"/>
        <v>3.4043749999999999</v>
      </c>
      <c r="M40" s="5">
        <f t="shared" si="7"/>
        <v>3.9839213462254817</v>
      </c>
      <c r="N40" s="73"/>
      <c r="Q40">
        <v>13</v>
      </c>
      <c r="U40">
        <f t="shared" si="8"/>
        <v>0</v>
      </c>
    </row>
    <row r="41" spans="2:21">
      <c r="B41" s="110" t="s">
        <v>891</v>
      </c>
      <c r="C41" s="37" t="s">
        <v>892</v>
      </c>
      <c r="E41" s="6">
        <v>82.03</v>
      </c>
      <c r="F41" s="6">
        <f t="shared" si="4"/>
        <v>53.319500000000005</v>
      </c>
      <c r="G41">
        <v>16</v>
      </c>
      <c r="H41" s="94"/>
      <c r="I41" s="2">
        <v>18.940000000000001</v>
      </c>
      <c r="J41" s="73"/>
      <c r="K41" s="73">
        <f t="shared" si="5"/>
        <v>2.815179514255544</v>
      </c>
      <c r="L41" s="73">
        <f t="shared" si="6"/>
        <v>3.3324687500000003</v>
      </c>
      <c r="M41" s="5">
        <f t="shared" si="7"/>
        <v>3.9171024444303399</v>
      </c>
      <c r="N41" s="73"/>
      <c r="Q41">
        <v>14</v>
      </c>
      <c r="U41">
        <f t="shared" si="8"/>
        <v>0</v>
      </c>
    </row>
    <row r="42" spans="2:21">
      <c r="B42" s="110" t="s">
        <v>893</v>
      </c>
      <c r="C42" s="37" t="s">
        <v>894</v>
      </c>
      <c r="E42" s="6">
        <v>81.510000000000005</v>
      </c>
      <c r="F42" s="6">
        <f t="shared" si="4"/>
        <v>52.981500000000004</v>
      </c>
      <c r="G42">
        <v>16</v>
      </c>
      <c r="H42" s="94"/>
      <c r="I42" s="2">
        <v>18.940000000000001</v>
      </c>
      <c r="J42" s="73"/>
      <c r="K42" s="73">
        <f t="shared" si="5"/>
        <v>2.7973336853220698</v>
      </c>
      <c r="L42" s="73">
        <f t="shared" si="6"/>
        <v>3.3113437500000003</v>
      </c>
      <c r="M42" s="5">
        <f t="shared" si="7"/>
        <v>3.8974720326035182</v>
      </c>
      <c r="N42" s="73"/>
      <c r="Q42">
        <v>15</v>
      </c>
      <c r="U42">
        <f t="shared" si="8"/>
        <v>0</v>
      </c>
    </row>
    <row r="43" spans="2:21">
      <c r="B43" s="110" t="s">
        <v>895</v>
      </c>
      <c r="C43" s="37" t="s">
        <v>896</v>
      </c>
      <c r="E43" s="6">
        <v>84.11</v>
      </c>
      <c r="F43" s="6">
        <f t="shared" si="4"/>
        <v>54.671500000000002</v>
      </c>
      <c r="G43">
        <v>16</v>
      </c>
      <c r="H43" s="94"/>
      <c r="I43" s="2">
        <v>18.940000000000001</v>
      </c>
      <c r="J43" s="73"/>
      <c r="K43" s="73">
        <f t="shared" si="5"/>
        <v>2.8865628299894404</v>
      </c>
      <c r="L43" s="73">
        <f t="shared" si="6"/>
        <v>3.4169687500000001</v>
      </c>
      <c r="M43" s="5">
        <f t="shared" si="7"/>
        <v>3.9956240917376258</v>
      </c>
      <c r="N43" s="73"/>
      <c r="Q43">
        <v>16</v>
      </c>
      <c r="U43">
        <f t="shared" si="8"/>
        <v>0</v>
      </c>
    </row>
    <row r="44" spans="2:21">
      <c r="B44" s="110" t="s">
        <v>897</v>
      </c>
      <c r="C44" s="37" t="s">
        <v>898</v>
      </c>
      <c r="E44" s="6">
        <v>82.15</v>
      </c>
      <c r="F44" s="6">
        <f t="shared" si="4"/>
        <v>53.397500000000008</v>
      </c>
      <c r="G44">
        <v>16</v>
      </c>
      <c r="H44" s="94"/>
      <c r="I44" s="2">
        <v>18.940000000000001</v>
      </c>
      <c r="J44" s="73"/>
      <c r="K44" s="73">
        <f t="shared" si="5"/>
        <v>2.8192977824709611</v>
      </c>
      <c r="L44" s="73">
        <f t="shared" si="6"/>
        <v>3.3373437500000005</v>
      </c>
      <c r="M44" s="5">
        <f t="shared" si="7"/>
        <v>3.9216325394672986</v>
      </c>
      <c r="N44" s="73"/>
      <c r="Q44">
        <v>17</v>
      </c>
      <c r="U44">
        <f t="shared" si="8"/>
        <v>0</v>
      </c>
    </row>
    <row r="45" spans="2:21">
      <c r="B45" s="110" t="s">
        <v>899</v>
      </c>
      <c r="C45" s="37" t="s">
        <v>900</v>
      </c>
      <c r="E45" s="6">
        <v>82.18</v>
      </c>
      <c r="F45" s="6">
        <f t="shared" si="4"/>
        <v>53.417000000000009</v>
      </c>
      <c r="G45">
        <v>16</v>
      </c>
      <c r="H45" s="94"/>
      <c r="I45" s="2">
        <v>18.940000000000001</v>
      </c>
      <c r="J45" s="73"/>
      <c r="K45" s="73">
        <f t="shared" si="5"/>
        <v>2.8203273495248156</v>
      </c>
      <c r="L45" s="73">
        <f t="shared" si="6"/>
        <v>3.3385625000000005</v>
      </c>
      <c r="M45" s="5">
        <f t="shared" si="7"/>
        <v>3.9227650632265383</v>
      </c>
      <c r="N45" s="73"/>
      <c r="Q45">
        <v>18</v>
      </c>
      <c r="U45">
        <f t="shared" si="8"/>
        <v>0</v>
      </c>
    </row>
    <row r="46" spans="2:21">
      <c r="B46" s="110" t="s">
        <v>901</v>
      </c>
      <c r="C46" s="37" t="s">
        <v>902</v>
      </c>
      <c r="E46" s="6">
        <v>67.37</v>
      </c>
      <c r="F46" s="6">
        <f t="shared" si="4"/>
        <v>43.790500000000002</v>
      </c>
      <c r="G46">
        <v>16</v>
      </c>
      <c r="H46" s="94"/>
      <c r="I46" s="2">
        <v>18.940000000000001</v>
      </c>
      <c r="J46" s="73"/>
      <c r="K46" s="73">
        <f t="shared" si="5"/>
        <v>2.3120644139387538</v>
      </c>
      <c r="L46" s="73">
        <f t="shared" si="6"/>
        <v>2.7369062500000001</v>
      </c>
      <c r="M46" s="5">
        <f t="shared" si="7"/>
        <v>3.3636758340818704</v>
      </c>
      <c r="N46" s="73"/>
      <c r="Q46">
        <v>19</v>
      </c>
      <c r="U46">
        <f t="shared" si="8"/>
        <v>0</v>
      </c>
    </row>
    <row r="47" spans="2:21">
      <c r="B47" s="110" t="s">
        <v>904</v>
      </c>
      <c r="C47" s="37" t="s">
        <v>905</v>
      </c>
      <c r="E47" s="6">
        <v>82.18</v>
      </c>
      <c r="F47" s="6">
        <f t="shared" si="4"/>
        <v>53.417000000000009</v>
      </c>
      <c r="G47">
        <v>16</v>
      </c>
      <c r="H47" s="94"/>
      <c r="I47" s="2">
        <v>18.940000000000001</v>
      </c>
      <c r="J47" s="73"/>
      <c r="K47" s="73">
        <f t="shared" si="5"/>
        <v>2.8203273495248156</v>
      </c>
      <c r="L47" s="73">
        <f t="shared" si="6"/>
        <v>3.3385625000000005</v>
      </c>
      <c r="M47" s="5">
        <f t="shared" si="7"/>
        <v>3.9227650632265383</v>
      </c>
      <c r="N47" s="73"/>
      <c r="Q47">
        <v>20</v>
      </c>
      <c r="U47">
        <f t="shared" si="8"/>
        <v>0</v>
      </c>
    </row>
    <row r="48" spans="2:21">
      <c r="B48" s="110" t="s">
        <v>869</v>
      </c>
      <c r="C48" s="37" t="s">
        <v>914</v>
      </c>
      <c r="D48" s="2">
        <v>3031</v>
      </c>
      <c r="E48" s="6">
        <v>566.94000000000005</v>
      </c>
      <c r="F48" s="6">
        <f t="shared" si="4"/>
        <v>368.51100000000002</v>
      </c>
      <c r="G48">
        <v>210.95</v>
      </c>
      <c r="H48" s="94"/>
      <c r="I48">
        <v>494.1</v>
      </c>
      <c r="J48" s="73">
        <v>9811.5499999999993</v>
      </c>
      <c r="K48" s="73">
        <f t="shared" si="5"/>
        <v>0.74582270795385552</v>
      </c>
      <c r="L48" s="73">
        <f t="shared" si="6"/>
        <v>1.7469115904242714</v>
      </c>
      <c r="M48" s="5">
        <f>IF(G48="","",K48*$M$25)</f>
        <v>0.82040497874924112</v>
      </c>
      <c r="N48" s="73"/>
      <c r="Q48">
        <v>21</v>
      </c>
      <c r="U48">
        <f t="shared" si="8"/>
        <v>0</v>
      </c>
    </row>
    <row r="49" spans="2:27">
      <c r="B49" s="110" t="s">
        <v>915</v>
      </c>
      <c r="C49" s="37" t="s">
        <v>916</v>
      </c>
      <c r="D49" s="2">
        <v>2977</v>
      </c>
      <c r="E49" s="6">
        <v>344.52</v>
      </c>
      <c r="F49" s="6">
        <f t="shared" si="4"/>
        <v>223.93799999999999</v>
      </c>
      <c r="G49">
        <v>130.04</v>
      </c>
      <c r="H49" s="94"/>
      <c r="I49">
        <v>472.15</v>
      </c>
      <c r="J49" s="73">
        <v>12934.7</v>
      </c>
      <c r="K49" s="73">
        <f t="shared" si="5"/>
        <v>0.47429418616964947</v>
      </c>
      <c r="L49" s="73">
        <f t="shared" si="6"/>
        <v>1.7220701322669947</v>
      </c>
      <c r="M49" s="5">
        <f t="shared" ref="M49:M50" si="9">IF(G49="","",K49*$M$25)</f>
        <v>0.5217236047866145</v>
      </c>
      <c r="N49" s="73"/>
      <c r="Q49">
        <v>22</v>
      </c>
      <c r="U49">
        <f t="shared" si="8"/>
        <v>0</v>
      </c>
    </row>
    <row r="50" spans="2:27">
      <c r="B50" s="110" t="s">
        <v>917</v>
      </c>
      <c r="C50" s="37" t="s">
        <v>918</v>
      </c>
      <c r="D50" s="2">
        <v>3053</v>
      </c>
      <c r="E50" s="6">
        <v>212.02</v>
      </c>
      <c r="F50" s="6">
        <f t="shared" si="4"/>
        <v>137.81300000000002</v>
      </c>
      <c r="G50">
        <v>80.069999999999993</v>
      </c>
      <c r="H50" s="94">
        <f>(197.66/300)/144*H24</f>
        <v>0.13726388888888888</v>
      </c>
      <c r="I50">
        <v>197.66</v>
      </c>
      <c r="J50" s="73">
        <v>6373</v>
      </c>
      <c r="K50" s="73">
        <f t="shared" si="5"/>
        <v>0.69722250328847524</v>
      </c>
      <c r="L50" s="73">
        <f t="shared" si="6"/>
        <v>1.7211564880729366</v>
      </c>
      <c r="M50" s="5">
        <f t="shared" si="9"/>
        <v>0.76694475361732284</v>
      </c>
      <c r="N50" s="73"/>
      <c r="Q50">
        <v>23</v>
      </c>
      <c r="U50">
        <f t="shared" si="8"/>
        <v>0</v>
      </c>
    </row>
    <row r="51" spans="2:27">
      <c r="B51" s="108" t="s">
        <v>897</v>
      </c>
      <c r="C51" s="29" t="s">
        <v>919</v>
      </c>
      <c r="D51" s="2">
        <v>3388</v>
      </c>
      <c r="E51" s="6">
        <v>728.43</v>
      </c>
      <c r="F51" s="6">
        <f t="shared" si="4"/>
        <v>473.47949999999997</v>
      </c>
      <c r="G51">
        <v>174</v>
      </c>
      <c r="H51" s="94"/>
      <c r="I51" s="2">
        <v>187.14</v>
      </c>
      <c r="J51" s="6">
        <v>3087.13</v>
      </c>
      <c r="K51" s="73">
        <f t="shared" si="5"/>
        <v>2.5300817569733889</v>
      </c>
      <c r="L51" s="73">
        <f t="shared" ref="L51:L74" si="10">IF(G51="","",F51/G51)</f>
        <v>2.721146551724138</v>
      </c>
      <c r="M51" s="5">
        <f t="shared" ref="M51:M75" si="11">IF(G51="","",K51*$M$25)</f>
        <v>2.7830899326707281</v>
      </c>
      <c r="N51" s="73"/>
      <c r="Q51">
        <v>24</v>
      </c>
      <c r="U51">
        <f t="shared" si="8"/>
        <v>0</v>
      </c>
    </row>
    <row r="52" spans="2:27">
      <c r="B52" s="108" t="s">
        <v>920</v>
      </c>
      <c r="C52" s="29" t="s">
        <v>921</v>
      </c>
      <c r="D52" s="2">
        <v>3284</v>
      </c>
      <c r="E52" s="6">
        <v>2613.16</v>
      </c>
      <c r="F52" s="6">
        <f t="shared" si="4"/>
        <v>1698.5539999999999</v>
      </c>
      <c r="G52">
        <v>650.11</v>
      </c>
      <c r="H52" s="94"/>
      <c r="I52">
        <v>558.32000000000005</v>
      </c>
      <c r="J52" s="6">
        <v>18169</v>
      </c>
      <c r="K52" s="73">
        <f t="shared" si="5"/>
        <v>3.0422589196159904</v>
      </c>
      <c r="L52" s="73">
        <f t="shared" si="10"/>
        <v>2.6127178477488422</v>
      </c>
      <c r="M52" s="5">
        <f t="shared" si="11"/>
        <v>3.3464848115775898</v>
      </c>
      <c r="N52" s="73"/>
      <c r="Q52">
        <v>25</v>
      </c>
      <c r="U52">
        <f t="shared" si="8"/>
        <v>0</v>
      </c>
    </row>
    <row r="53" spans="2:27">
      <c r="B53" s="108" t="s">
        <v>922</v>
      </c>
      <c r="C53" s="29" t="s">
        <v>923</v>
      </c>
      <c r="D53" s="2">
        <v>3285</v>
      </c>
      <c r="E53" s="6">
        <v>308.95</v>
      </c>
      <c r="F53" s="6">
        <f t="shared" si="4"/>
        <v>200.8175</v>
      </c>
      <c r="G53">
        <v>73.61</v>
      </c>
      <c r="H53" s="94"/>
      <c r="I53">
        <v>88.25</v>
      </c>
      <c r="J53" s="73">
        <v>2314</v>
      </c>
      <c r="K53" s="73">
        <f t="shared" si="5"/>
        <v>2.2755524079320111</v>
      </c>
      <c r="L53" s="73">
        <f t="shared" si="10"/>
        <v>2.7281279717429698</v>
      </c>
      <c r="M53" s="5">
        <f t="shared" si="11"/>
        <v>2.5031076487252122</v>
      </c>
      <c r="N53" s="73"/>
      <c r="Q53">
        <v>26</v>
      </c>
      <c r="U53">
        <f t="shared" si="8"/>
        <v>0</v>
      </c>
    </row>
    <row r="54" spans="2:27">
      <c r="B54" s="108" t="s">
        <v>924</v>
      </c>
      <c r="C54" s="29" t="s">
        <v>925</v>
      </c>
      <c r="D54" s="2">
        <v>2501</v>
      </c>
      <c r="E54" s="6">
        <v>13766.66</v>
      </c>
      <c r="F54" s="6">
        <f t="shared" si="4"/>
        <v>8948.3289999999997</v>
      </c>
      <c r="G54">
        <v>2408.6</v>
      </c>
      <c r="H54" s="94"/>
      <c r="I54">
        <v>4674</v>
      </c>
      <c r="J54" s="73">
        <v>50000</v>
      </c>
      <c r="K54" s="73">
        <f t="shared" si="5"/>
        <v>1.9144905862216517</v>
      </c>
      <c r="L54" s="73">
        <f t="shared" si="10"/>
        <v>3.715157767998007</v>
      </c>
      <c r="M54" s="5">
        <f t="shared" si="11"/>
        <v>2.1059396448438172</v>
      </c>
      <c r="N54" s="73"/>
      <c r="Q54">
        <v>28</v>
      </c>
      <c r="U54">
        <f t="shared" si="8"/>
        <v>0</v>
      </c>
    </row>
    <row r="55" spans="2:27">
      <c r="B55" s="108" t="s">
        <v>926</v>
      </c>
      <c r="C55" s="29" t="s">
        <v>927</v>
      </c>
      <c r="D55" s="2">
        <v>2768</v>
      </c>
      <c r="E55" s="6">
        <v>437.69</v>
      </c>
      <c r="F55" s="6">
        <f t="shared" si="4"/>
        <v>284.49850000000004</v>
      </c>
      <c r="G55">
        <v>96.81</v>
      </c>
      <c r="H55" s="94"/>
      <c r="I55">
        <v>56.72</v>
      </c>
      <c r="J55" s="73">
        <v>1242</v>
      </c>
      <c r="K55" s="73">
        <f t="shared" si="5"/>
        <v>5.0158409732016933</v>
      </c>
      <c r="L55" s="73">
        <f t="shared" si="10"/>
        <v>2.9387305030472062</v>
      </c>
      <c r="M55" s="5">
        <f t="shared" si="11"/>
        <v>5.5174250705218633</v>
      </c>
      <c r="N55" s="73"/>
      <c r="Q55">
        <v>29</v>
      </c>
      <c r="U55">
        <f t="shared" si="8"/>
        <v>0</v>
      </c>
    </row>
    <row r="56" spans="2:27">
      <c r="B56" s="108" t="s">
        <v>928</v>
      </c>
      <c r="C56" s="29" t="s">
        <v>929</v>
      </c>
      <c r="D56" s="2">
        <v>2977</v>
      </c>
      <c r="E56" s="6">
        <v>1750.91</v>
      </c>
      <c r="F56" s="6">
        <f t="shared" si="4"/>
        <v>1138.0915</v>
      </c>
      <c r="G56">
        <v>393.55</v>
      </c>
      <c r="H56" s="94"/>
      <c r="I56">
        <v>472.15</v>
      </c>
      <c r="J56" s="73">
        <v>12934.7</v>
      </c>
      <c r="K56" s="73">
        <f t="shared" si="5"/>
        <v>2.4104447739065975</v>
      </c>
      <c r="L56" s="73">
        <f t="shared" si="10"/>
        <v>2.8918599923770802</v>
      </c>
      <c r="M56" s="5">
        <f t="shared" si="11"/>
        <v>2.6514892512972574</v>
      </c>
      <c r="N56" s="73"/>
      <c r="Q56">
        <v>30</v>
      </c>
      <c r="U56">
        <f t="shared" si="8"/>
        <v>0</v>
      </c>
    </row>
    <row r="57" spans="2:27">
      <c r="B57" s="108" t="s">
        <v>930</v>
      </c>
      <c r="C57" s="29" t="s">
        <v>931</v>
      </c>
      <c r="E57" s="6">
        <v>0</v>
      </c>
      <c r="F57" s="6">
        <v>0</v>
      </c>
      <c r="G57">
        <v>0</v>
      </c>
      <c r="H57" s="94"/>
      <c r="I57">
        <v>0</v>
      </c>
      <c r="J57" s="73">
        <v>0</v>
      </c>
      <c r="K57" s="73">
        <v>0</v>
      </c>
      <c r="L57" s="73">
        <v>0</v>
      </c>
      <c r="M57" s="5">
        <v>0</v>
      </c>
      <c r="N57" s="73"/>
    </row>
    <row r="58" spans="2:27">
      <c r="B58" s="108" t="s">
        <v>932</v>
      </c>
      <c r="C58" s="29" t="s">
        <v>933</v>
      </c>
      <c r="D58" s="2">
        <v>3053</v>
      </c>
      <c r="E58" s="6">
        <v>1550.83</v>
      </c>
      <c r="F58" s="6">
        <f t="shared" si="4"/>
        <v>1008.0395</v>
      </c>
      <c r="G58">
        <v>354.98</v>
      </c>
      <c r="H58" s="94">
        <f>(197.66/480)/144*H24</f>
        <v>8.578993055555556E-2</v>
      </c>
      <c r="I58">
        <v>197.66</v>
      </c>
      <c r="J58" s="73">
        <v>6373</v>
      </c>
      <c r="K58" s="73">
        <f t="shared" si="5"/>
        <v>5.0998659313973489</v>
      </c>
      <c r="L58" s="73">
        <f>IF(G58="","",F58/G58)</f>
        <v>2.839707870865964</v>
      </c>
      <c r="M58" s="5">
        <f t="shared" si="11"/>
        <v>5.6098525245370841</v>
      </c>
      <c r="N58" s="73">
        <f>(I58/480)/144*N25</f>
        <v>0.10294791666666667</v>
      </c>
      <c r="U58" s="106">
        <f>SUM(U28:U56)</f>
        <v>23.666666666666668</v>
      </c>
      <c r="V58" t="s">
        <v>584</v>
      </c>
    </row>
    <row r="59" spans="2:27">
      <c r="B59" s="107" t="s">
        <v>934</v>
      </c>
      <c r="C59" s="29" t="s">
        <v>935</v>
      </c>
      <c r="E59" s="6"/>
      <c r="F59" s="6"/>
      <c r="H59" s="94"/>
      <c r="J59" s="73"/>
      <c r="K59" s="73"/>
      <c r="L59" s="73"/>
      <c r="M59" s="5"/>
      <c r="N59" s="73"/>
      <c r="U59" s="30"/>
    </row>
    <row r="60" spans="2:27">
      <c r="B60" s="109" t="s">
        <v>936</v>
      </c>
      <c r="C60" s="29" t="s">
        <v>937</v>
      </c>
      <c r="D60" s="129" t="s">
        <v>938</v>
      </c>
      <c r="E60" s="6">
        <v>230.64</v>
      </c>
      <c r="F60" s="6">
        <f t="shared" si="4"/>
        <v>149.916</v>
      </c>
      <c r="G60">
        <v>128</v>
      </c>
      <c r="H60" s="130">
        <v>5.5999999999999999E-3</v>
      </c>
      <c r="I60">
        <v>150</v>
      </c>
      <c r="K60" s="73">
        <f t="shared" si="5"/>
        <v>0.99944</v>
      </c>
      <c r="L60" s="73">
        <f t="shared" si="10"/>
        <v>1.17121875</v>
      </c>
      <c r="M60" s="5">
        <f t="shared" si="11"/>
        <v>1.0993840000000001</v>
      </c>
    </row>
    <row r="61" spans="2:27">
      <c r="B61" s="107" t="s">
        <v>528</v>
      </c>
      <c r="C61" s="29" t="s">
        <v>939</v>
      </c>
      <c r="D61" s="129" t="s">
        <v>940</v>
      </c>
      <c r="E61" s="6">
        <v>98.59</v>
      </c>
      <c r="F61" s="6">
        <f t="shared" si="4"/>
        <v>64.083500000000001</v>
      </c>
      <c r="G61">
        <v>128</v>
      </c>
      <c r="H61" s="130">
        <v>5.5999999999999999E-3</v>
      </c>
      <c r="I61">
        <v>201</v>
      </c>
      <c r="K61" s="73">
        <f>IF(I61="","",F61/I61)+K60</f>
        <v>1.3182633830845771</v>
      </c>
      <c r="L61" s="73">
        <f t="shared" si="10"/>
        <v>0.50065234375000001</v>
      </c>
      <c r="M61" s="5">
        <f t="shared" si="11"/>
        <v>1.450089721393035</v>
      </c>
    </row>
    <row r="62" spans="2:27">
      <c r="B62" s="109" t="s">
        <v>941</v>
      </c>
      <c r="C62" s="29" t="s">
        <v>937</v>
      </c>
      <c r="D62" s="2">
        <v>2570</v>
      </c>
      <c r="E62" s="6">
        <v>230.64</v>
      </c>
      <c r="F62" s="6">
        <f t="shared" si="4"/>
        <v>149.916</v>
      </c>
      <c r="G62">
        <v>128</v>
      </c>
      <c r="H62" s="94">
        <v>5.5999999999999999E-3</v>
      </c>
      <c r="I62">
        <v>413.83</v>
      </c>
      <c r="K62" s="73">
        <f t="shared" si="5"/>
        <v>0.36226469806442257</v>
      </c>
      <c r="L62" s="73">
        <f t="shared" si="10"/>
        <v>1.17121875</v>
      </c>
      <c r="M62" s="5">
        <f>IF(G62="","",K62*$M$25)*2.75</f>
        <v>1.0958507116448784</v>
      </c>
      <c r="R62" t="s">
        <v>942</v>
      </c>
    </row>
    <row r="63" spans="2:27">
      <c r="B63" s="107" t="s">
        <v>943</v>
      </c>
      <c r="C63" s="29" t="s">
        <v>939</v>
      </c>
      <c r="D63" s="2">
        <v>2570</v>
      </c>
      <c r="E63" s="6">
        <v>98.59</v>
      </c>
      <c r="F63" s="6">
        <f t="shared" si="4"/>
        <v>64.083500000000001</v>
      </c>
      <c r="G63">
        <v>128</v>
      </c>
      <c r="H63" s="94">
        <v>5.5999999999999999E-3</v>
      </c>
      <c r="I63">
        <v>413.83</v>
      </c>
      <c r="K63" s="73">
        <f>IF(I63="","",F63/I63)</f>
        <v>0.15485465046033395</v>
      </c>
      <c r="L63" s="73">
        <f t="shared" si="10"/>
        <v>0.50065234375000001</v>
      </c>
      <c r="M63" s="5">
        <f>IF(G63="","",K63*$M$25)*2.05882353</f>
        <v>0.35070023790742699</v>
      </c>
      <c r="R63" s="2" t="s">
        <v>369</v>
      </c>
      <c r="S63" s="2" t="s">
        <v>393</v>
      </c>
      <c r="T63" s="2" t="s">
        <v>438</v>
      </c>
      <c r="U63" s="2" t="s">
        <v>205</v>
      </c>
      <c r="V63" s="2" t="s">
        <v>944</v>
      </c>
      <c r="Y63" s="2" t="s">
        <v>527</v>
      </c>
      <c r="Z63" s="2" t="s">
        <v>529</v>
      </c>
      <c r="AA63" s="2" t="s">
        <v>531</v>
      </c>
    </row>
    <row r="64" spans="2:27">
      <c r="B64" s="109" t="s">
        <v>945</v>
      </c>
      <c r="C64" s="29" t="s">
        <v>937</v>
      </c>
      <c r="E64" s="6">
        <v>230.64</v>
      </c>
      <c r="F64" s="6">
        <f t="shared" si="4"/>
        <v>149.916</v>
      </c>
      <c r="G64">
        <v>128</v>
      </c>
      <c r="H64" s="94">
        <v>5.5999999999999999E-3</v>
      </c>
      <c r="K64" s="73" t="str">
        <f t="shared" si="5"/>
        <v/>
      </c>
      <c r="L64" s="73">
        <f t="shared" si="10"/>
        <v>1.17121875</v>
      </c>
      <c r="M64" s="5" t="e">
        <f t="shared" si="11"/>
        <v>#VALUE!</v>
      </c>
      <c r="Q64">
        <v>1</v>
      </c>
      <c r="R64">
        <v>12</v>
      </c>
      <c r="S64">
        <v>16</v>
      </c>
      <c r="T64">
        <v>70.5</v>
      </c>
      <c r="U64">
        <f>(((S64*T64/144)*2)+(((S64/12)*2)*(1/12))+(((T64/12)*2)*(1/12)))*R64</f>
        <v>202.41666666666663</v>
      </c>
      <c r="V64">
        <f>U64*144</f>
        <v>29147.999999999993</v>
      </c>
      <c r="X64" s="112" t="s">
        <v>509</v>
      </c>
      <c r="Y64">
        <v>13.33</v>
      </c>
    </row>
    <row r="65" spans="2:27">
      <c r="B65" s="107" t="s">
        <v>946</v>
      </c>
      <c r="C65" s="29" t="s">
        <v>939</v>
      </c>
      <c r="E65" s="6">
        <v>98.59</v>
      </c>
      <c r="F65" s="6">
        <f t="shared" si="4"/>
        <v>64.083500000000001</v>
      </c>
      <c r="G65">
        <v>128</v>
      </c>
      <c r="H65" s="94">
        <v>5.5999999999999999E-3</v>
      </c>
      <c r="K65" s="73" t="str">
        <f t="shared" si="5"/>
        <v/>
      </c>
      <c r="L65" s="73">
        <f t="shared" si="10"/>
        <v>0.50065234375000001</v>
      </c>
      <c r="M65" s="5" t="e">
        <f>IF(G65="","",K65*$M$25)</f>
        <v>#VALUE!</v>
      </c>
      <c r="Q65">
        <v>2</v>
      </c>
      <c r="R65">
        <v>2</v>
      </c>
      <c r="S65">
        <v>14</v>
      </c>
      <c r="T65">
        <v>54.5</v>
      </c>
      <c r="U65">
        <f t="shared" ref="U65:U92" si="12">(((S65*T65/144)*2)+(((S65/12)*2)*(1/12))+(((T65/12)*2)*(1/12)))*R65</f>
        <v>23.097222222222221</v>
      </c>
      <c r="V65">
        <f t="shared" ref="V65:V92" si="13">U65*144</f>
        <v>3326</v>
      </c>
      <c r="X65" s="112" t="s">
        <v>510</v>
      </c>
    </row>
    <row r="66" spans="2:27">
      <c r="B66" s="107"/>
      <c r="K66" s="73" t="str">
        <f t="shared" si="5"/>
        <v/>
      </c>
      <c r="L66" s="73" t="str">
        <f t="shared" si="10"/>
        <v/>
      </c>
      <c r="M66" s="5" t="str">
        <f t="shared" si="11"/>
        <v/>
      </c>
      <c r="Q66">
        <v>3</v>
      </c>
      <c r="R66">
        <v>2</v>
      </c>
      <c r="S66">
        <v>13.5</v>
      </c>
      <c r="T66">
        <v>54.5</v>
      </c>
      <c r="U66">
        <f t="shared" si="12"/>
        <v>22.326388888888889</v>
      </c>
      <c r="V66">
        <f t="shared" si="13"/>
        <v>3215</v>
      </c>
      <c r="X66" s="89" t="s">
        <v>537</v>
      </c>
      <c r="Y66">
        <v>1</v>
      </c>
      <c r="Z66">
        <v>1</v>
      </c>
      <c r="AA66">
        <v>1</v>
      </c>
    </row>
    <row r="67" spans="2:27">
      <c r="B67" s="107"/>
      <c r="K67" s="73" t="str">
        <f t="shared" si="5"/>
        <v/>
      </c>
      <c r="L67" s="73" t="str">
        <f t="shared" si="10"/>
        <v/>
      </c>
      <c r="M67" s="5" t="str">
        <f t="shared" si="11"/>
        <v/>
      </c>
      <c r="Q67">
        <v>4</v>
      </c>
      <c r="R67">
        <v>2</v>
      </c>
      <c r="S67">
        <v>12</v>
      </c>
      <c r="T67">
        <v>70.5</v>
      </c>
      <c r="U67">
        <f t="shared" si="12"/>
        <v>25.791666666666664</v>
      </c>
      <c r="V67">
        <f t="shared" si="13"/>
        <v>3713.9999999999995</v>
      </c>
    </row>
    <row r="68" spans="2:27">
      <c r="B68" s="107"/>
      <c r="K68" s="73" t="str">
        <f t="shared" si="5"/>
        <v/>
      </c>
      <c r="L68" s="73" t="str">
        <f t="shared" si="10"/>
        <v/>
      </c>
      <c r="M68" s="5" t="str">
        <f t="shared" si="11"/>
        <v/>
      </c>
      <c r="Q68">
        <v>5</v>
      </c>
      <c r="R68">
        <v>6</v>
      </c>
      <c r="S68">
        <v>14</v>
      </c>
      <c r="T68">
        <v>58.5</v>
      </c>
      <c r="U68">
        <f t="shared" si="12"/>
        <v>74.291666666666671</v>
      </c>
      <c r="V68">
        <f t="shared" si="13"/>
        <v>10698</v>
      </c>
    </row>
    <row r="69" spans="2:27">
      <c r="B69" s="107"/>
      <c r="K69" s="73" t="str">
        <f t="shared" si="5"/>
        <v/>
      </c>
      <c r="L69" s="73" t="str">
        <f t="shared" si="10"/>
        <v/>
      </c>
      <c r="M69" s="5" t="str">
        <f t="shared" si="11"/>
        <v/>
      </c>
      <c r="Q69">
        <v>6</v>
      </c>
      <c r="U69">
        <f t="shared" si="12"/>
        <v>0</v>
      </c>
      <c r="V69">
        <f t="shared" si="13"/>
        <v>0</v>
      </c>
    </row>
    <row r="70" spans="2:27">
      <c r="B70" s="107"/>
      <c r="K70" s="73" t="str">
        <f t="shared" si="5"/>
        <v/>
      </c>
      <c r="L70" s="73" t="str">
        <f t="shared" si="10"/>
        <v/>
      </c>
      <c r="M70" s="5" t="str">
        <f t="shared" si="11"/>
        <v/>
      </c>
      <c r="Q70">
        <v>7</v>
      </c>
      <c r="U70">
        <f t="shared" si="12"/>
        <v>0</v>
      </c>
      <c r="V70">
        <f t="shared" si="13"/>
        <v>0</v>
      </c>
    </row>
    <row r="71" spans="2:27">
      <c r="K71" s="73" t="str">
        <f t="shared" si="5"/>
        <v/>
      </c>
      <c r="L71" s="73" t="str">
        <f t="shared" si="10"/>
        <v/>
      </c>
      <c r="M71" s="5" t="str">
        <f t="shared" si="11"/>
        <v/>
      </c>
      <c r="Q71">
        <v>8</v>
      </c>
      <c r="U71">
        <f t="shared" si="12"/>
        <v>0</v>
      </c>
      <c r="V71">
        <f t="shared" si="13"/>
        <v>0</v>
      </c>
    </row>
    <row r="72" spans="2:27">
      <c r="J72" s="150" t="s">
        <v>947</v>
      </c>
      <c r="K72" s="73" t="str">
        <f t="shared" ref="K72:K75" si="14">IF(F72="","",F72/I72)</f>
        <v/>
      </c>
      <c r="L72" s="73" t="str">
        <f t="shared" si="10"/>
        <v/>
      </c>
      <c r="M72" s="5" t="str">
        <f t="shared" si="11"/>
        <v/>
      </c>
      <c r="Q72">
        <v>9</v>
      </c>
      <c r="U72">
        <f t="shared" si="12"/>
        <v>0</v>
      </c>
      <c r="V72">
        <f t="shared" si="13"/>
        <v>0</v>
      </c>
    </row>
    <row r="73" spans="2:27">
      <c r="J73" s="89" t="s">
        <v>948</v>
      </c>
      <c r="K73" s="73" t="str">
        <f t="shared" si="14"/>
        <v/>
      </c>
      <c r="L73" s="73" t="str">
        <f t="shared" si="10"/>
        <v/>
      </c>
      <c r="M73" s="5" t="str">
        <f t="shared" si="11"/>
        <v/>
      </c>
      <c r="Q73">
        <v>10</v>
      </c>
      <c r="U73">
        <f t="shared" si="12"/>
        <v>0</v>
      </c>
      <c r="V73">
        <f t="shared" si="13"/>
        <v>0</v>
      </c>
    </row>
    <row r="74" spans="2:27">
      <c r="K74" s="73" t="str">
        <f t="shared" si="14"/>
        <v/>
      </c>
      <c r="L74" s="73" t="str">
        <f t="shared" si="10"/>
        <v/>
      </c>
      <c r="M74" s="5" t="str">
        <f t="shared" si="11"/>
        <v/>
      </c>
      <c r="Q74">
        <v>11</v>
      </c>
      <c r="U74">
        <f t="shared" si="12"/>
        <v>0</v>
      </c>
      <c r="V74">
        <f t="shared" si="13"/>
        <v>0</v>
      </c>
    </row>
    <row r="75" spans="2:27">
      <c r="K75" s="73" t="str">
        <f t="shared" si="14"/>
        <v/>
      </c>
      <c r="M75" s="5" t="str">
        <f t="shared" si="11"/>
        <v/>
      </c>
      <c r="Q75">
        <v>12</v>
      </c>
      <c r="U75">
        <f t="shared" si="12"/>
        <v>0</v>
      </c>
      <c r="V75">
        <f t="shared" si="13"/>
        <v>0</v>
      </c>
    </row>
    <row r="76" spans="2:27">
      <c r="Q76">
        <v>13</v>
      </c>
      <c r="U76">
        <f t="shared" si="12"/>
        <v>0</v>
      </c>
      <c r="V76">
        <f t="shared" si="13"/>
        <v>0</v>
      </c>
    </row>
    <row r="77" spans="2:27">
      <c r="Q77">
        <v>14</v>
      </c>
      <c r="U77">
        <f t="shared" si="12"/>
        <v>0</v>
      </c>
      <c r="V77">
        <f t="shared" si="13"/>
        <v>0</v>
      </c>
    </row>
    <row r="78" spans="2:27">
      <c r="Q78">
        <v>15</v>
      </c>
      <c r="U78">
        <f t="shared" si="12"/>
        <v>0</v>
      </c>
      <c r="V78">
        <f t="shared" si="13"/>
        <v>0</v>
      </c>
    </row>
    <row r="79" spans="2:27">
      <c r="Q79">
        <v>16</v>
      </c>
      <c r="U79">
        <f t="shared" si="12"/>
        <v>0</v>
      </c>
      <c r="V79">
        <f t="shared" si="13"/>
        <v>0</v>
      </c>
    </row>
    <row r="80" spans="2:27">
      <c r="Q80">
        <v>17</v>
      </c>
      <c r="U80">
        <f t="shared" si="12"/>
        <v>0</v>
      </c>
      <c r="V80">
        <f t="shared" si="13"/>
        <v>0</v>
      </c>
    </row>
    <row r="81" spans="17:22">
      <c r="Q81">
        <v>18</v>
      </c>
      <c r="U81">
        <f t="shared" si="12"/>
        <v>0</v>
      </c>
      <c r="V81">
        <f t="shared" si="13"/>
        <v>0</v>
      </c>
    </row>
    <row r="82" spans="17:22">
      <c r="Q82">
        <v>19</v>
      </c>
      <c r="U82">
        <f t="shared" si="12"/>
        <v>0</v>
      </c>
      <c r="V82">
        <f t="shared" si="13"/>
        <v>0</v>
      </c>
    </row>
    <row r="83" spans="17:22">
      <c r="Q83">
        <v>20</v>
      </c>
      <c r="U83">
        <f t="shared" si="12"/>
        <v>0</v>
      </c>
      <c r="V83">
        <f t="shared" si="13"/>
        <v>0</v>
      </c>
    </row>
    <row r="84" spans="17:22">
      <c r="Q84">
        <v>21</v>
      </c>
      <c r="U84">
        <f t="shared" si="12"/>
        <v>0</v>
      </c>
      <c r="V84">
        <f t="shared" si="13"/>
        <v>0</v>
      </c>
    </row>
    <row r="85" spans="17:22">
      <c r="Q85">
        <v>22</v>
      </c>
      <c r="U85">
        <f t="shared" si="12"/>
        <v>0</v>
      </c>
      <c r="V85">
        <f t="shared" si="13"/>
        <v>0</v>
      </c>
    </row>
    <row r="86" spans="17:22">
      <c r="Q86">
        <v>23</v>
      </c>
      <c r="U86">
        <f t="shared" si="12"/>
        <v>0</v>
      </c>
      <c r="V86">
        <f t="shared" si="13"/>
        <v>0</v>
      </c>
    </row>
    <row r="87" spans="17:22">
      <c r="Q87">
        <v>24</v>
      </c>
      <c r="U87">
        <f t="shared" si="12"/>
        <v>0</v>
      </c>
      <c r="V87">
        <f t="shared" si="13"/>
        <v>0</v>
      </c>
    </row>
    <row r="88" spans="17:22">
      <c r="Q88">
        <v>25</v>
      </c>
      <c r="U88">
        <f t="shared" si="12"/>
        <v>0</v>
      </c>
      <c r="V88">
        <f t="shared" si="13"/>
        <v>0</v>
      </c>
    </row>
    <row r="89" spans="17:22">
      <c r="Q89">
        <v>26</v>
      </c>
      <c r="U89">
        <f t="shared" si="12"/>
        <v>0</v>
      </c>
      <c r="V89">
        <f t="shared" si="13"/>
        <v>0</v>
      </c>
    </row>
    <row r="90" spans="17:22">
      <c r="Q90">
        <v>28</v>
      </c>
      <c r="U90">
        <f t="shared" si="12"/>
        <v>0</v>
      </c>
      <c r="V90">
        <f t="shared" si="13"/>
        <v>0</v>
      </c>
    </row>
    <row r="91" spans="17:22">
      <c r="Q91">
        <v>29</v>
      </c>
      <c r="U91">
        <f t="shared" si="12"/>
        <v>0</v>
      </c>
      <c r="V91">
        <f t="shared" si="13"/>
        <v>0</v>
      </c>
    </row>
    <row r="92" spans="17:22">
      <c r="Q92">
        <v>30</v>
      </c>
      <c r="U92">
        <f t="shared" si="12"/>
        <v>0</v>
      </c>
      <c r="V92">
        <f t="shared" si="13"/>
        <v>0</v>
      </c>
    </row>
    <row r="93" spans="17:22">
      <c r="U93" s="106">
        <f>SUM(U64:U92)</f>
        <v>347.92361111111109</v>
      </c>
      <c r="V93" s="106">
        <f>SUM(V64:V92)</f>
        <v>50100.999999999993</v>
      </c>
    </row>
  </sheetData>
  <sheetProtection algorithmName="SHA-512" hashValue="WTZ5fzIMLjaxP7awosjNX10ewgrNDNAfT/f9Cy0aDYPSJ/Km3If4FDenBVEU0ocWT5PcUzRL1YFXYlxFdIeVLQ==" saltValue="HLc/sP2KNKTBXGuGO896wA==" spinCount="100000" sheet="1" objects="1" scenarios="1"/>
  <mergeCells count="3">
    <mergeCell ref="I2:L2"/>
    <mergeCell ref="U1:V1"/>
    <mergeCell ref="K24:L24"/>
  </mergeCells>
  <dataValidations disablePrompts="1" count="1">
    <dataValidation type="list" allowBlank="1" showInputMessage="1" showErrorMessage="1" sqref="G5:G21" xr:uid="{07362ABC-CDB8-4CFB-BC09-D5A33CEA6BE5}">
      <formula1>$B$27:$B$63</formula1>
    </dataValidation>
  </dataValidation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19482-2C39-44A1-BD65-C9C4C5BBA795}">
  <sheetPr codeName="Sheet18">
    <tabColor rgb="FFFFC000"/>
  </sheetPr>
  <dimension ref="A8:AP38"/>
  <sheetViews>
    <sheetView topLeftCell="U8" workbookViewId="0">
      <selection activeCell="AP40" sqref="AP40"/>
    </sheetView>
  </sheetViews>
  <sheetFormatPr defaultRowHeight="15"/>
  <cols>
    <col min="1" max="1" width="18.140625" customWidth="1"/>
    <col min="2" max="2" width="23.42578125" customWidth="1"/>
    <col min="3" max="3" width="41.42578125" customWidth="1"/>
    <col min="4" max="4" width="12" customWidth="1"/>
    <col min="5" max="5" width="12.5703125" customWidth="1"/>
    <col min="6" max="6" width="10.5703125" customWidth="1"/>
    <col min="7" max="7" width="2.42578125" customWidth="1"/>
    <col min="12" max="12" width="10.5703125" bestFit="1" customWidth="1"/>
    <col min="13" max="13" width="2.42578125" customWidth="1"/>
    <col min="15" max="15" width="10.5703125" bestFit="1" customWidth="1"/>
    <col min="16" max="16" width="2.7109375" customWidth="1"/>
    <col min="17" max="17" width="13.7109375" customWidth="1"/>
    <col min="18" max="18" width="2.28515625" customWidth="1"/>
    <col min="19" max="19" width="12.42578125" customWidth="1"/>
    <col min="20" max="20" width="11.28515625" customWidth="1"/>
    <col min="21" max="21" width="2.5703125" customWidth="1"/>
    <col min="22" max="22" width="10.5703125" customWidth="1"/>
    <col min="23" max="23" width="11.28515625" customWidth="1"/>
    <col min="24" max="24" width="2.85546875" customWidth="1"/>
    <col min="26" max="26" width="11.42578125" customWidth="1"/>
    <col min="27" max="27" width="2.85546875" customWidth="1"/>
    <col min="29" max="29" width="12.28515625" customWidth="1"/>
    <col min="30" max="30" width="3.5703125" customWidth="1"/>
    <col min="32" max="32" width="12.28515625" customWidth="1"/>
    <col min="33" max="33" width="3.28515625" customWidth="1"/>
    <col min="35" max="35" width="12.28515625" customWidth="1"/>
    <col min="36" max="36" width="3.28515625" customWidth="1"/>
    <col min="38" max="38" width="12.28515625" customWidth="1"/>
    <col min="39" max="39" width="9.85546875" bestFit="1" customWidth="1"/>
    <col min="41" max="41" width="9.85546875" bestFit="1" customWidth="1"/>
  </cols>
  <sheetData>
    <row r="8" spans="1:42">
      <c r="Q8" t="s">
        <v>949</v>
      </c>
      <c r="S8" t="s">
        <v>949</v>
      </c>
      <c r="V8" t="s">
        <v>833</v>
      </c>
      <c r="Y8" t="s">
        <v>833</v>
      </c>
      <c r="AB8">
        <v>111422</v>
      </c>
    </row>
    <row r="9" spans="1:42">
      <c r="Q9" s="2" t="s">
        <v>950</v>
      </c>
      <c r="S9" s="303" t="s">
        <v>951</v>
      </c>
      <c r="T9" s="303"/>
      <c r="V9" s="303" t="s">
        <v>952</v>
      </c>
      <c r="W9" s="303"/>
      <c r="Y9" s="303" t="s">
        <v>953</v>
      </c>
      <c r="Z9" s="303"/>
      <c r="AB9" s="303" t="s">
        <v>954</v>
      </c>
      <c r="AC9" s="303"/>
      <c r="AE9" s="303" t="s">
        <v>955</v>
      </c>
      <c r="AF9" s="303"/>
      <c r="AH9" s="303" t="s">
        <v>956</v>
      </c>
      <c r="AI9" s="303"/>
      <c r="AK9" s="303" t="s">
        <v>957</v>
      </c>
      <c r="AL9" s="303"/>
      <c r="AM9" s="303" t="s">
        <v>958</v>
      </c>
      <c r="AN9" s="303"/>
      <c r="AO9" s="303" t="s">
        <v>958</v>
      </c>
      <c r="AP9" s="303"/>
    </row>
    <row r="10" spans="1:42">
      <c r="E10" t="s">
        <v>959</v>
      </c>
      <c r="F10" t="s">
        <v>960</v>
      </c>
      <c r="K10" s="303" t="s">
        <v>961</v>
      </c>
      <c r="L10" s="303"/>
      <c r="N10" s="303" t="s">
        <v>962</v>
      </c>
      <c r="O10" s="303"/>
      <c r="P10" s="2"/>
      <c r="Q10">
        <v>4992.62</v>
      </c>
      <c r="S10" s="2" t="s">
        <v>963</v>
      </c>
      <c r="T10" s="2" t="s">
        <v>964</v>
      </c>
      <c r="V10" s="2" t="s">
        <v>963</v>
      </c>
      <c r="W10" s="2" t="s">
        <v>964</v>
      </c>
      <c r="Y10" s="2" t="s">
        <v>963</v>
      </c>
      <c r="Z10" s="2" t="s">
        <v>964</v>
      </c>
      <c r="AB10" s="2" t="s">
        <v>963</v>
      </c>
      <c r="AC10" s="2" t="s">
        <v>964</v>
      </c>
      <c r="AE10" s="2" t="s">
        <v>963</v>
      </c>
      <c r="AF10" s="2" t="s">
        <v>964</v>
      </c>
      <c r="AH10" s="2" t="s">
        <v>963</v>
      </c>
      <c r="AI10" s="2" t="s">
        <v>964</v>
      </c>
      <c r="AK10" s="2" t="s">
        <v>963</v>
      </c>
      <c r="AL10" s="2" t="s">
        <v>964</v>
      </c>
      <c r="AM10" s="2" t="s">
        <v>963</v>
      </c>
      <c r="AN10" s="2" t="s">
        <v>964</v>
      </c>
      <c r="AO10" s="2" t="s">
        <v>963</v>
      </c>
      <c r="AP10" s="2" t="s">
        <v>964</v>
      </c>
    </row>
    <row r="11" spans="1:42">
      <c r="A11" s="74"/>
      <c r="B11" s="161" t="s">
        <v>842</v>
      </c>
      <c r="C11" s="162" t="s">
        <v>840</v>
      </c>
      <c r="D11" s="163">
        <f>2.65</f>
        <v>2.65</v>
      </c>
      <c r="E11" s="163">
        <f>D11/8*3.5</f>
        <v>1.159375</v>
      </c>
      <c r="F11" s="163">
        <f>D11/8*2</f>
        <v>0.66249999999999998</v>
      </c>
      <c r="K11">
        <v>80</v>
      </c>
      <c r="L11" s="5">
        <f t="shared" ref="L11:L16" si="0">K11*D11</f>
        <v>212</v>
      </c>
      <c r="N11">
        <v>54</v>
      </c>
      <c r="O11" s="5">
        <f>N11*D11</f>
        <v>143.1</v>
      </c>
      <c r="P11" s="5"/>
      <c r="Q11" s="5">
        <f>26*D11</f>
        <v>68.899999999999991</v>
      </c>
      <c r="R11" s="5"/>
      <c r="S11">
        <f>CEILING(((S27*2)+(S28*3.5))/8,20)</f>
        <v>40</v>
      </c>
      <c r="T11" s="5">
        <f>S11*$D$11</f>
        <v>106</v>
      </c>
      <c r="V11">
        <f>CEILING(((V27*2)+(V28*3.5))/8,20)</f>
        <v>40</v>
      </c>
      <c r="W11" s="5">
        <f>V11*$D$11</f>
        <v>106</v>
      </c>
      <c r="Y11">
        <f>CEILING(((Y27*2)+(Y28*3.5))/8,20)</f>
        <v>20</v>
      </c>
      <c r="Z11" s="5">
        <f>Y11*$D$11</f>
        <v>53</v>
      </c>
      <c r="AB11">
        <f>CEILING(((AB27*2)+(AB28*3.5))/8,20)</f>
        <v>20</v>
      </c>
      <c r="AC11" s="5">
        <f>AB11*$D$11</f>
        <v>53</v>
      </c>
      <c r="AE11">
        <f>CEILING(((AE27*2)+(AE28*3.5))/8,20)</f>
        <v>20</v>
      </c>
      <c r="AF11" s="5">
        <f>AE11*$D$11</f>
        <v>53</v>
      </c>
      <c r="AH11">
        <f>CEILING(((AH27*2)+(AH28*3.5))/8,20)</f>
        <v>20</v>
      </c>
      <c r="AI11" s="5">
        <f>AH11*$D$11</f>
        <v>53</v>
      </c>
      <c r="AK11">
        <f>CEILING(((AK27*2)+(AK28*3.5))/8,20)</f>
        <v>20</v>
      </c>
      <c r="AL11" s="5">
        <f>AK11*$D$11</f>
        <v>53</v>
      </c>
      <c r="AM11">
        <f>CEILING(((AM27*2)+(AM28*3.5))/8,20)</f>
        <v>20</v>
      </c>
      <c r="AN11" s="5">
        <f>AM11*$D$11</f>
        <v>53</v>
      </c>
      <c r="AO11">
        <f>CEILING(((AO27*2)+(AO28*3.5))/8,20)</f>
        <v>20</v>
      </c>
      <c r="AP11" s="5">
        <f>AO11*$D$11</f>
        <v>53</v>
      </c>
    </row>
    <row r="12" spans="1:42">
      <c r="A12" s="74"/>
      <c r="B12" s="164" t="s">
        <v>845</v>
      </c>
      <c r="C12" s="165" t="s">
        <v>844</v>
      </c>
      <c r="D12" s="166">
        <f>3.65</f>
        <v>3.65</v>
      </c>
      <c r="E12" s="167">
        <f>D12/8*3.5</f>
        <v>1.596875</v>
      </c>
      <c r="F12" s="167">
        <f>D12/8*2</f>
        <v>0.91249999999999998</v>
      </c>
      <c r="K12">
        <v>80</v>
      </c>
      <c r="L12" s="5">
        <f t="shared" si="0"/>
        <v>292</v>
      </c>
      <c r="N12">
        <v>57</v>
      </c>
      <c r="O12" s="5">
        <f t="shared" ref="O12:O16" si="1">N12*D12</f>
        <v>208.04999999999998</v>
      </c>
      <c r="P12" s="5"/>
      <c r="Q12" s="5">
        <f>23*D12</f>
        <v>83.95</v>
      </c>
      <c r="R12" s="5"/>
      <c r="S12">
        <f>CEILING(((S27*2)+(S28*3.5))/8,20)</f>
        <v>40</v>
      </c>
      <c r="T12" s="5">
        <f>S12*$D$12</f>
        <v>146</v>
      </c>
      <c r="V12">
        <f>CEILING(((V27*2)+(V28*3.5))/8,20)</f>
        <v>40</v>
      </c>
      <c r="W12" s="5">
        <f>V12*$D$12</f>
        <v>146</v>
      </c>
      <c r="Y12">
        <f>CEILING(((Y27*2)+(Y28*3.5))/8,20)</f>
        <v>20</v>
      </c>
      <c r="Z12" s="5">
        <f>Y12*$D$12</f>
        <v>73</v>
      </c>
      <c r="AB12">
        <f>CEILING(((AB27*2)+(AB28*3.5))/8,20)</f>
        <v>20</v>
      </c>
      <c r="AC12" s="5">
        <f>AB12*$D$12</f>
        <v>73</v>
      </c>
      <c r="AE12">
        <f>CEILING(((AE27*2)+(AE28*3.5))/8,20)</f>
        <v>20</v>
      </c>
      <c r="AF12" s="5">
        <f>AE12*$D$12</f>
        <v>73</v>
      </c>
      <c r="AH12">
        <f>CEILING(((AH27*2)+(AH28*3.5))/8,20)</f>
        <v>20</v>
      </c>
      <c r="AI12" s="5">
        <f>AH12*$D$12</f>
        <v>73</v>
      </c>
      <c r="AK12">
        <f>CEILING(((AK27*2)+(AK28*3.5))/8,20)</f>
        <v>20</v>
      </c>
      <c r="AL12" s="5">
        <f>AK12*$D$12</f>
        <v>73</v>
      </c>
      <c r="AM12">
        <f>CEILING(((AM27*2)+(AM28*3.5))/8,20)</f>
        <v>20</v>
      </c>
      <c r="AN12" s="5">
        <f>AM12*$D$12</f>
        <v>73</v>
      </c>
      <c r="AO12">
        <f>CEILING(((AO27*2)+(AO28*3.5))/8,20)</f>
        <v>20</v>
      </c>
      <c r="AP12" s="5">
        <f>AO12*$D$12</f>
        <v>73</v>
      </c>
    </row>
    <row r="13" spans="1:42">
      <c r="A13" s="74"/>
      <c r="B13" s="164" t="s">
        <v>847</v>
      </c>
      <c r="C13" s="165" t="s">
        <v>846</v>
      </c>
      <c r="D13" s="166">
        <f>5.2</f>
        <v>5.2</v>
      </c>
      <c r="E13" s="167">
        <f>D13/8*3.5</f>
        <v>2.2749999999999999</v>
      </c>
      <c r="F13" s="167">
        <f>D13/8*2</f>
        <v>1.3</v>
      </c>
      <c r="K13">
        <v>80</v>
      </c>
      <c r="L13" s="5">
        <f t="shared" si="0"/>
        <v>416</v>
      </c>
      <c r="N13">
        <v>55</v>
      </c>
      <c r="O13" s="5">
        <f t="shared" si="1"/>
        <v>286</v>
      </c>
      <c r="P13" s="5"/>
      <c r="Q13" s="5">
        <f>25*D13</f>
        <v>130</v>
      </c>
      <c r="R13" s="5"/>
      <c r="S13">
        <f>CEILING(((S27*2)+(S28*3.5))/8,20)</f>
        <v>40</v>
      </c>
      <c r="T13" s="5">
        <f>S13*$D$13</f>
        <v>208</v>
      </c>
      <c r="V13">
        <f>CEILING(((V27*2)+(V28*3.5))/8,20)</f>
        <v>40</v>
      </c>
      <c r="W13" s="5">
        <f>V13*$D$13</f>
        <v>208</v>
      </c>
      <c r="Y13">
        <f>CEILING(((Y27*2)+(Y28*3.5))/8,20)</f>
        <v>20</v>
      </c>
      <c r="Z13" s="5">
        <f>Y13*$D$13</f>
        <v>104</v>
      </c>
      <c r="AB13">
        <f>CEILING(((AB27*2)+(AB28*3.5))/8,20)</f>
        <v>20</v>
      </c>
      <c r="AC13" s="5">
        <f>AB13*$D$13</f>
        <v>104</v>
      </c>
      <c r="AE13">
        <f>CEILING(((AE27*2)+(AE28*3.5))/8,20)</f>
        <v>20</v>
      </c>
      <c r="AF13" s="5">
        <f>AE13*$D$13</f>
        <v>104</v>
      </c>
      <c r="AH13">
        <f>CEILING(((AH27*2)+(AH28*3.5))/8,20)</f>
        <v>20</v>
      </c>
      <c r="AI13" s="5">
        <f>AH13*$D$13</f>
        <v>104</v>
      </c>
      <c r="AK13">
        <f>CEILING(((AK27*2)+(AK28*3.5))/8,20)</f>
        <v>20</v>
      </c>
      <c r="AL13" s="5">
        <f>AK13*$D$13</f>
        <v>104</v>
      </c>
      <c r="AM13">
        <f>CEILING(((AM27*2)+(AM28*3.5))/8,20)</f>
        <v>20</v>
      </c>
      <c r="AN13" s="5">
        <f>AM13*$D$13</f>
        <v>104</v>
      </c>
      <c r="AO13">
        <f>CEILING(((AO27*2)+(AO28*3.5))/8,20)</f>
        <v>20</v>
      </c>
      <c r="AP13" s="5">
        <f>AO13*$D$13</f>
        <v>104</v>
      </c>
    </row>
    <row r="14" spans="1:42">
      <c r="A14" s="74"/>
      <c r="B14" s="164" t="s">
        <v>850</v>
      </c>
      <c r="C14" s="165" t="s">
        <v>848</v>
      </c>
      <c r="D14" s="166">
        <f>76.95</f>
        <v>76.95</v>
      </c>
      <c r="E14" s="167"/>
      <c r="F14" s="167">
        <f>D14/25</f>
        <v>3.0780000000000003</v>
      </c>
      <c r="K14">
        <v>4</v>
      </c>
      <c r="L14" s="5">
        <f t="shared" si="0"/>
        <v>307.8</v>
      </c>
      <c r="N14">
        <v>1</v>
      </c>
      <c r="O14" s="5">
        <f t="shared" si="1"/>
        <v>76.95</v>
      </c>
      <c r="P14" s="5"/>
      <c r="Q14" s="5">
        <f>3.25*D14</f>
        <v>250.08750000000001</v>
      </c>
      <c r="R14" s="5"/>
      <c r="S14" s="168">
        <f>ROUNDUP(S27/25,0)</f>
        <v>3</v>
      </c>
      <c r="T14" s="5">
        <f>S14*$D$14</f>
        <v>230.85000000000002</v>
      </c>
      <c r="V14" s="168">
        <f>ROUNDUP(V27/25,0)</f>
        <v>3</v>
      </c>
      <c r="W14" s="5">
        <f>V14*$D$14</f>
        <v>230.85000000000002</v>
      </c>
      <c r="Y14" s="168">
        <f>ROUNDUP(Y27/25,0)</f>
        <v>2</v>
      </c>
      <c r="Z14" s="5">
        <f>Y14*$D$14</f>
        <v>153.9</v>
      </c>
      <c r="AB14" s="168">
        <f>ROUNDUP(AB27/25,0)</f>
        <v>1</v>
      </c>
      <c r="AC14" s="5">
        <f>AB14*$D$14</f>
        <v>76.95</v>
      </c>
      <c r="AE14" s="168">
        <f>ROUNDUP(AE27/25,0)</f>
        <v>2</v>
      </c>
      <c r="AF14" s="5">
        <f>AE14*$D$14</f>
        <v>153.9</v>
      </c>
      <c r="AH14" s="168">
        <f>ROUNDUP(AH27/25,0)</f>
        <v>2</v>
      </c>
      <c r="AI14" s="5">
        <f>AH14*$D$14</f>
        <v>153.9</v>
      </c>
      <c r="AK14" s="168">
        <f>ROUNDUP(AK27/25,0)</f>
        <v>3</v>
      </c>
      <c r="AL14" s="5">
        <f>AK14*$D$14</f>
        <v>230.85000000000002</v>
      </c>
      <c r="AM14" s="168">
        <f>ROUNDUP(AM27/25,0)</f>
        <v>2</v>
      </c>
      <c r="AN14" s="5">
        <f>AM14*$D$14</f>
        <v>153.9</v>
      </c>
      <c r="AO14" s="168">
        <f>ROUNDUP(AO27/25,0)</f>
        <v>2</v>
      </c>
      <c r="AP14" s="5">
        <f>AO14*$D$14</f>
        <v>153.9</v>
      </c>
    </row>
    <row r="15" spans="1:42">
      <c r="A15" s="74"/>
      <c r="B15" s="164" t="s">
        <v>853</v>
      </c>
      <c r="C15" s="165" t="s">
        <v>851</v>
      </c>
      <c r="D15" s="166">
        <f>29.1</f>
        <v>29.1</v>
      </c>
      <c r="E15" s="167">
        <f>D15/100*3.5</f>
        <v>1.0185000000000002</v>
      </c>
      <c r="F15" s="167">
        <f>D15/100*2*2</f>
        <v>1.1640000000000001</v>
      </c>
      <c r="K15">
        <v>3</v>
      </c>
      <c r="L15" s="5">
        <f t="shared" si="0"/>
        <v>87.300000000000011</v>
      </c>
      <c r="N15">
        <v>2</v>
      </c>
      <c r="O15" s="5">
        <f t="shared" si="1"/>
        <v>58.2</v>
      </c>
      <c r="P15" s="5"/>
      <c r="Q15" s="5">
        <f>1*D15</f>
        <v>29.1</v>
      </c>
      <c r="R15" s="5"/>
      <c r="S15" s="168">
        <f>ROUNDUP(((S27*2)+(S28*3.5))/100,0)</f>
        <v>2</v>
      </c>
      <c r="T15" s="5">
        <f>S15*$D$15</f>
        <v>58.2</v>
      </c>
      <c r="V15" s="168">
        <f>ROUNDUP(((V27*2)+(V28*3.5))/100,0)</f>
        <v>2</v>
      </c>
      <c r="W15" s="5">
        <f>V15*$D$15</f>
        <v>58.2</v>
      </c>
      <c r="Y15" s="168">
        <f>ROUNDUP(((Y27*2)+(Y28*3.5))/100,0)</f>
        <v>2</v>
      </c>
      <c r="Z15" s="5">
        <f>Y15*$D$15</f>
        <v>58.2</v>
      </c>
      <c r="AB15" s="168">
        <f>ROUNDUP(((AB27*2)+(AB28*3.5))/100,0)</f>
        <v>1</v>
      </c>
      <c r="AC15" s="5">
        <f>AB15*$D$15</f>
        <v>29.1</v>
      </c>
      <c r="AE15" s="168">
        <f>ROUNDUP(((AE27*2)+(AE28*3.5))/100,0)</f>
        <v>2</v>
      </c>
      <c r="AF15" s="5">
        <f>AE15*$D$15</f>
        <v>58.2</v>
      </c>
      <c r="AH15" s="168">
        <f>ROUNDUP(((AH27*2)+(AH28*3.5))/100,0)</f>
        <v>2</v>
      </c>
      <c r="AI15" s="5">
        <f>AH15*$D$15</f>
        <v>58.2</v>
      </c>
      <c r="AK15" s="168">
        <f>ROUNDUP(((AK27*2)+(AK28*3.5))/100,0)</f>
        <v>2</v>
      </c>
      <c r="AL15" s="5">
        <f>AK15*$D$15</f>
        <v>58.2</v>
      </c>
      <c r="AM15" s="168">
        <f>ROUNDUP(((AM27*2)+(AM28*3.5))/100,0)</f>
        <v>1</v>
      </c>
      <c r="AN15" s="5">
        <f>AM15*$D$15</f>
        <v>29.1</v>
      </c>
      <c r="AO15" s="168">
        <f>ROUNDUP(((AO27*2)+(AO28*3.5))/100,0)</f>
        <v>1</v>
      </c>
      <c r="AP15" s="5">
        <f>AO15*$D$15</f>
        <v>29.1</v>
      </c>
    </row>
    <row r="16" spans="1:42">
      <c r="A16" s="74"/>
      <c r="B16" s="164" t="s">
        <v>856</v>
      </c>
      <c r="C16" s="165" t="s">
        <v>965</v>
      </c>
      <c r="D16" s="166">
        <f>14.55</f>
        <v>14.55</v>
      </c>
      <c r="E16" s="167">
        <f>D16/100*8</f>
        <v>1.1640000000000001</v>
      </c>
      <c r="F16" s="167">
        <f>D16/100*6</f>
        <v>0.87300000000000011</v>
      </c>
      <c r="K16">
        <v>10</v>
      </c>
      <c r="L16" s="5">
        <f t="shared" si="0"/>
        <v>145.5</v>
      </c>
      <c r="N16">
        <v>0</v>
      </c>
      <c r="O16" s="5">
        <f t="shared" si="1"/>
        <v>0</v>
      </c>
      <c r="P16" s="5"/>
      <c r="Q16" s="5">
        <f>10*D16</f>
        <v>145.5</v>
      </c>
      <c r="R16" s="5"/>
      <c r="S16" s="168">
        <f>CEILING(ROUNDUP(((S27*2)+(S28*3.5))/0.5,0),100)/100</f>
        <v>4</v>
      </c>
      <c r="T16" s="5">
        <f>S16*$D$16</f>
        <v>58.2</v>
      </c>
      <c r="V16" s="168">
        <f>CEILING(ROUNDUP(((V27*2)+(V28*3.5))/0.5,0),100)/100</f>
        <v>4</v>
      </c>
      <c r="W16" s="5">
        <f>V16*$D$16</f>
        <v>58.2</v>
      </c>
      <c r="Y16" s="168">
        <f>CEILING(ROUNDUP(((Y27*2)+(Y28*3.5))/0.5,0),100)/100</f>
        <v>3</v>
      </c>
      <c r="Z16" s="5">
        <f>Y16*$D$16</f>
        <v>43.650000000000006</v>
      </c>
      <c r="AB16" s="168">
        <f>CEILING(ROUNDUP(((AB27*2)+(AB28*3.5))/0.5,0),100)/100</f>
        <v>2</v>
      </c>
      <c r="AC16" s="5">
        <f>AB16*$D$16</f>
        <v>29.1</v>
      </c>
      <c r="AE16" s="168">
        <f>CEILING(ROUNDUP(((AE27*2)+(AE28*3.5))/0.5,0),100)/100</f>
        <v>3</v>
      </c>
      <c r="AF16" s="5">
        <f>AE16*$D$16</f>
        <v>43.650000000000006</v>
      </c>
      <c r="AH16" s="168">
        <f>CEILING(ROUNDUP(((AH27*2)+(AH28*3.5))/0.5,0),100)/100</f>
        <v>3</v>
      </c>
      <c r="AI16" s="5">
        <f>AH16*$D$16</f>
        <v>43.650000000000006</v>
      </c>
      <c r="AK16" s="168">
        <f>CEILING(ROUNDUP(((AK27*2)+(AK28*3.5))/0.5,0),100)/100</f>
        <v>3</v>
      </c>
      <c r="AL16" s="5">
        <f>AK16*$D$16</f>
        <v>43.650000000000006</v>
      </c>
      <c r="AM16" s="168">
        <f>CEILING(ROUNDUP(((AM27*2)+(AM28*3.5))/0.5,0),100)/100</f>
        <v>2</v>
      </c>
      <c r="AN16" s="5">
        <f>AM16*$D$16</f>
        <v>29.1</v>
      </c>
      <c r="AO16" s="168">
        <f>CEILING(ROUNDUP(((AO27*2)+(AO28*3.5))/0.5,0),100)/100</f>
        <v>2</v>
      </c>
      <c r="AP16" s="5">
        <f>AO16*$D$16</f>
        <v>29.1</v>
      </c>
    </row>
    <row r="17" spans="1:42">
      <c r="A17" s="74"/>
      <c r="B17" s="169"/>
      <c r="C17" s="170"/>
      <c r="D17" s="167"/>
      <c r="E17" s="167">
        <f>SUM(E11:E16)</f>
        <v>7.213750000000001</v>
      </c>
      <c r="F17" s="167">
        <f>SUM(F11:F16)</f>
        <v>7.9900000000000011</v>
      </c>
      <c r="L17" s="5">
        <f>SUM(L11:L16)*0.08</f>
        <v>116.848</v>
      </c>
      <c r="O17" s="156">
        <f>SUM(O11:O16)</f>
        <v>772.30000000000007</v>
      </c>
      <c r="P17" s="156"/>
      <c r="Q17" s="156">
        <f>SUM(Q11:Q16)</f>
        <v>707.53750000000002</v>
      </c>
      <c r="R17" s="156"/>
      <c r="S17" t="s">
        <v>966</v>
      </c>
      <c r="T17" s="5" cm="1">
        <f t="array" ref="T17">SUM(T11:T16*0.08)</f>
        <v>64.58</v>
      </c>
      <c r="V17" t="s">
        <v>966</v>
      </c>
      <c r="W17" s="5" cm="1">
        <f t="array" ref="W17">SUM(W11:W16*0.08)</f>
        <v>64.58</v>
      </c>
      <c r="Y17" t="s">
        <v>966</v>
      </c>
      <c r="Z17" s="5" cm="1">
        <f t="array" ref="Z17">SUM(Z11:Z16*0.08)</f>
        <v>38.86</v>
      </c>
      <c r="AB17" t="s">
        <v>966</v>
      </c>
      <c r="AC17" s="5" cm="1">
        <f t="array" ref="AC17">SUM(AC11:AC16*0.08)</f>
        <v>29.211999999999996</v>
      </c>
      <c r="AE17" t="s">
        <v>966</v>
      </c>
      <c r="AF17" s="5" cm="1">
        <f t="array" ref="AF17">SUM(AF11:AF16*0.08)</f>
        <v>38.86</v>
      </c>
      <c r="AH17" t="s">
        <v>966</v>
      </c>
      <c r="AI17" s="5" cm="1">
        <f t="array" ref="AI17">SUM(AI11:AI16*0.08)</f>
        <v>38.86</v>
      </c>
      <c r="AK17" t="s">
        <v>966</v>
      </c>
      <c r="AL17" s="5" cm="1">
        <f t="array" ref="AL17">SUM(AL11:AL16*0.08)</f>
        <v>45.015999999999998</v>
      </c>
      <c r="AM17" t="s">
        <v>966</v>
      </c>
      <c r="AN17" s="5" cm="1">
        <f t="array" ref="AN17">SUM(AN11:AN16*0.08)</f>
        <v>35.368000000000002</v>
      </c>
      <c r="AO17" t="s">
        <v>966</v>
      </c>
      <c r="AP17" s="5" cm="1">
        <f t="array" ref="AP17">SUM(AP11:AP16*0.08)</f>
        <v>35.368000000000002</v>
      </c>
    </row>
    <row r="18" spans="1:42">
      <c r="A18" s="74"/>
      <c r="B18" s="169"/>
      <c r="C18" s="170"/>
      <c r="D18" s="167" t="s">
        <v>967</v>
      </c>
      <c r="E18" s="167">
        <f>E17*0.08</f>
        <v>0.57710000000000006</v>
      </c>
      <c r="F18" s="171">
        <f>F17*0.08</f>
        <v>0.6392000000000001</v>
      </c>
      <c r="L18" s="5">
        <f>277.27</f>
        <v>277.27</v>
      </c>
      <c r="S18" t="s">
        <v>968</v>
      </c>
      <c r="T18" s="5">
        <f>S27*$F$19</f>
        <v>237.6</v>
      </c>
      <c r="V18" t="s">
        <v>968</v>
      </c>
      <c r="W18" s="5">
        <f>V27*$F$19</f>
        <v>237.6</v>
      </c>
      <c r="Y18" t="s">
        <v>968</v>
      </c>
      <c r="Z18" s="5">
        <f>Y27*$F$19</f>
        <v>172.8</v>
      </c>
      <c r="AB18" t="s">
        <v>968</v>
      </c>
      <c r="AC18" s="5">
        <f>AB27*$F$19</f>
        <v>54.9</v>
      </c>
      <c r="AE18" t="s">
        <v>968</v>
      </c>
      <c r="AF18" s="5">
        <f>AE27*$F$19</f>
        <v>131.4</v>
      </c>
      <c r="AH18" t="s">
        <v>968</v>
      </c>
      <c r="AI18" s="5">
        <f>AH27*$F$19</f>
        <v>146.40011999999999</v>
      </c>
      <c r="AK18" t="s">
        <v>968</v>
      </c>
      <c r="AL18" s="5">
        <f>AK27*$F$19</f>
        <v>187.20000000000002</v>
      </c>
      <c r="AM18" t="s">
        <v>968</v>
      </c>
      <c r="AN18" s="5">
        <f>AM27*$F$19</f>
        <v>129.6</v>
      </c>
      <c r="AO18" t="s">
        <v>968</v>
      </c>
      <c r="AP18" s="5">
        <f>AO27*$F$19</f>
        <v>118.8</v>
      </c>
    </row>
    <row r="19" spans="1:42">
      <c r="A19" s="74"/>
      <c r="B19" s="169"/>
      <c r="C19" s="170"/>
      <c r="D19" s="167" t="s">
        <v>968</v>
      </c>
      <c r="E19" s="172"/>
      <c r="F19" s="173">
        <v>3.6</v>
      </c>
      <c r="L19" s="5">
        <f>SUM(L11:L18)</f>
        <v>1854.7179999999998</v>
      </c>
      <c r="S19" t="s">
        <v>969</v>
      </c>
      <c r="T19" s="5">
        <f>SUM(T11:T18)</f>
        <v>1109.43</v>
      </c>
      <c r="V19" t="s">
        <v>969</v>
      </c>
      <c r="W19" s="5">
        <f>SUM(W11:W18)</f>
        <v>1109.43</v>
      </c>
      <c r="Y19" t="s">
        <v>969</v>
      </c>
      <c r="Z19" s="5">
        <f>SUM(Z11:Z18)</f>
        <v>697.41000000000008</v>
      </c>
      <c r="AB19" t="s">
        <v>969</v>
      </c>
      <c r="AC19" s="5">
        <f>SUM(AC11:AC18)</f>
        <v>449.262</v>
      </c>
      <c r="AE19" t="s">
        <v>969</v>
      </c>
      <c r="AF19" s="5">
        <f>SUM(AF11:AF18)</f>
        <v>656.01</v>
      </c>
      <c r="AH19" t="s">
        <v>969</v>
      </c>
      <c r="AI19" s="5">
        <f>SUM(AI11:AI18)</f>
        <v>671.01012000000003</v>
      </c>
      <c r="AK19" t="s">
        <v>969</v>
      </c>
      <c r="AL19" s="5">
        <f>SUM(AL11:AL18)</f>
        <v>794.91600000000005</v>
      </c>
      <c r="AM19" t="s">
        <v>969</v>
      </c>
      <c r="AN19" s="5">
        <f>SUM(AN11:AN18)</f>
        <v>607.06799999999998</v>
      </c>
      <c r="AO19" t="s">
        <v>969</v>
      </c>
      <c r="AP19" s="5">
        <f>SUM(AP11:AP18)</f>
        <v>596.26800000000003</v>
      </c>
    </row>
    <row r="20" spans="1:42">
      <c r="A20" s="74"/>
      <c r="B20" s="169"/>
      <c r="C20" s="170"/>
      <c r="D20" s="167" t="s">
        <v>970</v>
      </c>
      <c r="E20" s="172">
        <f>SUM(E17:E19)</f>
        <v>7.7908500000000007</v>
      </c>
      <c r="F20" s="174">
        <f>SUM(F17:F19)</f>
        <v>12.229200000000001</v>
      </c>
      <c r="O20" s="5">
        <f>L19-L17-O17</f>
        <v>965.56999999999982</v>
      </c>
      <c r="P20" s="5"/>
      <c r="Q20" s="105">
        <f>1-Q17/Q10</f>
        <v>0.85828332618945558</v>
      </c>
      <c r="R20" s="105"/>
    </row>
    <row r="27" spans="1:42">
      <c r="N27" t="s">
        <v>79</v>
      </c>
      <c r="O27" s="98"/>
      <c r="P27" s="98"/>
      <c r="Q27" s="155">
        <v>77.5</v>
      </c>
      <c r="R27" s="155"/>
      <c r="S27" s="175">
        <f>(6+1.5+1.5+6+6.5+6.5+2.5+2.5)*2</f>
        <v>66</v>
      </c>
      <c r="V27" s="175">
        <f>(11*3)*2</f>
        <v>66</v>
      </c>
      <c r="Y27" s="175">
        <f>9+9+9.5+9.5+5.5+5.5</f>
        <v>48</v>
      </c>
      <c r="AB27" s="175">
        <f>(64+72+47)/12</f>
        <v>15.25</v>
      </c>
      <c r="AE27" s="175">
        <f>(176+96+96+35+35)/12</f>
        <v>36.5</v>
      </c>
      <c r="AH27" s="175">
        <f>13.6667+4+7.1667+7.1667+4.3333+4.3333</f>
        <v>40.666699999999999</v>
      </c>
      <c r="AK27" s="175">
        <v>52</v>
      </c>
      <c r="AM27" s="175">
        <v>36</v>
      </c>
      <c r="AO27" s="175">
        <v>33</v>
      </c>
    </row>
    <row r="28" spans="1:42">
      <c r="N28" t="s">
        <v>971</v>
      </c>
      <c r="O28" s="98"/>
      <c r="P28" s="98"/>
      <c r="Q28" s="155">
        <v>18</v>
      </c>
      <c r="R28" s="155"/>
      <c r="S28" s="175">
        <v>16</v>
      </c>
      <c r="V28" s="175">
        <v>12</v>
      </c>
      <c r="Y28" s="175">
        <v>12</v>
      </c>
      <c r="AB28" s="175">
        <v>8</v>
      </c>
      <c r="AE28" s="175">
        <v>10</v>
      </c>
      <c r="AH28" s="175">
        <v>12</v>
      </c>
      <c r="AK28" s="175">
        <v>10</v>
      </c>
      <c r="AM28" s="175"/>
      <c r="AO28" s="175">
        <v>8</v>
      </c>
    </row>
    <row r="29" spans="1:42">
      <c r="O29" s="98"/>
      <c r="P29" s="98"/>
      <c r="Q29" s="73"/>
      <c r="R29" s="73"/>
    </row>
    <row r="30" spans="1:42">
      <c r="T30">
        <f>1-T19/S38</f>
        <v>0.65981269414437382</v>
      </c>
      <c r="W30">
        <f>1-W19/V38</f>
        <v>0.64804144356971127</v>
      </c>
      <c r="Z30">
        <f>1-Z19/Y38</f>
        <v>0.70718236428418391</v>
      </c>
      <c r="AC30">
        <f>1-AC19/AB38</f>
        <v>0.48412712766039911</v>
      </c>
      <c r="AF30">
        <f>1-AF19/AE38</f>
        <v>0.6424935790836428</v>
      </c>
      <c r="AI30">
        <f>1-AI19/AH38</f>
        <v>0.67550190354537554</v>
      </c>
      <c r="AL30">
        <f>1-AL19/AK38</f>
        <v>0.68182922618514774</v>
      </c>
      <c r="AN30">
        <f>1-AN19/AM38</f>
        <v>0.60602492395250707</v>
      </c>
      <c r="AP30">
        <f>1-AP19/AO38</f>
        <v>0.63432969274686557</v>
      </c>
    </row>
    <row r="32" spans="1:42">
      <c r="N32" t="s">
        <v>960</v>
      </c>
      <c r="Q32" s="98">
        <f>Q27*$F$20</f>
        <v>947.76300000000003</v>
      </c>
      <c r="S32" s="98">
        <f>S27*$F$20</f>
        <v>807.12720000000002</v>
      </c>
      <c r="V32" s="98">
        <f>V27*$F$20</f>
        <v>807.12720000000002</v>
      </c>
      <c r="Y32" s="98">
        <f>Y27*$F$20</f>
        <v>587.00160000000005</v>
      </c>
      <c r="AB32" s="98">
        <f>AB27*$F$20</f>
        <v>186.49530000000001</v>
      </c>
      <c r="AE32" s="98">
        <f>AE27*$F$20</f>
        <v>446.36580000000004</v>
      </c>
      <c r="AH32" s="98">
        <f>AH27*$F$20</f>
        <v>497.32120764000001</v>
      </c>
      <c r="AK32" s="98">
        <f>AK27*$F$20</f>
        <v>635.91840000000002</v>
      </c>
      <c r="AM32" s="98">
        <f>AM27*$F$20</f>
        <v>440.25120000000004</v>
      </c>
      <c r="AO32" s="98">
        <f>AO27*$F$20</f>
        <v>403.56360000000001</v>
      </c>
    </row>
    <row r="33" spans="14:41">
      <c r="N33" t="s">
        <v>972</v>
      </c>
      <c r="Q33" s="98">
        <f>Q28*$E$20</f>
        <v>140.23530000000002</v>
      </c>
      <c r="S33" s="98">
        <f>S28*$E$20</f>
        <v>124.65360000000001</v>
      </c>
      <c r="V33" s="98">
        <f>V28*$E$20</f>
        <v>93.490200000000016</v>
      </c>
      <c r="Y33" s="98">
        <f>Y28*$E$20</f>
        <v>93.490200000000016</v>
      </c>
      <c r="AB33" s="98">
        <f>AB28*$E$20</f>
        <v>62.326800000000006</v>
      </c>
      <c r="AE33" s="98">
        <f>AE28*$E$20</f>
        <v>77.908500000000004</v>
      </c>
      <c r="AH33" s="98">
        <f>AH28*$E$20</f>
        <v>93.490200000000016</v>
      </c>
      <c r="AK33" s="98">
        <f>AK28*$E$20</f>
        <v>77.908500000000004</v>
      </c>
      <c r="AM33" s="98">
        <f>AM28*$E$20</f>
        <v>0</v>
      </c>
      <c r="AO33" s="98">
        <f>AO28*$E$20</f>
        <v>62.326800000000006</v>
      </c>
    </row>
    <row r="34" spans="14:41">
      <c r="N34" t="s">
        <v>584</v>
      </c>
      <c r="Q34" s="98">
        <f>SUM(Q32:Q33)</f>
        <v>1087.9983</v>
      </c>
      <c r="S34" s="98">
        <f>SUM(S32:S33)</f>
        <v>931.7808</v>
      </c>
      <c r="V34" s="98">
        <f>SUM(V32:V33)</f>
        <v>900.61740000000009</v>
      </c>
      <c r="Y34" s="98">
        <f>SUM(Y32:Y33)</f>
        <v>680.49180000000001</v>
      </c>
      <c r="AB34" s="98">
        <f>SUM(AB32:AB33)</f>
        <v>248.82210000000003</v>
      </c>
      <c r="AE34" s="98">
        <f>SUM(AE32:AE33)</f>
        <v>524.27430000000004</v>
      </c>
      <c r="AH34" s="98">
        <f>SUM(AH32:AH33)</f>
        <v>590.81140763999997</v>
      </c>
      <c r="AK34" s="98">
        <f>SUM(AK32:AK33)</f>
        <v>713.82690000000002</v>
      </c>
      <c r="AM34" s="98">
        <f>SUM(AM32:AM33)</f>
        <v>440.25120000000004</v>
      </c>
      <c r="AO34" s="98">
        <f>SUM(AO32:AO33)</f>
        <v>465.8904</v>
      </c>
    </row>
    <row r="36" spans="14:41">
      <c r="N36" t="s">
        <v>973</v>
      </c>
      <c r="Q36" s="98">
        <f>Q27*$F$20*3.5</f>
        <v>3317.1705000000002</v>
      </c>
      <c r="S36" s="98">
        <f>S27*$F$20*3.5</f>
        <v>2824.9452000000001</v>
      </c>
      <c r="V36" s="98">
        <f>V27*$F$20*3.5</f>
        <v>2824.9452000000001</v>
      </c>
      <c r="Y36" s="98">
        <f>Y27*$F$20*3.5</f>
        <v>2054.5056000000004</v>
      </c>
      <c r="AB36" s="98">
        <f>AB27*$F$20*3.5</f>
        <v>652.73355000000004</v>
      </c>
      <c r="AE36" s="98">
        <f>AE27*$F$20*3.5</f>
        <v>1562.2803000000001</v>
      </c>
      <c r="AH36" s="98">
        <f>AH27*$F$20*3.5</f>
        <v>1740.62422674</v>
      </c>
      <c r="AK36" s="98">
        <f>AK27*$F$20*3.5</f>
        <v>2225.7143999999998</v>
      </c>
      <c r="AM36" s="98">
        <f>AM27*$F$20*3.5</f>
        <v>1540.8792000000001</v>
      </c>
      <c r="AO36" s="98">
        <f>AO27*$F$20*3.5</f>
        <v>1412.4726000000001</v>
      </c>
    </row>
    <row r="37" spans="14:41">
      <c r="N37" t="s">
        <v>974</v>
      </c>
      <c r="Q37" s="98">
        <f>Q28*$E$20*3.5</f>
        <v>490.82355000000007</v>
      </c>
      <c r="S37" s="98">
        <f>S28*$E$20*3.5</f>
        <v>436.28760000000005</v>
      </c>
      <c r="V37" s="98">
        <f>V28*$E$20*3.5</f>
        <v>327.21570000000008</v>
      </c>
      <c r="Y37" s="98">
        <f>Y28*$E$20*3.5</f>
        <v>327.21570000000008</v>
      </c>
      <c r="AB37" s="98">
        <f>AB28*$E$20*3.5</f>
        <v>218.14380000000003</v>
      </c>
      <c r="AE37" s="98">
        <f>AE28*$E$20*3.5</f>
        <v>272.67975000000001</v>
      </c>
      <c r="AH37" s="98">
        <f>AH28*$E$20*3.5</f>
        <v>327.21570000000008</v>
      </c>
      <c r="AK37" s="98">
        <f>AK28*$E$20*3.5</f>
        <v>272.67975000000001</v>
      </c>
      <c r="AM37" s="98">
        <f>AM28*$E$20*3.5</f>
        <v>0</v>
      </c>
      <c r="AO37" s="98">
        <f>AO28*$E$20*3.5</f>
        <v>218.14380000000003</v>
      </c>
    </row>
    <row r="38" spans="14:41">
      <c r="N38" t="s">
        <v>584</v>
      </c>
      <c r="Q38" s="176">
        <f>SUM(Q36:Q37)</f>
        <v>3807.9940500000002</v>
      </c>
      <c r="S38" s="176">
        <f>SUM(S36:S37)</f>
        <v>3261.2328000000002</v>
      </c>
      <c r="V38" s="176">
        <f>SUM(V36:V37)</f>
        <v>3152.1609000000003</v>
      </c>
      <c r="Y38" s="176">
        <f>SUM(Y36:Y37)</f>
        <v>2381.7213000000006</v>
      </c>
      <c r="AB38" s="176">
        <f>SUM(AB36:AB37)</f>
        <v>870.87735000000009</v>
      </c>
      <c r="AE38" s="176">
        <f>SUM(AE36:AE37)</f>
        <v>1834.9600500000001</v>
      </c>
      <c r="AH38" s="176">
        <f>SUM(AH36:AH37)</f>
        <v>2067.83992674</v>
      </c>
      <c r="AK38" s="176">
        <f>SUM(AK36:AK37)</f>
        <v>2498.3941500000001</v>
      </c>
      <c r="AM38" s="176">
        <f>SUM(AM36:AM37)</f>
        <v>1540.8792000000001</v>
      </c>
      <c r="AO38" s="176">
        <f>SUM(AO36:AO37)</f>
        <v>1630.6164000000001</v>
      </c>
    </row>
  </sheetData>
  <mergeCells count="11">
    <mergeCell ref="AO9:AP9"/>
    <mergeCell ref="AM9:AN9"/>
    <mergeCell ref="AK9:AL9"/>
    <mergeCell ref="K10:L10"/>
    <mergeCell ref="N10:O10"/>
    <mergeCell ref="AE9:AF9"/>
    <mergeCell ref="AH9:AI9"/>
    <mergeCell ref="AB9:AC9"/>
    <mergeCell ref="S9:T9"/>
    <mergeCell ref="V9:W9"/>
    <mergeCell ref="Y9:Z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B0B15-964B-401B-A9AC-F11F8FC0FE61}">
  <sheetPr codeName="Sheet20">
    <tabColor rgb="FFFF0000"/>
  </sheetPr>
  <dimension ref="A1:BF245"/>
  <sheetViews>
    <sheetView workbookViewId="0">
      <selection activeCell="J35" sqref="J35"/>
    </sheetView>
  </sheetViews>
  <sheetFormatPr defaultRowHeight="15"/>
  <cols>
    <col min="1" max="1" width="9.140625" style="2"/>
    <col min="2" max="2" width="12.140625" style="2" customWidth="1"/>
    <col min="3" max="3" width="12.7109375" style="2" customWidth="1"/>
    <col min="4" max="5" width="9.140625" style="2"/>
    <col min="6" max="6" width="11.7109375" style="2" customWidth="1"/>
    <col min="7" max="7" width="13.140625" customWidth="1"/>
    <col min="8" max="8" width="14.28515625" customWidth="1"/>
    <col min="9" max="9" width="1.85546875" customWidth="1"/>
    <col min="10" max="10" width="14.28515625" style="2" customWidth="1"/>
    <col min="11" max="11" width="35.28515625" style="2" customWidth="1"/>
    <col min="12" max="12" width="2.42578125" customWidth="1"/>
    <col min="13" max="13" width="11.5703125" style="2" customWidth="1"/>
    <col min="14" max="14" width="3" customWidth="1"/>
    <col min="15" max="15" width="10.5703125" style="92" customWidth="1"/>
    <col min="16" max="16" width="10.42578125" style="92" customWidth="1"/>
    <col min="17" max="17" width="9.42578125" style="92" customWidth="1"/>
    <col min="18" max="18" width="11.140625" style="92" customWidth="1"/>
    <col min="19" max="19" width="2.28515625" customWidth="1"/>
    <col min="20" max="21" width="9.5703125" style="2" customWidth="1"/>
    <col min="22" max="22" width="11.7109375" style="2" customWidth="1"/>
    <col min="23" max="23" width="14" style="2" customWidth="1"/>
    <col min="24" max="24" width="11.7109375" style="2" customWidth="1"/>
    <col min="25" max="25" width="14.140625" style="2" customWidth="1"/>
    <col min="26" max="26" width="11.42578125" style="2" customWidth="1"/>
    <col min="27" max="27" width="9.85546875" style="2" customWidth="1"/>
    <col min="28" max="28" width="11" style="2" customWidth="1"/>
    <col min="29" max="29" width="9.7109375" style="2" customWidth="1"/>
    <col min="30" max="30" width="9.5703125" style="2" customWidth="1"/>
    <col min="31" max="31" width="2.42578125" style="111" customWidth="1"/>
    <col min="32" max="32" width="11.5703125" customWidth="1"/>
    <col min="33" max="33" width="12.140625" customWidth="1"/>
    <col min="34" max="34" width="10.28515625" customWidth="1"/>
    <col min="35" max="35" width="12" customWidth="1"/>
    <col min="36" max="36" width="16.5703125" customWidth="1"/>
    <col min="37" max="37" width="14.5703125" style="40" customWidth="1"/>
    <col min="38" max="38" width="14.28515625" customWidth="1"/>
    <col min="39" max="39" width="12.42578125" customWidth="1"/>
    <col min="40" max="40" width="11" customWidth="1"/>
    <col min="41" max="41" width="10.140625" customWidth="1"/>
    <col min="43" max="43" width="11.28515625" bestFit="1" customWidth="1"/>
    <col min="44" max="44" width="12.140625" customWidth="1"/>
    <col min="45" max="45" width="9.85546875" customWidth="1"/>
    <col min="46" max="46" width="11.140625" customWidth="1"/>
    <col min="47" max="47" width="10.5703125" customWidth="1"/>
    <col min="48" max="48" width="14.85546875" customWidth="1"/>
    <col min="49" max="49" width="12.85546875" customWidth="1"/>
    <col min="50" max="50" width="13.42578125" customWidth="1"/>
    <col min="51" max="51" width="12.42578125" customWidth="1"/>
    <col min="52" max="52" width="12.5703125" customWidth="1"/>
    <col min="53" max="53" width="11" customWidth="1"/>
    <col min="54" max="54" width="13.28515625" customWidth="1"/>
    <col min="57" max="57" width="10.42578125" customWidth="1"/>
  </cols>
  <sheetData>
    <row r="1" spans="1:58">
      <c r="O1" s="139" t="s">
        <v>331</v>
      </c>
    </row>
    <row r="2" spans="1:58">
      <c r="O2" s="139" t="e">
        <f>100-(SUM(C10:C109)/SUM(B10:B109)*100)</f>
        <v>#DIV/0!</v>
      </c>
    </row>
    <row r="3" spans="1:58">
      <c r="A3" s="337" t="s">
        <v>975</v>
      </c>
      <c r="B3" s="337"/>
      <c r="C3" s="337"/>
      <c r="D3" s="337"/>
      <c r="E3" s="254"/>
      <c r="F3" s="337" t="s">
        <v>424</v>
      </c>
      <c r="G3" s="337"/>
      <c r="H3" s="337"/>
      <c r="I3" s="1"/>
      <c r="J3" s="337" t="s">
        <v>976</v>
      </c>
      <c r="K3" s="337"/>
    </row>
    <row r="4" spans="1:58" ht="15.75" thickBot="1">
      <c r="A4" s="406" t="s">
        <v>423</v>
      </c>
      <c r="B4" s="406"/>
      <c r="C4" s="406"/>
      <c r="D4" s="406"/>
      <c r="E4" s="254"/>
      <c r="F4" s="407"/>
      <c r="G4" s="407"/>
      <c r="H4" s="407"/>
      <c r="I4" s="1"/>
      <c r="J4" s="408">
        <f>SUM(B10:B109)</f>
        <v>0</v>
      </c>
      <c r="K4" s="408"/>
    </row>
    <row r="5" spans="1:58">
      <c r="A5" s="2" t="s">
        <v>246</v>
      </c>
      <c r="B5" s="2" t="s">
        <v>195</v>
      </c>
      <c r="C5" s="2" t="s">
        <v>361</v>
      </c>
      <c r="D5" s="2" t="s">
        <v>423</v>
      </c>
      <c r="F5" s="29"/>
      <c r="G5" s="29"/>
      <c r="H5" s="29"/>
      <c r="J5" s="124"/>
      <c r="K5" s="124"/>
    </row>
    <row r="6" spans="1:58">
      <c r="A6" s="31">
        <v>1.6</v>
      </c>
      <c r="B6" s="31">
        <v>1.4</v>
      </c>
      <c r="C6" s="31">
        <v>1.3</v>
      </c>
      <c r="D6" s="31">
        <v>1.2</v>
      </c>
      <c r="AH6">
        <v>4753</v>
      </c>
    </row>
    <row r="7" spans="1:58">
      <c r="A7" s="96">
        <v>0.08</v>
      </c>
      <c r="B7" s="96">
        <v>0.05</v>
      </c>
      <c r="C7" s="96">
        <v>0.03</v>
      </c>
      <c r="D7" s="96">
        <v>0.01</v>
      </c>
      <c r="O7" s="303" t="s">
        <v>495</v>
      </c>
      <c r="P7" s="303"/>
      <c r="Q7" s="303"/>
      <c r="R7" s="303"/>
      <c r="T7" s="337" t="s">
        <v>426</v>
      </c>
      <c r="U7" s="337"/>
      <c r="V7" s="337"/>
      <c r="W7" s="337"/>
      <c r="X7" s="337"/>
      <c r="Y7" s="337"/>
      <c r="Z7" s="337"/>
      <c r="AA7" s="337"/>
      <c r="AB7" s="337"/>
      <c r="AC7" s="337"/>
      <c r="AD7" s="337"/>
      <c r="AG7" s="105">
        <v>0.1333</v>
      </c>
      <c r="AK7" s="39"/>
      <c r="AM7" s="6">
        <v>120</v>
      </c>
      <c r="AN7" s="6">
        <v>26.4</v>
      </c>
      <c r="AO7" s="6">
        <f>AN7</f>
        <v>26.4</v>
      </c>
      <c r="AP7" s="6">
        <f>20*1.2</f>
        <v>24</v>
      </c>
      <c r="AQ7" s="6"/>
      <c r="AR7" s="6">
        <f>25*1.2</f>
        <v>30</v>
      </c>
      <c r="AS7" s="6">
        <f>21*1.2</f>
        <v>25.2</v>
      </c>
      <c r="AT7" s="6"/>
      <c r="AU7" s="6">
        <f>25*1.2</f>
        <v>30</v>
      </c>
    </row>
    <row r="8" spans="1:58">
      <c r="C8" s="2" t="s">
        <v>977</v>
      </c>
      <c r="E8" s="2" t="s">
        <v>428</v>
      </c>
      <c r="F8" s="2" t="s">
        <v>429</v>
      </c>
      <c r="G8" s="303" t="s">
        <v>978</v>
      </c>
      <c r="H8" s="303"/>
      <c r="I8" s="2"/>
      <c r="L8" s="2"/>
      <c r="N8" s="2"/>
      <c r="O8" s="303" t="s">
        <v>393</v>
      </c>
      <c r="P8" s="303"/>
      <c r="Q8" s="303" t="s">
        <v>438</v>
      </c>
      <c r="R8" s="303"/>
      <c r="T8" s="2" t="s">
        <v>430</v>
      </c>
      <c r="V8" s="6"/>
      <c r="W8" s="6"/>
      <c r="X8" s="22" t="str">
        <f>IF(AND(A4="RETAIL", X10="YES"),'Comp Hardware'!L11,IF(AND(A4="BLDR",X10="YES"),'Comp Hardware'!M11,IF(AND(A4="WHOLE",X10="YES"),'Comp Hardware'!N11,IF(AND(A4="LCR",X10="YES"),'Comp Hardware'!N11,""))))</f>
        <v/>
      </c>
      <c r="Y8" s="6" t="str">
        <f>IF(AND(A4="RETAIL", Y10="YES"),'Comp Hardware'!L9,IF(AND(A4="BLDR",Y10="YES"),'Comp Hardware'!M9,IF(AND(A4="WHOLE",Y10="YES"),'Comp Hardware'!N9,IF(AND(A4="LCR",Y10="YES"),'Comp Hardware'!N9,""))))</f>
        <v/>
      </c>
      <c r="Z8" s="2" t="str">
        <f>IF(AND(A4="RETAIL", Z10="YES"),'Comp Hardware'!L10,IF(AND(A4="BLDR",Z10="YES"),'Comp Hardware'!M10,IF(AND(A4="WHOLE",Z10="YES"),'Comp Hardware'!N10,IF(AND(A4="LCR",Z10="YES"),'Comp Hardware'!N10,""))))</f>
        <v/>
      </c>
      <c r="AA8" s="2" t="s">
        <v>431</v>
      </c>
      <c r="AD8" s="6"/>
      <c r="AG8" s="131">
        <f>$AJ$162</f>
        <v>54.900500000000008</v>
      </c>
      <c r="AH8" s="131">
        <f>$AJ$165</f>
        <v>68.307500000000005</v>
      </c>
      <c r="AI8" s="131">
        <f>$AJ$168</f>
        <v>83.360400000000013</v>
      </c>
      <c r="AK8" s="114"/>
      <c r="AM8" s="2" t="s">
        <v>497</v>
      </c>
      <c r="AN8" s="2" t="s">
        <v>497</v>
      </c>
      <c r="AO8" s="2" t="s">
        <v>435</v>
      </c>
      <c r="AP8" s="2" t="s">
        <v>435</v>
      </c>
      <c r="AQ8" s="2" t="s">
        <v>435</v>
      </c>
      <c r="AR8" s="2" t="s">
        <v>435</v>
      </c>
      <c r="AS8" s="2" t="s">
        <v>435</v>
      </c>
      <c r="AT8" s="2" t="s">
        <v>435</v>
      </c>
      <c r="AU8" s="2" t="s">
        <v>435</v>
      </c>
      <c r="AW8" s="73">
        <v>50</v>
      </c>
      <c r="AX8" s="2" t="s">
        <v>498</v>
      </c>
      <c r="AY8" s="2"/>
      <c r="AZ8" s="6">
        <v>100</v>
      </c>
      <c r="BA8" s="6">
        <f>'Comp Hardware'!H53</f>
        <v>44.199999999999996</v>
      </c>
      <c r="BB8" s="73">
        <v>25</v>
      </c>
      <c r="BC8" s="73">
        <v>25</v>
      </c>
      <c r="BD8" s="73">
        <v>10</v>
      </c>
      <c r="BE8" s="73">
        <v>175</v>
      </c>
    </row>
    <row r="9" spans="1:58" ht="17.25">
      <c r="A9" s="2" t="s">
        <v>368</v>
      </c>
      <c r="B9" s="2" t="s">
        <v>274</v>
      </c>
      <c r="C9" s="2" t="s">
        <v>247</v>
      </c>
      <c r="D9" s="2" t="s">
        <v>369</v>
      </c>
      <c r="E9" s="2" t="s">
        <v>499</v>
      </c>
      <c r="F9" s="2" t="s">
        <v>500</v>
      </c>
      <c r="G9" s="2" t="s">
        <v>979</v>
      </c>
      <c r="H9" s="2" t="s">
        <v>980</v>
      </c>
      <c r="I9" s="2"/>
      <c r="J9" s="2" t="s">
        <v>439</v>
      </c>
      <c r="K9" s="2" t="s">
        <v>371</v>
      </c>
      <c r="L9" s="2"/>
      <c r="M9" s="2" t="s">
        <v>372</v>
      </c>
      <c r="N9" s="2"/>
      <c r="O9" s="92" t="s">
        <v>361</v>
      </c>
      <c r="P9" s="92" t="s">
        <v>501</v>
      </c>
      <c r="Q9" s="92" t="s">
        <v>361</v>
      </c>
      <c r="R9" s="92" t="s">
        <v>501</v>
      </c>
      <c r="T9" s="2" t="s">
        <v>441</v>
      </c>
      <c r="U9" s="2" t="s">
        <v>442</v>
      </c>
      <c r="V9" s="2" t="s">
        <v>502</v>
      </c>
      <c r="W9" s="2" t="s">
        <v>503</v>
      </c>
      <c r="X9" s="2" t="s">
        <v>504</v>
      </c>
      <c r="Y9" s="2" t="s">
        <v>443</v>
      </c>
      <c r="Z9" s="2" t="s">
        <v>444</v>
      </c>
      <c r="AA9" s="2" t="s">
        <v>445</v>
      </c>
      <c r="AB9" s="2" t="s">
        <v>505</v>
      </c>
      <c r="AC9" s="2" t="s">
        <v>506</v>
      </c>
      <c r="AD9" s="2" t="s">
        <v>525</v>
      </c>
      <c r="AF9" s="2" t="s">
        <v>508</v>
      </c>
      <c r="AG9" s="113" t="s">
        <v>509</v>
      </c>
      <c r="AH9" s="25" t="s">
        <v>510</v>
      </c>
      <c r="AI9" s="25">
        <f>IF(SUM(O10:O109)=0,0,1)</f>
        <v>0</v>
      </c>
      <c r="AJ9" s="38" t="s">
        <v>511</v>
      </c>
      <c r="AK9" s="133" t="s">
        <v>512</v>
      </c>
      <c r="AL9" s="38" t="s">
        <v>513</v>
      </c>
      <c r="AM9" s="38" t="s">
        <v>514</v>
      </c>
      <c r="AN9" s="38" t="s">
        <v>515</v>
      </c>
      <c r="AO9" s="38" t="s">
        <v>516</v>
      </c>
      <c r="AP9" s="38" t="s">
        <v>517</v>
      </c>
      <c r="AQ9" s="38" t="s">
        <v>385</v>
      </c>
      <c r="AR9" s="38" t="s">
        <v>386</v>
      </c>
      <c r="AS9" s="38" t="s">
        <v>387</v>
      </c>
      <c r="AT9" s="38" t="s">
        <v>388</v>
      </c>
      <c r="AU9" s="38" t="s">
        <v>389</v>
      </c>
      <c r="AV9" s="38" t="s">
        <v>390</v>
      </c>
      <c r="AW9" s="38" t="s">
        <v>518</v>
      </c>
      <c r="AX9" s="38" t="s">
        <v>519</v>
      </c>
      <c r="AY9" s="38" t="s">
        <v>442</v>
      </c>
      <c r="AZ9" s="38" t="s">
        <v>520</v>
      </c>
      <c r="BA9" s="38" t="s">
        <v>521</v>
      </c>
      <c r="BB9" s="38" t="s">
        <v>522</v>
      </c>
      <c r="BC9" s="38" t="s">
        <v>523</v>
      </c>
      <c r="BD9" s="38" t="s">
        <v>524</v>
      </c>
      <c r="BE9" s="38" t="s">
        <v>525</v>
      </c>
      <c r="BF9" s="38" t="s">
        <v>526</v>
      </c>
    </row>
    <row r="10" spans="1:58" ht="15.75">
      <c r="A10" s="2">
        <v>1</v>
      </c>
      <c r="B10" s="6">
        <f>IF($A$4="",0,IF($A$4="LCR",C10*$D$6,IF($A$4="WHOLE",C10*$C$6,IF($A$4="BLDR",C10*$B$6,IF($A$4="RETAIL",C10*$A$6,"")))))</f>
        <v>0</v>
      </c>
      <c r="C10" s="22">
        <f>SUM(AJ10:BF10)</f>
        <v>0</v>
      </c>
      <c r="D10" s="74"/>
      <c r="E10" s="146"/>
      <c r="F10" s="75"/>
      <c r="G10" s="74"/>
      <c r="H10" s="74"/>
      <c r="I10" s="149"/>
      <c r="J10" s="75"/>
      <c r="K10" s="75" t="str">
        <f>IFERROR(VLOOKUP(J10,'PAINT LABOR COSTS'!$B$60:$C$61,2,FALSE),"Pick Color")</f>
        <v>Pick Color</v>
      </c>
      <c r="L10" s="149"/>
      <c r="M10" s="75"/>
      <c r="N10" s="149"/>
      <c r="O10" s="147">
        <v>0</v>
      </c>
      <c r="P10" s="148">
        <v>0</v>
      </c>
      <c r="Q10" s="147">
        <v>0</v>
      </c>
      <c r="R10" s="148">
        <v>0.5</v>
      </c>
      <c r="S10" s="149"/>
      <c r="T10" s="75" t="s">
        <v>419</v>
      </c>
      <c r="U10" s="75" t="s">
        <v>419</v>
      </c>
      <c r="V10" s="75" t="s">
        <v>419</v>
      </c>
      <c r="W10" s="75" t="s">
        <v>419</v>
      </c>
      <c r="X10" s="75" t="s">
        <v>419</v>
      </c>
      <c r="Y10" s="75" t="s">
        <v>419</v>
      </c>
      <c r="Z10" s="75" t="s">
        <v>419</v>
      </c>
      <c r="AA10" s="75">
        <v>0</v>
      </c>
      <c r="AB10" s="75" t="s">
        <v>419</v>
      </c>
      <c r="AC10" s="75">
        <v>0</v>
      </c>
      <c r="AD10" s="75" t="s">
        <v>419</v>
      </c>
      <c r="AF10" s="2">
        <f>IF(O10="",0,(((O10+P10)*(Q10+R10)*2)*D10))</f>
        <v>0</v>
      </c>
      <c r="AG10" s="132">
        <f>IF(F10="",0,IF(F10="BB",0.1333*AF10*$AJ$163*2,IF(F10="LOU","NA",0)))</f>
        <v>0</v>
      </c>
      <c r="AH10" s="132">
        <f>IF(F10="",0,IF(F10="BB","NA",IF(F10="LOU",((AI10/$AI$8)*0.86)/2*$AH$8,"DAMN")))</f>
        <v>0</v>
      </c>
      <c r="AI10" s="131">
        <f>IF(AND(O10&lt;&gt;"",Q10&lt;&gt;""),D10*$AI$8*$AI$9,0)</f>
        <v>0</v>
      </c>
      <c r="AJ10" s="73">
        <f>IF(F10="",0,SUM(AG10:AI10))</f>
        <v>0</v>
      </c>
      <c r="AK10" s="128">
        <f>IF(F10="",0,IF(F10="BB",(((O10+P10)*(Q10+R10)+(O10+P10)+(Q10+P10))*2/$AK$163)*$AK$161))*D10</f>
        <v>0</v>
      </c>
      <c r="AL10" s="128">
        <f>IF(F10="",0,IF(F10="BB",(((O10+P10)*(Q10+R10)+(O10+P10)+(Q10+P10))*2/$AL$163)*$AL$161))*D10</f>
        <v>0</v>
      </c>
      <c r="AM10" s="73">
        <f>IF(F10="",0,IF(F10="BB",((O10+P10)*(Q10+R10)*$AM$162*($AM$7/60))))*D10</f>
        <v>0</v>
      </c>
      <c r="AN10" s="73">
        <f>IF(F10="",0,IF(F10="BB",((O10+P10)*(Q10+R10))*$AN$162))*D10</f>
        <v>0</v>
      </c>
      <c r="AO10" s="73">
        <f>IF(F10="",0,IF(F10="BB",((O10+P10)*(Q10+R10))*$AO$162))*D10</f>
        <v>0</v>
      </c>
      <c r="AP10" s="73">
        <f>IF(F10="",0,IF(F10="BB",((O10+P10)*(Q10+R10))*$AP$162))*D10</f>
        <v>0</v>
      </c>
      <c r="AQ10" s="73">
        <f>IF(F10="",0,OR(J10="BB-112-3265",J10="BB-CFPNT")*(((O10+P10)*(Q10+R10)+(O10+P10)+(Q10+P10))*2)*$AQ$162)*D10</f>
        <v>0</v>
      </c>
      <c r="AR10" s="73">
        <f>IF(F10="",0,OR(J10="BB-112-3265",J10="BB-CFPNT")*(((O10+P10)*(Q10+R10)+(O10+P10)+(Q10+P10))*2)*$AR$162)*D10</f>
        <v>0</v>
      </c>
      <c r="AS10" s="73">
        <f>IF(F10="",0,IF(F10="BB",((O10+P10)*(Q10+R10))*$AS$162))*D10</f>
        <v>0</v>
      </c>
      <c r="AT10" s="6">
        <f>IF(F10="",0,IF(OR(J10="BB-112-3265"),"NA",IF(F10="BB",(((O10+P10)*(Q10+R10)+(O10+P10)+(Q10+P10))*2/144))*VLOOKUP(J10,'PAINT LABOR COSTS'!$B$27:$N$67,12,0)*2))*D10</f>
        <v>0</v>
      </c>
      <c r="AU10" s="6">
        <f>IF(F10="",0,IF(OR(J10="BB-112-3265"),"NA",IF(F10="BB",((O10+P10)*(Q10+R10))*VLOOKUP(J10,'PAINT LABOR COSTS'!$B$27:$N$67,7,0))))*D10</f>
        <v>0</v>
      </c>
      <c r="AV10" s="73">
        <f>IF(M10="DELIVERY",$AV$167*$D$10,IF(M10="PICKUP",$AV$163*$D$10,IF(M10="SHIP/CR",$AV$165*$D$10,IF(M10="LCR",$AV$171*$D$10,IF(M10="INSTALL",$AV$169*$D$10,0)))))</f>
        <v>0</v>
      </c>
      <c r="AW10" s="73">
        <f>IF(AND(O10&gt;30,O10&lt;97),$AW$8,0)*D10</f>
        <v>0</v>
      </c>
      <c r="AX10" s="6" cm="1">
        <f t="array" ref="AX10">IF(T10="NO",0,IF(AND(Q10&lt;49,$A$4="RETAIL"),'Comp Hardware'!$L$6,IF(AND(Q10&gt;48,Q10&lt;96,$A$4="RETAIL"),'Comp Hardware'!$L$7,IF(AND(Q10&gt;=96,$A$4="RETAIL"),'Comp Hardware'!$L$8,IF(AND(Q10&lt;49,$A$4="BLDR"),'Comp Hardware'!$M$6,IF(AND(Q10&gt;48,Q10&lt;96,$A$4="BLDR"),'Comp Hardware'!$M$7,IF(AND(Q10&gt;=96,$A$4="BLDR"),'Comp Hardware'!$M$8,IF(AND(Q10&lt;49,$A$4="WHOLE"),'Comp Hardware'!$N$6,IF(AND(Q10&gt;48,Q10&lt;96,$A$4="WHOLE"),'Comp Hardware'!$N$7,IF(AND(Q10&gt;=96,$A$4="WHOLE"),'Comp Hardware'!$N$8,IF(AND(Q10&lt;49,$A$4="LCR"),'Comp Hardware'!$N$6,IF(AND(Q10&gt;48,Q10&lt;96,$A$4="LCR"),'Comp Hardware'!$N$7,IF(AND(Q10&gt;=96,$A$4="LCR"),'Comp Hardware'!$N$8,_xludf.na)))))))))))))*D10</f>
        <v>0</v>
      </c>
      <c r="AY10" s="6" cm="1">
        <f t="array" ref="AY10">IF(U10="NO",0,IF(AND(Q10&lt;49,$A$4="RETAIL"),'Comp Hardware'!$G$171,IF(AND(Q10&gt;48,Q10&lt;96,$A$4="RETAIL"),'Comp Hardware'!$G$171*1.5,IF(AND(Q10&gt;=96,$A$4="RETAIL"),'Comp Hardware'!$G$171*2,IF(AND(Q10&lt;49,$A$4="BLDR"),'Comp Hardware'!$H$171,IF(AND(Q10&gt;48,Q10&lt;96,$A$4="BLDR"),'Comp Hardware'!$H$171*1.5,IF(AND(Q10&gt;=96,$A$4="BLDR"),'Comp Hardware'!$H$171*2,IF(AND(Q10&lt;49,$A$4="WHOLE"),'Comp Hardware'!$I$171,IF(AND(Q10&gt;48,Q10&lt;96,$A$4="WHOLE"),'Comp Hardware'!$I$171*1.5,IF(AND(Q10&gt;=96,$A$4="WHOLE"),'Comp Hardware'!$I$171*2,IF(AND(Q10&lt;49,$A$4="LCR"),'Comp Hardware'!$I$171,IF(AND(Q10&gt;48,Q10&lt;96,$A$4="LCR"),'Comp Hardware'!$I$171*1.5,IF(AND(Q10&gt;=96,$A$4="LCR"),'Comp Hardware'!$I$171*2,_xludf.na)))))))))))))*D10</f>
        <v>0</v>
      </c>
      <c r="AZ10" s="73">
        <f>IF(V10="NO",0,IF(AND(E10="S",V10="YES"),$AZ$8/2,IF(AND(E10="PR",V10="YES"),$AZ$8,0)))*D10</f>
        <v>0</v>
      </c>
      <c r="BA10" s="73">
        <f>IF(W10="NO",0,IF(AND(E10="S",W10="YES"),$BA$8/2*D10,$BA$8*D10))</f>
        <v>0</v>
      </c>
      <c r="BB10" s="73">
        <f>IF(AA10="+1",$BB$8, IF(AA10="+2",$BB$8*2,IF(AA10="+3",$BB$8*3,0)))*D10</f>
        <v>0</v>
      </c>
      <c r="BC10" s="73">
        <f>IF(AB10="NO",0,IF(AND(AB10="YES",E10="PR"),$BC$8, IF(AND(AB10="YES",E10="S"),$BC$8/2,0)))*D10</f>
        <v>0</v>
      </c>
      <c r="BD10" s="73">
        <f>IF(AC10="+1",$BD$8, IF(AC10="+2",$BD$8*2,IF(AC10="+3",$BD$8*3,0)))*D10</f>
        <v>0</v>
      </c>
      <c r="BE10" s="73">
        <f>IF(AD10="NO",0,IF(AND(E10="S",AD10="YES"),$AZ$8/2,IF(AND(E10="PR",AD10="YES"),$AZ$8,0)))*D10</f>
        <v>0</v>
      </c>
    </row>
    <row r="11" spans="1:58" ht="15.75">
      <c r="A11" s="2">
        <v>2</v>
      </c>
      <c r="B11" s="6">
        <f>IF($A$4="",0,IF($A$4="LCR",C11*$D$6,IF($A$4="WHOLE",C11*$C$6,IF($A$4="BLDR",C11*$B$6,IF($A$4="RETAIL",C11*$A$6,"")))))</f>
        <v>0</v>
      </c>
      <c r="C11" s="22">
        <f>SUM(AJ11:BF11)</f>
        <v>0</v>
      </c>
      <c r="D11" s="74"/>
      <c r="E11" s="146"/>
      <c r="F11" s="75"/>
      <c r="G11" s="74"/>
      <c r="H11" s="74"/>
      <c r="I11" s="149"/>
      <c r="J11" s="75"/>
      <c r="K11" s="75" t="str">
        <f>IFERROR(VLOOKUP(J11,'PAINT LABOR COSTS'!$B$60:$C$61,2,FALSE),"Pick Color")</f>
        <v>Pick Color</v>
      </c>
      <c r="L11" s="149"/>
      <c r="M11" s="75"/>
      <c r="N11" s="149"/>
      <c r="O11" s="147">
        <v>0</v>
      </c>
      <c r="P11" s="148">
        <v>0</v>
      </c>
      <c r="Q11" s="147">
        <v>0</v>
      </c>
      <c r="R11" s="148">
        <v>0.5</v>
      </c>
      <c r="S11" s="149"/>
      <c r="T11" s="75" t="s">
        <v>419</v>
      </c>
      <c r="U11" s="75" t="s">
        <v>419</v>
      </c>
      <c r="V11" s="75" t="s">
        <v>419</v>
      </c>
      <c r="W11" s="75" t="s">
        <v>419</v>
      </c>
      <c r="X11" s="75" t="s">
        <v>419</v>
      </c>
      <c r="Y11" s="75" t="s">
        <v>419</v>
      </c>
      <c r="Z11" s="75" t="s">
        <v>419</v>
      </c>
      <c r="AA11" s="75">
        <v>0</v>
      </c>
      <c r="AB11" s="75" t="s">
        <v>419</v>
      </c>
      <c r="AC11" s="75">
        <v>0</v>
      </c>
      <c r="AD11" s="75" t="s">
        <v>419</v>
      </c>
      <c r="AF11" s="2">
        <f t="shared" ref="AF11:AF14" si="0">IF(O11="",0,(((O11+P11)*(Q11+R11)*2)*D11))</f>
        <v>0</v>
      </c>
      <c r="AG11" s="132">
        <f t="shared" ref="AG11:AG14" si="1">IF(F11="",0,IF(F11="BB",0.1333*AF11*$AJ$163*2,IF(F11="LOU","NA",0)))</f>
        <v>0</v>
      </c>
      <c r="AH11" s="132">
        <f t="shared" ref="AH11:AH14" si="2">IF(F11="",0,IF(F11="BB","NA",IF(F11="LOU",((AI11/$AI$8)*0.86)/2*$AH$8,"DAMN")))</f>
        <v>0</v>
      </c>
      <c r="AI11" s="131">
        <f t="shared" ref="AI11:AI14" si="3">IF(AND(O11&lt;&gt;"",Q11&lt;&gt;""),D11*$AI$8*$AI$9,0)</f>
        <v>0</v>
      </c>
      <c r="AJ11" s="73">
        <f t="shared" ref="AJ11:AJ14" si="4">IF(F11="",0,SUM(AG11:AI11))</f>
        <v>0</v>
      </c>
      <c r="AK11" s="128"/>
      <c r="AL11" s="128"/>
      <c r="AM11" s="73"/>
      <c r="AN11" s="73"/>
      <c r="AO11" s="73"/>
      <c r="AP11" s="73"/>
      <c r="AQ11" s="73"/>
      <c r="AR11" s="73"/>
      <c r="AS11" s="73"/>
      <c r="AT11" s="6"/>
      <c r="AU11" s="6"/>
      <c r="AV11" s="73"/>
      <c r="AW11" s="73"/>
      <c r="AX11" s="6"/>
      <c r="AY11" s="6"/>
      <c r="AZ11" s="73"/>
      <c r="BA11" s="73"/>
      <c r="BB11" s="73"/>
      <c r="BC11" s="73"/>
      <c r="BD11" s="73"/>
      <c r="BE11" s="73"/>
    </row>
    <row r="12" spans="1:58" ht="15.75">
      <c r="A12" s="2">
        <v>3</v>
      </c>
      <c r="B12" s="6">
        <f>IF($A$4="",0,IF($A$4="LCR",C12*$D$6,IF($A$4="WHOLE",C12*$C$6,IF($A$4="BLDR",C12*$B$6,IF($A$4="RETAIL",C12*$A$6,"")))))</f>
        <v>0</v>
      </c>
      <c r="C12" s="22">
        <f>SUM(AJ12:BF12)</f>
        <v>0</v>
      </c>
      <c r="D12" s="74"/>
      <c r="E12" s="146"/>
      <c r="F12" s="75"/>
      <c r="G12" s="74"/>
      <c r="H12" s="74"/>
      <c r="I12" s="149"/>
      <c r="J12" s="75"/>
      <c r="K12" s="75" t="str">
        <f>IFERROR(VLOOKUP(J12,'PAINT LABOR COSTS'!$B$60:$C$61,2,FALSE),"Pick Color")</f>
        <v>Pick Color</v>
      </c>
      <c r="L12" s="149"/>
      <c r="M12" s="75"/>
      <c r="N12" s="149"/>
      <c r="O12" s="147">
        <v>0</v>
      </c>
      <c r="P12" s="148">
        <v>0.5</v>
      </c>
      <c r="Q12" s="147">
        <v>0</v>
      </c>
      <c r="R12" s="148">
        <v>0.5</v>
      </c>
      <c r="S12" s="149"/>
      <c r="T12" s="75" t="s">
        <v>419</v>
      </c>
      <c r="U12" s="75" t="s">
        <v>419</v>
      </c>
      <c r="V12" s="75" t="s">
        <v>419</v>
      </c>
      <c r="W12" s="75" t="s">
        <v>419</v>
      </c>
      <c r="X12" s="75" t="s">
        <v>419</v>
      </c>
      <c r="Y12" s="75" t="s">
        <v>419</v>
      </c>
      <c r="Z12" s="75" t="s">
        <v>419</v>
      </c>
      <c r="AA12" s="75">
        <v>0</v>
      </c>
      <c r="AB12" s="75" t="s">
        <v>419</v>
      </c>
      <c r="AC12" s="75">
        <v>0</v>
      </c>
      <c r="AD12" s="75" t="s">
        <v>419</v>
      </c>
      <c r="AF12" s="2">
        <f t="shared" si="0"/>
        <v>0</v>
      </c>
      <c r="AG12" s="132">
        <f t="shared" si="1"/>
        <v>0</v>
      </c>
      <c r="AH12" s="132">
        <f t="shared" si="2"/>
        <v>0</v>
      </c>
      <c r="AI12" s="131">
        <f t="shared" si="3"/>
        <v>0</v>
      </c>
      <c r="AJ12" s="73">
        <f t="shared" si="4"/>
        <v>0</v>
      </c>
      <c r="AK12" s="128"/>
      <c r="AL12" s="128"/>
      <c r="AM12" s="73"/>
      <c r="AN12" s="73"/>
      <c r="AO12" s="73"/>
      <c r="AP12" s="73"/>
      <c r="AQ12" s="73"/>
      <c r="AR12" s="73"/>
      <c r="AS12" s="73"/>
      <c r="AT12" s="6"/>
      <c r="AU12" s="6"/>
      <c r="AV12" s="73"/>
      <c r="AW12" s="73"/>
      <c r="AX12" s="6"/>
      <c r="AY12" s="6"/>
      <c r="AZ12" s="73"/>
      <c r="BA12" s="73"/>
      <c r="BB12" s="73"/>
      <c r="BC12" s="73"/>
      <c r="BD12" s="73"/>
      <c r="BE12" s="73"/>
    </row>
    <row r="13" spans="1:58">
      <c r="A13" s="2">
        <v>4</v>
      </c>
      <c r="B13" s="6">
        <f t="shared" ref="B13:B76" si="5">IF($A$4="",0,IF($A$4="LCR",C13*$D$6,IF($A$4="WHOLE",C13*$C$6,IF($A$4="BLDR",C13*$B$6,IF($A$4="RETAIL",C13*$A$6,"")))))</f>
        <v>0</v>
      </c>
      <c r="C13" s="22">
        <f t="shared" ref="C13:C76" si="6">SUM(AJ13:BF13)</f>
        <v>0</v>
      </c>
      <c r="D13" s="74"/>
      <c r="E13" s="75"/>
      <c r="F13" s="75"/>
      <c r="G13" s="74"/>
      <c r="H13" s="74"/>
      <c r="I13" s="149"/>
      <c r="J13" s="75"/>
      <c r="K13" s="75" t="str">
        <f>IFERROR(VLOOKUP(J13,'PAINT LABOR COSTS'!$B$60:$C$61,2,FALSE),"Pick Color")</f>
        <v>Pick Color</v>
      </c>
      <c r="L13" s="149"/>
      <c r="M13" s="75"/>
      <c r="N13" s="149"/>
      <c r="O13" s="147">
        <v>0</v>
      </c>
      <c r="P13" s="148">
        <v>0</v>
      </c>
      <c r="Q13" s="147">
        <v>0</v>
      </c>
      <c r="R13" s="148">
        <v>0.5</v>
      </c>
      <c r="S13" s="149"/>
      <c r="T13" s="75" t="s">
        <v>419</v>
      </c>
      <c r="U13" s="75" t="s">
        <v>419</v>
      </c>
      <c r="V13" s="75" t="s">
        <v>419</v>
      </c>
      <c r="W13" s="75" t="s">
        <v>419</v>
      </c>
      <c r="X13" s="75" t="s">
        <v>419</v>
      </c>
      <c r="Y13" s="75" t="s">
        <v>419</v>
      </c>
      <c r="Z13" s="75" t="s">
        <v>419</v>
      </c>
      <c r="AA13" s="75">
        <v>0</v>
      </c>
      <c r="AB13" s="75" t="s">
        <v>419</v>
      </c>
      <c r="AC13" s="75">
        <v>0</v>
      </c>
      <c r="AD13" s="75" t="s">
        <v>419</v>
      </c>
      <c r="AF13" s="2">
        <f t="shared" si="0"/>
        <v>0</v>
      </c>
      <c r="AG13" s="132">
        <f t="shared" si="1"/>
        <v>0</v>
      </c>
      <c r="AH13" s="132">
        <f t="shared" si="2"/>
        <v>0</v>
      </c>
      <c r="AI13" s="131">
        <f t="shared" si="3"/>
        <v>0</v>
      </c>
      <c r="AJ13" s="73">
        <f t="shared" si="4"/>
        <v>0</v>
      </c>
      <c r="AW13" s="73" t="str">
        <f>IF(D13="","",IF(O13="",#REF!,""))</f>
        <v/>
      </c>
    </row>
    <row r="14" spans="1:58">
      <c r="A14" s="2">
        <v>5</v>
      </c>
      <c r="B14" s="6">
        <f t="shared" si="5"/>
        <v>0</v>
      </c>
      <c r="C14" s="22">
        <f t="shared" si="6"/>
        <v>0</v>
      </c>
      <c r="D14" s="74"/>
      <c r="E14" s="75"/>
      <c r="F14" s="75"/>
      <c r="G14" s="74"/>
      <c r="H14" s="74"/>
      <c r="I14" s="149"/>
      <c r="J14" s="75"/>
      <c r="K14" s="75" t="str">
        <f>IFERROR(VLOOKUP(J14,'PAINT LABOR COSTS'!$B$60:$C$61,2,FALSE),"Pick Color")</f>
        <v>Pick Color</v>
      </c>
      <c r="L14" s="149"/>
      <c r="M14" s="75"/>
      <c r="N14" s="149"/>
      <c r="O14" s="147">
        <v>0</v>
      </c>
      <c r="P14" s="148">
        <v>0</v>
      </c>
      <c r="Q14" s="147">
        <v>0</v>
      </c>
      <c r="R14" s="148">
        <v>0.5</v>
      </c>
      <c r="S14" s="149"/>
      <c r="T14" s="75" t="s">
        <v>419</v>
      </c>
      <c r="U14" s="75" t="s">
        <v>419</v>
      </c>
      <c r="V14" s="75" t="s">
        <v>419</v>
      </c>
      <c r="W14" s="75" t="s">
        <v>419</v>
      </c>
      <c r="X14" s="75" t="s">
        <v>419</v>
      </c>
      <c r="Y14" s="75" t="s">
        <v>419</v>
      </c>
      <c r="Z14" s="75" t="s">
        <v>419</v>
      </c>
      <c r="AA14" s="75">
        <v>0</v>
      </c>
      <c r="AB14" s="75" t="s">
        <v>419</v>
      </c>
      <c r="AC14" s="75">
        <v>0</v>
      </c>
      <c r="AD14" s="75" t="s">
        <v>419</v>
      </c>
      <c r="AF14" s="2">
        <f t="shared" si="0"/>
        <v>0</v>
      </c>
      <c r="AG14" s="132">
        <f t="shared" si="1"/>
        <v>0</v>
      </c>
      <c r="AH14" s="132">
        <f t="shared" si="2"/>
        <v>0</v>
      </c>
      <c r="AI14" s="131">
        <f t="shared" si="3"/>
        <v>0</v>
      </c>
      <c r="AJ14" s="73">
        <f t="shared" si="4"/>
        <v>0</v>
      </c>
      <c r="AW14" s="73" t="str">
        <f>IF(D14="","",IF(O14="",#REF!,""))</f>
        <v/>
      </c>
    </row>
    <row r="15" spans="1:58">
      <c r="A15" s="2">
        <v>6</v>
      </c>
      <c r="B15" s="6">
        <f t="shared" si="5"/>
        <v>0</v>
      </c>
      <c r="C15" s="22">
        <f t="shared" si="6"/>
        <v>0</v>
      </c>
      <c r="D15" s="75"/>
      <c r="E15" s="75"/>
      <c r="F15" s="75"/>
      <c r="G15" s="74"/>
      <c r="H15" s="74"/>
      <c r="I15" s="149"/>
      <c r="J15" s="75"/>
      <c r="K15" s="75" t="str">
        <f>IFERROR(VLOOKUP(J15,'PAINT LABOR COSTS'!$B$60:$C$61,2,FALSE),"Pick Color")</f>
        <v>Pick Color</v>
      </c>
      <c r="L15" s="149"/>
      <c r="M15" s="75"/>
      <c r="N15" s="149"/>
      <c r="O15" s="147">
        <v>0</v>
      </c>
      <c r="P15" s="148">
        <v>0</v>
      </c>
      <c r="Q15" s="147">
        <v>0</v>
      </c>
      <c r="R15" s="148">
        <v>0</v>
      </c>
      <c r="S15" s="149"/>
      <c r="T15" s="75" t="s">
        <v>419</v>
      </c>
      <c r="U15" s="75" t="s">
        <v>419</v>
      </c>
      <c r="V15" s="75" t="s">
        <v>419</v>
      </c>
      <c r="W15" s="75" t="s">
        <v>419</v>
      </c>
      <c r="X15" s="75" t="s">
        <v>419</v>
      </c>
      <c r="Y15" s="75" t="s">
        <v>419</v>
      </c>
      <c r="Z15" s="75" t="s">
        <v>419</v>
      </c>
      <c r="AA15" s="75">
        <v>0</v>
      </c>
      <c r="AB15" s="75" t="s">
        <v>419</v>
      </c>
      <c r="AC15" s="75">
        <v>0</v>
      </c>
      <c r="AD15" s="75" t="s">
        <v>419</v>
      </c>
      <c r="AW15" s="73" t="str">
        <f>IF(D15="","",IF(O15="",#REF!,""))</f>
        <v/>
      </c>
    </row>
    <row r="16" spans="1:58">
      <c r="A16" s="2">
        <v>7</v>
      </c>
      <c r="B16" s="6">
        <f t="shared" si="5"/>
        <v>0</v>
      </c>
      <c r="C16" s="22">
        <f t="shared" si="6"/>
        <v>0</v>
      </c>
      <c r="D16" s="75"/>
      <c r="E16" s="75"/>
      <c r="F16" s="75"/>
      <c r="G16" s="74"/>
      <c r="H16" s="74"/>
      <c r="I16" s="149"/>
      <c r="J16" s="75"/>
      <c r="K16" s="75" t="str">
        <f>IFERROR(VLOOKUP(J16,'PAINT LABOR COSTS'!$B$60:$C$61,2,FALSE),"Pick Color")</f>
        <v>Pick Color</v>
      </c>
      <c r="L16" s="149"/>
      <c r="M16" s="75"/>
      <c r="N16" s="149"/>
      <c r="O16" s="147">
        <v>0</v>
      </c>
      <c r="P16" s="148">
        <v>0</v>
      </c>
      <c r="Q16" s="147">
        <v>0</v>
      </c>
      <c r="R16" s="148">
        <v>0</v>
      </c>
      <c r="S16" s="149"/>
      <c r="T16" s="75" t="s">
        <v>419</v>
      </c>
      <c r="U16" s="75" t="s">
        <v>419</v>
      </c>
      <c r="V16" s="75" t="s">
        <v>419</v>
      </c>
      <c r="W16" s="75" t="s">
        <v>419</v>
      </c>
      <c r="X16" s="75" t="s">
        <v>419</v>
      </c>
      <c r="Y16" s="75" t="s">
        <v>419</v>
      </c>
      <c r="Z16" s="75" t="s">
        <v>419</v>
      </c>
      <c r="AA16" s="75">
        <v>0</v>
      </c>
      <c r="AB16" s="75" t="s">
        <v>419</v>
      </c>
      <c r="AC16" s="75">
        <v>0</v>
      </c>
      <c r="AD16" s="75" t="s">
        <v>419</v>
      </c>
      <c r="AW16" s="73" t="str">
        <f>IF(D16="","",IF(O16="",#REF!,""))</f>
        <v/>
      </c>
    </row>
    <row r="17" spans="1:49">
      <c r="A17" s="2">
        <v>8</v>
      </c>
      <c r="B17" s="6">
        <f t="shared" si="5"/>
        <v>0</v>
      </c>
      <c r="C17" s="22">
        <f t="shared" si="6"/>
        <v>0</v>
      </c>
      <c r="D17" s="75"/>
      <c r="E17" s="75"/>
      <c r="F17" s="75"/>
      <c r="G17" s="74"/>
      <c r="H17" s="74"/>
      <c r="I17" s="149"/>
      <c r="J17" s="75"/>
      <c r="K17" s="75" t="str">
        <f>IFERROR(VLOOKUP(J17,'PAINT LABOR COSTS'!$B$60:$C$61,2,FALSE),"Pick Color")</f>
        <v>Pick Color</v>
      </c>
      <c r="L17" s="149"/>
      <c r="M17" s="75"/>
      <c r="N17" s="149"/>
      <c r="O17" s="147">
        <v>0</v>
      </c>
      <c r="P17" s="148">
        <v>0</v>
      </c>
      <c r="Q17" s="147">
        <v>0</v>
      </c>
      <c r="R17" s="148">
        <v>0</v>
      </c>
      <c r="S17" s="149"/>
      <c r="T17" s="75" t="s">
        <v>419</v>
      </c>
      <c r="U17" s="75" t="s">
        <v>419</v>
      </c>
      <c r="V17" s="75" t="s">
        <v>419</v>
      </c>
      <c r="W17" s="75" t="s">
        <v>419</v>
      </c>
      <c r="X17" s="75" t="s">
        <v>419</v>
      </c>
      <c r="Y17" s="75" t="s">
        <v>419</v>
      </c>
      <c r="Z17" s="75" t="s">
        <v>419</v>
      </c>
      <c r="AA17" s="75">
        <v>0</v>
      </c>
      <c r="AB17" s="75" t="s">
        <v>419</v>
      </c>
      <c r="AC17" s="75">
        <v>0</v>
      </c>
      <c r="AD17" s="75" t="s">
        <v>419</v>
      </c>
      <c r="AW17" s="73" t="str">
        <f>IF(D17="","",IF(O17="",#REF!,""))</f>
        <v/>
      </c>
    </row>
    <row r="18" spans="1:49">
      <c r="A18" s="2">
        <v>9</v>
      </c>
      <c r="B18" s="6">
        <f t="shared" si="5"/>
        <v>0</v>
      </c>
      <c r="C18" s="22">
        <f t="shared" si="6"/>
        <v>0</v>
      </c>
      <c r="D18" s="75"/>
      <c r="E18" s="75"/>
      <c r="F18" s="75"/>
      <c r="G18" s="74"/>
      <c r="H18" s="74"/>
      <c r="I18" s="149"/>
      <c r="J18" s="75"/>
      <c r="K18" s="75" t="str">
        <f>IFERROR(VLOOKUP(J18,'PAINT LABOR COSTS'!$B$60:$C$61,2,FALSE),"Pick Color")</f>
        <v>Pick Color</v>
      </c>
      <c r="L18" s="149"/>
      <c r="M18" s="75"/>
      <c r="N18" s="149"/>
      <c r="O18" s="147">
        <v>0</v>
      </c>
      <c r="P18" s="148">
        <v>0</v>
      </c>
      <c r="Q18" s="147">
        <v>0</v>
      </c>
      <c r="R18" s="148">
        <v>0</v>
      </c>
      <c r="S18" s="149"/>
      <c r="T18" s="75" t="s">
        <v>419</v>
      </c>
      <c r="U18" s="75" t="s">
        <v>419</v>
      </c>
      <c r="V18" s="75" t="s">
        <v>419</v>
      </c>
      <c r="W18" s="75" t="s">
        <v>419</v>
      </c>
      <c r="X18" s="75" t="s">
        <v>419</v>
      </c>
      <c r="Y18" s="75" t="s">
        <v>419</v>
      </c>
      <c r="Z18" s="75" t="s">
        <v>419</v>
      </c>
      <c r="AA18" s="75">
        <v>0</v>
      </c>
      <c r="AB18" s="75" t="s">
        <v>419</v>
      </c>
      <c r="AC18" s="75">
        <v>0</v>
      </c>
      <c r="AD18" s="75" t="s">
        <v>419</v>
      </c>
      <c r="AW18" s="73" t="str">
        <f>IF(D18="","",IF(O18="",#REF!,""))</f>
        <v/>
      </c>
    </row>
    <row r="19" spans="1:49">
      <c r="A19" s="2">
        <v>10</v>
      </c>
      <c r="B19" s="6">
        <f t="shared" si="5"/>
        <v>0</v>
      </c>
      <c r="C19" s="22">
        <f t="shared" si="6"/>
        <v>0</v>
      </c>
      <c r="D19" s="75"/>
      <c r="E19" s="75"/>
      <c r="F19" s="75"/>
      <c r="G19" s="74"/>
      <c r="H19" s="74"/>
      <c r="I19" s="149"/>
      <c r="J19" s="75"/>
      <c r="K19" s="75" t="str">
        <f>IFERROR(VLOOKUP(J19,'PAINT LABOR COSTS'!$B$60:$C$61,2,FALSE),"Pick Color")</f>
        <v>Pick Color</v>
      </c>
      <c r="L19" s="149"/>
      <c r="M19" s="75"/>
      <c r="N19" s="149"/>
      <c r="O19" s="147">
        <v>0</v>
      </c>
      <c r="P19" s="148">
        <v>0</v>
      </c>
      <c r="Q19" s="147">
        <v>0</v>
      </c>
      <c r="R19" s="148">
        <v>0</v>
      </c>
      <c r="S19" s="149"/>
      <c r="T19" s="75" t="s">
        <v>419</v>
      </c>
      <c r="U19" s="75" t="s">
        <v>419</v>
      </c>
      <c r="V19" s="75" t="s">
        <v>419</v>
      </c>
      <c r="W19" s="75" t="s">
        <v>419</v>
      </c>
      <c r="X19" s="75" t="s">
        <v>419</v>
      </c>
      <c r="Y19" s="75" t="s">
        <v>419</v>
      </c>
      <c r="Z19" s="75" t="s">
        <v>419</v>
      </c>
      <c r="AA19" s="75">
        <v>0</v>
      </c>
      <c r="AB19" s="75" t="s">
        <v>419</v>
      </c>
      <c r="AC19" s="75">
        <v>0</v>
      </c>
      <c r="AD19" s="75" t="s">
        <v>419</v>
      </c>
      <c r="AW19" s="73" t="str">
        <f>IF(D19="","",IF(O19="",#REF!,""))</f>
        <v/>
      </c>
    </row>
    <row r="20" spans="1:49">
      <c r="A20" s="2">
        <v>11</v>
      </c>
      <c r="B20" s="6">
        <f t="shared" si="5"/>
        <v>0</v>
      </c>
      <c r="C20" s="22">
        <f t="shared" si="6"/>
        <v>0</v>
      </c>
      <c r="D20" s="75"/>
      <c r="E20" s="75"/>
      <c r="F20" s="75"/>
      <c r="G20" s="74"/>
      <c r="H20" s="74"/>
      <c r="I20" s="149"/>
      <c r="J20" s="75"/>
      <c r="K20" s="75" t="str">
        <f>IFERROR(VLOOKUP(J20,'PAINT LABOR COSTS'!$B$60:$C$61,2,FALSE),"Pick Color")</f>
        <v>Pick Color</v>
      </c>
      <c r="L20" s="149"/>
      <c r="M20" s="75"/>
      <c r="N20" s="149"/>
      <c r="O20" s="147">
        <v>0</v>
      </c>
      <c r="P20" s="148">
        <v>0</v>
      </c>
      <c r="Q20" s="147">
        <v>0</v>
      </c>
      <c r="R20" s="148">
        <v>0</v>
      </c>
      <c r="S20" s="149"/>
      <c r="T20" s="75" t="s">
        <v>419</v>
      </c>
      <c r="U20" s="75" t="s">
        <v>419</v>
      </c>
      <c r="V20" s="75" t="s">
        <v>419</v>
      </c>
      <c r="W20" s="75" t="s">
        <v>419</v>
      </c>
      <c r="X20" s="75" t="s">
        <v>419</v>
      </c>
      <c r="Y20" s="75" t="s">
        <v>419</v>
      </c>
      <c r="Z20" s="75" t="s">
        <v>419</v>
      </c>
      <c r="AA20" s="75">
        <v>0</v>
      </c>
      <c r="AB20" s="75" t="s">
        <v>419</v>
      </c>
      <c r="AC20" s="75">
        <v>0</v>
      </c>
      <c r="AD20" s="75" t="s">
        <v>419</v>
      </c>
      <c r="AW20" s="73" t="str">
        <f>IF(D20="","",IF(O20="",#REF!,""))</f>
        <v/>
      </c>
    </row>
    <row r="21" spans="1:49">
      <c r="A21" s="2">
        <v>12</v>
      </c>
      <c r="B21" s="6">
        <f t="shared" si="5"/>
        <v>0</v>
      </c>
      <c r="C21" s="22">
        <f t="shared" si="6"/>
        <v>0</v>
      </c>
      <c r="D21" s="75"/>
      <c r="E21" s="75"/>
      <c r="F21" s="75"/>
      <c r="G21" s="74"/>
      <c r="H21" s="74"/>
      <c r="I21" s="149"/>
      <c r="J21" s="75"/>
      <c r="K21" s="75" t="str">
        <f>IFERROR(VLOOKUP(J21,'PAINT LABOR COSTS'!$B$60:$C$61,2,FALSE),"Pick Color")</f>
        <v>Pick Color</v>
      </c>
      <c r="L21" s="149"/>
      <c r="M21" s="75"/>
      <c r="N21" s="149"/>
      <c r="O21" s="147">
        <v>0</v>
      </c>
      <c r="P21" s="148">
        <v>0</v>
      </c>
      <c r="Q21" s="147">
        <v>0</v>
      </c>
      <c r="R21" s="148">
        <v>0</v>
      </c>
      <c r="S21" s="149"/>
      <c r="T21" s="75" t="s">
        <v>419</v>
      </c>
      <c r="U21" s="75" t="s">
        <v>419</v>
      </c>
      <c r="V21" s="75" t="s">
        <v>419</v>
      </c>
      <c r="W21" s="75" t="s">
        <v>419</v>
      </c>
      <c r="X21" s="75" t="s">
        <v>419</v>
      </c>
      <c r="Y21" s="75" t="s">
        <v>419</v>
      </c>
      <c r="Z21" s="75" t="s">
        <v>419</v>
      </c>
      <c r="AA21" s="75">
        <v>0</v>
      </c>
      <c r="AB21" s="75" t="s">
        <v>419</v>
      </c>
      <c r="AC21" s="75">
        <v>0</v>
      </c>
      <c r="AD21" s="75" t="s">
        <v>419</v>
      </c>
      <c r="AW21" s="73" t="str">
        <f>IF(D21="","",IF(O21="",#REF!,""))</f>
        <v/>
      </c>
    </row>
    <row r="22" spans="1:49">
      <c r="A22" s="2">
        <v>13</v>
      </c>
      <c r="B22" s="6">
        <f t="shared" si="5"/>
        <v>0</v>
      </c>
      <c r="C22" s="22">
        <f t="shared" si="6"/>
        <v>0</v>
      </c>
      <c r="D22" s="75"/>
      <c r="E22" s="75"/>
      <c r="F22" s="75"/>
      <c r="G22" s="74"/>
      <c r="H22" s="74"/>
      <c r="I22" s="149"/>
      <c r="J22" s="75"/>
      <c r="K22" s="75" t="str">
        <f>IFERROR(VLOOKUP(J22,'PAINT LABOR COSTS'!$B$60:$C$61,2,FALSE),"Pick Color")</f>
        <v>Pick Color</v>
      </c>
      <c r="L22" s="149"/>
      <c r="M22" s="75"/>
      <c r="N22" s="149"/>
      <c r="O22" s="147">
        <v>0</v>
      </c>
      <c r="P22" s="148">
        <v>0</v>
      </c>
      <c r="Q22" s="147">
        <v>0</v>
      </c>
      <c r="R22" s="148">
        <v>0</v>
      </c>
      <c r="S22" s="149"/>
      <c r="T22" s="75" t="s">
        <v>419</v>
      </c>
      <c r="U22" s="75" t="s">
        <v>419</v>
      </c>
      <c r="V22" s="75" t="s">
        <v>419</v>
      </c>
      <c r="W22" s="75" t="s">
        <v>419</v>
      </c>
      <c r="X22" s="75" t="s">
        <v>419</v>
      </c>
      <c r="Y22" s="75" t="s">
        <v>419</v>
      </c>
      <c r="Z22" s="75" t="s">
        <v>419</v>
      </c>
      <c r="AA22" s="75">
        <v>0</v>
      </c>
      <c r="AB22" s="75" t="s">
        <v>419</v>
      </c>
      <c r="AC22" s="75">
        <v>0</v>
      </c>
      <c r="AD22" s="75" t="s">
        <v>419</v>
      </c>
      <c r="AW22" s="73" t="str">
        <f>IF(D22="","",IF(O22="",#REF!,""))</f>
        <v/>
      </c>
    </row>
    <row r="23" spans="1:49">
      <c r="A23" s="2">
        <v>14</v>
      </c>
      <c r="B23" s="6">
        <f t="shared" si="5"/>
        <v>0</v>
      </c>
      <c r="C23" s="22">
        <f t="shared" si="6"/>
        <v>0</v>
      </c>
      <c r="D23" s="75"/>
      <c r="E23" s="75"/>
      <c r="F23" s="75"/>
      <c r="G23" s="74"/>
      <c r="H23" s="74"/>
      <c r="I23" s="149"/>
      <c r="J23" s="75"/>
      <c r="K23" s="75" t="str">
        <f>IFERROR(VLOOKUP(J23,'PAINT LABOR COSTS'!$B$60:$C$61,2,FALSE),"Pick Color")</f>
        <v>Pick Color</v>
      </c>
      <c r="L23" s="149"/>
      <c r="M23" s="75"/>
      <c r="N23" s="149"/>
      <c r="O23" s="147">
        <v>0</v>
      </c>
      <c r="P23" s="148">
        <v>0</v>
      </c>
      <c r="Q23" s="147">
        <v>0</v>
      </c>
      <c r="R23" s="148">
        <v>0</v>
      </c>
      <c r="S23" s="149"/>
      <c r="T23" s="75" t="s">
        <v>419</v>
      </c>
      <c r="U23" s="75" t="s">
        <v>419</v>
      </c>
      <c r="V23" s="75" t="s">
        <v>419</v>
      </c>
      <c r="W23" s="75" t="s">
        <v>419</v>
      </c>
      <c r="X23" s="75" t="s">
        <v>419</v>
      </c>
      <c r="Y23" s="75" t="s">
        <v>419</v>
      </c>
      <c r="Z23" s="75" t="s">
        <v>419</v>
      </c>
      <c r="AA23" s="75">
        <v>0</v>
      </c>
      <c r="AB23" s="75" t="s">
        <v>419</v>
      </c>
      <c r="AC23" s="75">
        <v>0</v>
      </c>
      <c r="AD23" s="75" t="s">
        <v>419</v>
      </c>
      <c r="AW23" s="73" t="str">
        <f>IF(D23="","",IF(O23="",#REF!,""))</f>
        <v/>
      </c>
    </row>
    <row r="24" spans="1:49">
      <c r="A24" s="2">
        <v>15</v>
      </c>
      <c r="B24" s="6">
        <f t="shared" si="5"/>
        <v>0</v>
      </c>
      <c r="C24" s="22">
        <f t="shared" si="6"/>
        <v>0</v>
      </c>
      <c r="D24" s="75"/>
      <c r="E24" s="75"/>
      <c r="F24" s="75"/>
      <c r="G24" s="74"/>
      <c r="H24" s="74"/>
      <c r="I24" s="149"/>
      <c r="J24" s="75"/>
      <c r="K24" s="75" t="str">
        <f>IFERROR(VLOOKUP(J24,'PAINT LABOR COSTS'!$B$60:$C$61,2,FALSE),"Pick Color")</f>
        <v>Pick Color</v>
      </c>
      <c r="L24" s="149"/>
      <c r="M24" s="75"/>
      <c r="N24" s="149"/>
      <c r="O24" s="147">
        <v>0</v>
      </c>
      <c r="P24" s="148">
        <v>0</v>
      </c>
      <c r="Q24" s="147">
        <v>0</v>
      </c>
      <c r="R24" s="148">
        <v>0</v>
      </c>
      <c r="S24" s="149"/>
      <c r="T24" s="75" t="s">
        <v>419</v>
      </c>
      <c r="U24" s="75" t="s">
        <v>419</v>
      </c>
      <c r="V24" s="75" t="s">
        <v>419</v>
      </c>
      <c r="W24" s="75" t="s">
        <v>419</v>
      </c>
      <c r="X24" s="75" t="s">
        <v>419</v>
      </c>
      <c r="Y24" s="75" t="s">
        <v>419</v>
      </c>
      <c r="Z24" s="75" t="s">
        <v>419</v>
      </c>
      <c r="AA24" s="75">
        <v>0</v>
      </c>
      <c r="AB24" s="75" t="s">
        <v>419</v>
      </c>
      <c r="AC24" s="75">
        <v>0</v>
      </c>
      <c r="AD24" s="75" t="s">
        <v>419</v>
      </c>
      <c r="AW24" s="73" t="str">
        <f>IF(D24="","",IF(O24="",#REF!,""))</f>
        <v/>
      </c>
    </row>
    <row r="25" spans="1:49">
      <c r="A25" s="2">
        <v>16</v>
      </c>
      <c r="B25" s="6">
        <f t="shared" si="5"/>
        <v>0</v>
      </c>
      <c r="C25" s="22">
        <f t="shared" si="6"/>
        <v>0</v>
      </c>
      <c r="D25" s="75"/>
      <c r="E25" s="75"/>
      <c r="F25" s="75"/>
      <c r="G25" s="74"/>
      <c r="H25" s="74"/>
      <c r="I25" s="149"/>
      <c r="J25" s="75"/>
      <c r="K25" s="75" t="str">
        <f>IFERROR(VLOOKUP(J25,'PAINT LABOR COSTS'!$B$60:$C$61,2,FALSE),"Pick Color")</f>
        <v>Pick Color</v>
      </c>
      <c r="L25" s="149"/>
      <c r="M25" s="75"/>
      <c r="N25" s="149"/>
      <c r="O25" s="147">
        <v>0</v>
      </c>
      <c r="P25" s="148">
        <v>0</v>
      </c>
      <c r="Q25" s="147">
        <v>0</v>
      </c>
      <c r="R25" s="148">
        <v>0</v>
      </c>
      <c r="S25" s="149"/>
      <c r="T25" s="75" t="s">
        <v>419</v>
      </c>
      <c r="U25" s="75" t="s">
        <v>419</v>
      </c>
      <c r="V25" s="75" t="s">
        <v>419</v>
      </c>
      <c r="W25" s="75" t="s">
        <v>419</v>
      </c>
      <c r="X25" s="75" t="s">
        <v>419</v>
      </c>
      <c r="Y25" s="75" t="s">
        <v>419</v>
      </c>
      <c r="Z25" s="75" t="s">
        <v>419</v>
      </c>
      <c r="AA25" s="75">
        <v>0</v>
      </c>
      <c r="AB25" s="75" t="s">
        <v>419</v>
      </c>
      <c r="AC25" s="75">
        <v>0</v>
      </c>
      <c r="AD25" s="75" t="s">
        <v>419</v>
      </c>
      <c r="AW25" s="73" t="str">
        <f>IF(D25="","",IF(O25="",#REF!,""))</f>
        <v/>
      </c>
    </row>
    <row r="26" spans="1:49">
      <c r="A26" s="2">
        <v>17</v>
      </c>
      <c r="B26" s="6">
        <f t="shared" si="5"/>
        <v>0</v>
      </c>
      <c r="C26" s="22">
        <f t="shared" si="6"/>
        <v>0</v>
      </c>
      <c r="D26" s="75"/>
      <c r="E26" s="75"/>
      <c r="F26" s="75"/>
      <c r="G26" s="74"/>
      <c r="H26" s="74"/>
      <c r="I26" s="149"/>
      <c r="J26" s="75"/>
      <c r="K26" s="75" t="str">
        <f>IFERROR(VLOOKUP(J26,'PAINT LABOR COSTS'!$B$60:$C$61,2,FALSE),"Pick Color")</f>
        <v>Pick Color</v>
      </c>
      <c r="L26" s="149"/>
      <c r="M26" s="75"/>
      <c r="N26" s="149"/>
      <c r="O26" s="147">
        <v>0</v>
      </c>
      <c r="P26" s="148">
        <v>0</v>
      </c>
      <c r="Q26" s="147">
        <v>0</v>
      </c>
      <c r="R26" s="148">
        <v>0</v>
      </c>
      <c r="S26" s="149"/>
      <c r="T26" s="75" t="s">
        <v>419</v>
      </c>
      <c r="U26" s="75" t="s">
        <v>419</v>
      </c>
      <c r="V26" s="75" t="s">
        <v>419</v>
      </c>
      <c r="W26" s="75" t="s">
        <v>419</v>
      </c>
      <c r="X26" s="75" t="s">
        <v>419</v>
      </c>
      <c r="Y26" s="75" t="s">
        <v>419</v>
      </c>
      <c r="Z26" s="75" t="s">
        <v>419</v>
      </c>
      <c r="AA26" s="75">
        <v>0</v>
      </c>
      <c r="AB26" s="75" t="s">
        <v>419</v>
      </c>
      <c r="AC26" s="75">
        <v>0</v>
      </c>
      <c r="AD26" s="75" t="s">
        <v>419</v>
      </c>
      <c r="AW26" s="73" t="str">
        <f>IF(D26="","",IF(O26="",#REF!,""))</f>
        <v/>
      </c>
    </row>
    <row r="27" spans="1:49">
      <c r="A27" s="2">
        <v>18</v>
      </c>
      <c r="B27" s="6">
        <f t="shared" si="5"/>
        <v>0</v>
      </c>
      <c r="C27" s="22">
        <f t="shared" si="6"/>
        <v>0</v>
      </c>
      <c r="D27" s="75"/>
      <c r="E27" s="75"/>
      <c r="F27" s="75"/>
      <c r="G27" s="74"/>
      <c r="H27" s="74"/>
      <c r="I27" s="149"/>
      <c r="J27" s="75"/>
      <c r="K27" s="75" t="str">
        <f>IFERROR(VLOOKUP(J27,'PAINT LABOR COSTS'!$B$60:$C$61,2,FALSE),"Pick Color")</f>
        <v>Pick Color</v>
      </c>
      <c r="L27" s="149"/>
      <c r="M27" s="75"/>
      <c r="N27" s="149"/>
      <c r="O27" s="147">
        <v>0</v>
      </c>
      <c r="P27" s="148">
        <v>0</v>
      </c>
      <c r="Q27" s="147">
        <v>0</v>
      </c>
      <c r="R27" s="148">
        <v>0</v>
      </c>
      <c r="S27" s="149"/>
      <c r="T27" s="75" t="s">
        <v>419</v>
      </c>
      <c r="U27" s="75" t="s">
        <v>419</v>
      </c>
      <c r="V27" s="75" t="s">
        <v>419</v>
      </c>
      <c r="W27" s="75" t="s">
        <v>419</v>
      </c>
      <c r="X27" s="75" t="s">
        <v>419</v>
      </c>
      <c r="Y27" s="75" t="s">
        <v>419</v>
      </c>
      <c r="Z27" s="75" t="s">
        <v>419</v>
      </c>
      <c r="AA27" s="75">
        <v>0</v>
      </c>
      <c r="AB27" s="75" t="s">
        <v>419</v>
      </c>
      <c r="AC27" s="75">
        <v>0</v>
      </c>
      <c r="AD27" s="75" t="s">
        <v>419</v>
      </c>
      <c r="AW27" s="73" t="str">
        <f>IF(D27="","",IF(O27="",#REF!,""))</f>
        <v/>
      </c>
    </row>
    <row r="28" spans="1:49">
      <c r="A28" s="2">
        <v>19</v>
      </c>
      <c r="B28" s="6">
        <f t="shared" si="5"/>
        <v>0</v>
      </c>
      <c r="C28" s="22">
        <f t="shared" si="6"/>
        <v>0</v>
      </c>
      <c r="D28" s="75"/>
      <c r="E28" s="75"/>
      <c r="F28" s="75"/>
      <c r="G28" s="74"/>
      <c r="H28" s="74"/>
      <c r="I28" s="149"/>
      <c r="J28" s="75"/>
      <c r="K28" s="75" t="str">
        <f>IFERROR(VLOOKUP(J28,'PAINT LABOR COSTS'!$B$60:$C$61,2,FALSE),"Pick Color")</f>
        <v>Pick Color</v>
      </c>
      <c r="L28" s="149"/>
      <c r="M28" s="75"/>
      <c r="N28" s="149"/>
      <c r="O28" s="147">
        <v>0</v>
      </c>
      <c r="P28" s="148">
        <v>0</v>
      </c>
      <c r="Q28" s="147">
        <v>0</v>
      </c>
      <c r="R28" s="148">
        <v>0</v>
      </c>
      <c r="S28" s="149"/>
      <c r="T28" s="75" t="s">
        <v>419</v>
      </c>
      <c r="U28" s="75" t="s">
        <v>419</v>
      </c>
      <c r="V28" s="75" t="s">
        <v>419</v>
      </c>
      <c r="W28" s="75" t="s">
        <v>419</v>
      </c>
      <c r="X28" s="75" t="s">
        <v>419</v>
      </c>
      <c r="Y28" s="75" t="s">
        <v>419</v>
      </c>
      <c r="Z28" s="75" t="s">
        <v>419</v>
      </c>
      <c r="AA28" s="75">
        <v>0</v>
      </c>
      <c r="AB28" s="75" t="s">
        <v>419</v>
      </c>
      <c r="AC28" s="75">
        <v>0</v>
      </c>
      <c r="AD28" s="75" t="s">
        <v>419</v>
      </c>
      <c r="AW28" s="73" t="str">
        <f>IF(D28="","",IF(O28="",#REF!,""))</f>
        <v/>
      </c>
    </row>
    <row r="29" spans="1:49">
      <c r="A29" s="2">
        <v>20</v>
      </c>
      <c r="B29" s="6">
        <f t="shared" si="5"/>
        <v>0</v>
      </c>
      <c r="C29" s="22">
        <f t="shared" si="6"/>
        <v>0</v>
      </c>
      <c r="D29" s="75"/>
      <c r="E29" s="75"/>
      <c r="F29" s="75"/>
      <c r="G29" s="74"/>
      <c r="H29" s="74"/>
      <c r="I29" s="149"/>
      <c r="J29" s="75"/>
      <c r="K29" s="75" t="str">
        <f>IFERROR(VLOOKUP(J29,'PAINT LABOR COSTS'!$B$60:$C$61,2,FALSE),"Pick Color")</f>
        <v>Pick Color</v>
      </c>
      <c r="L29" s="149"/>
      <c r="M29" s="75"/>
      <c r="N29" s="149"/>
      <c r="O29" s="147">
        <v>0</v>
      </c>
      <c r="P29" s="148">
        <v>0</v>
      </c>
      <c r="Q29" s="147">
        <v>0</v>
      </c>
      <c r="R29" s="148">
        <v>0</v>
      </c>
      <c r="S29" s="149"/>
      <c r="T29" s="75" t="s">
        <v>419</v>
      </c>
      <c r="U29" s="75" t="s">
        <v>419</v>
      </c>
      <c r="V29" s="75" t="s">
        <v>419</v>
      </c>
      <c r="W29" s="75" t="s">
        <v>419</v>
      </c>
      <c r="X29" s="75" t="s">
        <v>419</v>
      </c>
      <c r="Y29" s="75" t="s">
        <v>419</v>
      </c>
      <c r="Z29" s="75" t="s">
        <v>419</v>
      </c>
      <c r="AA29" s="75">
        <v>0</v>
      </c>
      <c r="AB29" s="75" t="s">
        <v>419</v>
      </c>
      <c r="AC29" s="75">
        <v>0</v>
      </c>
      <c r="AD29" s="75" t="s">
        <v>419</v>
      </c>
      <c r="AW29" s="73" t="str">
        <f>IF(D29="","",IF(O29="",#REF!,""))</f>
        <v/>
      </c>
    </row>
    <row r="30" spans="1:49">
      <c r="A30" s="2">
        <v>21</v>
      </c>
      <c r="B30" s="6">
        <f t="shared" si="5"/>
        <v>0</v>
      </c>
      <c r="C30" s="22">
        <f t="shared" si="6"/>
        <v>0</v>
      </c>
      <c r="D30" s="75"/>
      <c r="E30" s="75"/>
      <c r="F30" s="75"/>
      <c r="G30" s="74"/>
      <c r="H30" s="74"/>
      <c r="I30" s="149"/>
      <c r="J30" s="75"/>
      <c r="K30" s="75" t="str">
        <f>IFERROR(VLOOKUP(J30,'PAINT LABOR COSTS'!$B$60:$C$61,2,FALSE),"Pick Color")</f>
        <v>Pick Color</v>
      </c>
      <c r="L30" s="149"/>
      <c r="M30" s="75"/>
      <c r="N30" s="149"/>
      <c r="O30" s="147">
        <v>0</v>
      </c>
      <c r="P30" s="148">
        <v>0</v>
      </c>
      <c r="Q30" s="147">
        <v>0</v>
      </c>
      <c r="R30" s="148">
        <v>0</v>
      </c>
      <c r="S30" s="149"/>
      <c r="T30" s="75" t="s">
        <v>419</v>
      </c>
      <c r="U30" s="75" t="s">
        <v>419</v>
      </c>
      <c r="V30" s="75" t="s">
        <v>419</v>
      </c>
      <c r="W30" s="75" t="s">
        <v>419</v>
      </c>
      <c r="X30" s="75" t="s">
        <v>419</v>
      </c>
      <c r="Y30" s="75" t="s">
        <v>419</v>
      </c>
      <c r="Z30" s="75" t="s">
        <v>419</v>
      </c>
      <c r="AA30" s="75">
        <v>0</v>
      </c>
      <c r="AB30" s="75" t="s">
        <v>419</v>
      </c>
      <c r="AC30" s="75">
        <v>0</v>
      </c>
      <c r="AD30" s="75" t="s">
        <v>419</v>
      </c>
      <c r="AW30" s="73" t="str">
        <f>IF(D30="","",IF(O30="",#REF!,""))</f>
        <v/>
      </c>
    </row>
    <row r="31" spans="1:49">
      <c r="A31" s="2">
        <v>22</v>
      </c>
      <c r="B31" s="6">
        <f t="shared" si="5"/>
        <v>0</v>
      </c>
      <c r="C31" s="22">
        <f t="shared" si="6"/>
        <v>0</v>
      </c>
      <c r="D31" s="75"/>
      <c r="E31" s="75"/>
      <c r="F31" s="75"/>
      <c r="G31" s="74"/>
      <c r="H31" s="74"/>
      <c r="I31" s="149"/>
      <c r="J31" s="75"/>
      <c r="K31" s="75" t="str">
        <f>IFERROR(VLOOKUP(J31,'PAINT LABOR COSTS'!$B$60:$C$61,2,FALSE),"Pick Color")</f>
        <v>Pick Color</v>
      </c>
      <c r="L31" s="149"/>
      <c r="M31" s="75"/>
      <c r="N31" s="149"/>
      <c r="O31" s="147">
        <v>0</v>
      </c>
      <c r="P31" s="148">
        <v>0</v>
      </c>
      <c r="Q31" s="147">
        <v>0</v>
      </c>
      <c r="R31" s="148">
        <v>0</v>
      </c>
      <c r="S31" s="149"/>
      <c r="T31" s="75" t="s">
        <v>419</v>
      </c>
      <c r="U31" s="75" t="s">
        <v>419</v>
      </c>
      <c r="V31" s="75" t="s">
        <v>419</v>
      </c>
      <c r="W31" s="75" t="s">
        <v>419</v>
      </c>
      <c r="X31" s="75" t="s">
        <v>419</v>
      </c>
      <c r="Y31" s="75" t="s">
        <v>419</v>
      </c>
      <c r="Z31" s="75" t="s">
        <v>419</v>
      </c>
      <c r="AA31" s="75">
        <v>0</v>
      </c>
      <c r="AB31" s="75" t="s">
        <v>419</v>
      </c>
      <c r="AC31" s="75">
        <v>0</v>
      </c>
      <c r="AD31" s="75" t="s">
        <v>419</v>
      </c>
      <c r="AW31" s="73" t="str">
        <f>IF(D31="","",IF(O31="",#REF!,""))</f>
        <v/>
      </c>
    </row>
    <row r="32" spans="1:49">
      <c r="A32" s="2">
        <v>23</v>
      </c>
      <c r="B32" s="6">
        <f t="shared" si="5"/>
        <v>0</v>
      </c>
      <c r="C32" s="22">
        <f t="shared" si="6"/>
        <v>0</v>
      </c>
      <c r="D32" s="75"/>
      <c r="E32" s="75"/>
      <c r="F32" s="75"/>
      <c r="G32" s="74"/>
      <c r="H32" s="74"/>
      <c r="I32" s="149"/>
      <c r="J32" s="75"/>
      <c r="K32" s="75" t="str">
        <f>IFERROR(VLOOKUP(J32,'PAINT LABOR COSTS'!$B$60:$C$61,2,FALSE),"Pick Color")</f>
        <v>Pick Color</v>
      </c>
      <c r="L32" s="149"/>
      <c r="M32" s="75"/>
      <c r="N32" s="149"/>
      <c r="O32" s="147">
        <v>0</v>
      </c>
      <c r="P32" s="148">
        <v>0</v>
      </c>
      <c r="Q32" s="147">
        <v>0</v>
      </c>
      <c r="R32" s="148">
        <v>0</v>
      </c>
      <c r="S32" s="149"/>
      <c r="T32" s="75" t="s">
        <v>419</v>
      </c>
      <c r="U32" s="75" t="s">
        <v>419</v>
      </c>
      <c r="V32" s="75" t="s">
        <v>419</v>
      </c>
      <c r="W32" s="75" t="s">
        <v>419</v>
      </c>
      <c r="X32" s="75" t="s">
        <v>419</v>
      </c>
      <c r="Y32" s="75" t="s">
        <v>419</v>
      </c>
      <c r="Z32" s="75" t="s">
        <v>419</v>
      </c>
      <c r="AA32" s="75">
        <v>0</v>
      </c>
      <c r="AB32" s="75" t="s">
        <v>419</v>
      </c>
      <c r="AC32" s="75">
        <v>0</v>
      </c>
      <c r="AD32" s="75" t="s">
        <v>419</v>
      </c>
      <c r="AW32" s="73" t="str">
        <f>IF(D32="","",IF(O32="",#REF!,""))</f>
        <v/>
      </c>
    </row>
    <row r="33" spans="1:49">
      <c r="A33" s="2">
        <v>24</v>
      </c>
      <c r="B33" s="6">
        <f t="shared" si="5"/>
        <v>0</v>
      </c>
      <c r="C33" s="22">
        <f t="shared" si="6"/>
        <v>0</v>
      </c>
      <c r="D33" s="75"/>
      <c r="E33" s="75"/>
      <c r="F33" s="75"/>
      <c r="G33" s="74"/>
      <c r="H33" s="74"/>
      <c r="I33" s="149"/>
      <c r="J33" s="75"/>
      <c r="K33" s="75" t="str">
        <f>IFERROR(VLOOKUP(J33,'PAINT LABOR COSTS'!$B$60:$C$61,2,FALSE),"Pick Color")</f>
        <v>Pick Color</v>
      </c>
      <c r="L33" s="149"/>
      <c r="M33" s="75"/>
      <c r="N33" s="149"/>
      <c r="O33" s="147">
        <v>0</v>
      </c>
      <c r="P33" s="148">
        <v>0</v>
      </c>
      <c r="Q33" s="147">
        <v>0</v>
      </c>
      <c r="R33" s="148">
        <v>0</v>
      </c>
      <c r="S33" s="149"/>
      <c r="T33" s="75" t="s">
        <v>419</v>
      </c>
      <c r="U33" s="75" t="s">
        <v>419</v>
      </c>
      <c r="V33" s="75" t="s">
        <v>419</v>
      </c>
      <c r="W33" s="75" t="s">
        <v>419</v>
      </c>
      <c r="X33" s="75" t="s">
        <v>419</v>
      </c>
      <c r="Y33" s="75" t="s">
        <v>419</v>
      </c>
      <c r="Z33" s="75" t="s">
        <v>419</v>
      </c>
      <c r="AA33" s="75">
        <v>0</v>
      </c>
      <c r="AB33" s="75" t="s">
        <v>419</v>
      </c>
      <c r="AC33" s="75">
        <v>0</v>
      </c>
      <c r="AD33" s="75" t="s">
        <v>419</v>
      </c>
      <c r="AW33" s="73" t="str">
        <f>IF(D33="","",IF(O33="",#REF!,""))</f>
        <v/>
      </c>
    </row>
    <row r="34" spans="1:49">
      <c r="A34" s="2">
        <v>25</v>
      </c>
      <c r="B34" s="6">
        <f t="shared" si="5"/>
        <v>0</v>
      </c>
      <c r="C34" s="22">
        <f t="shared" si="6"/>
        <v>0</v>
      </c>
      <c r="D34" s="75"/>
      <c r="E34" s="75"/>
      <c r="F34" s="75"/>
      <c r="G34" s="74"/>
      <c r="H34" s="74"/>
      <c r="I34" s="149"/>
      <c r="J34" s="75"/>
      <c r="K34" s="75" t="str">
        <f>IFERROR(VLOOKUP(J34,'PAINT LABOR COSTS'!$B$60:$C$61,2,FALSE),"Pick Color")</f>
        <v>Pick Color</v>
      </c>
      <c r="L34" s="149"/>
      <c r="M34" s="75"/>
      <c r="N34" s="149"/>
      <c r="O34" s="147">
        <v>0</v>
      </c>
      <c r="P34" s="148">
        <v>0</v>
      </c>
      <c r="Q34" s="147">
        <v>0</v>
      </c>
      <c r="R34" s="148">
        <v>0</v>
      </c>
      <c r="S34" s="149"/>
      <c r="T34" s="75" t="s">
        <v>419</v>
      </c>
      <c r="U34" s="75" t="s">
        <v>419</v>
      </c>
      <c r="V34" s="75" t="s">
        <v>419</v>
      </c>
      <c r="W34" s="75" t="s">
        <v>419</v>
      </c>
      <c r="X34" s="75" t="s">
        <v>419</v>
      </c>
      <c r="Y34" s="75" t="s">
        <v>419</v>
      </c>
      <c r="Z34" s="75" t="s">
        <v>419</v>
      </c>
      <c r="AA34" s="75">
        <v>0</v>
      </c>
      <c r="AB34" s="75" t="s">
        <v>419</v>
      </c>
      <c r="AC34" s="75">
        <v>0</v>
      </c>
      <c r="AD34" s="75" t="s">
        <v>419</v>
      </c>
      <c r="AW34" s="73" t="str">
        <f>IF(D34="","",IF(O34="",#REF!,""))</f>
        <v/>
      </c>
    </row>
    <row r="35" spans="1:49">
      <c r="A35" s="2">
        <v>26</v>
      </c>
      <c r="B35" s="6">
        <f t="shared" si="5"/>
        <v>0</v>
      </c>
      <c r="C35" s="22">
        <f t="shared" si="6"/>
        <v>0</v>
      </c>
      <c r="D35" s="75"/>
      <c r="E35" s="75"/>
      <c r="F35" s="75"/>
      <c r="G35" s="74"/>
      <c r="H35" s="74"/>
      <c r="I35" s="149"/>
      <c r="J35" s="75"/>
      <c r="K35" s="75" t="str">
        <f>IFERROR(VLOOKUP(J35,'PAINT LABOR COSTS'!$B$60:$C$61,2,FALSE),"Pick Color")</f>
        <v>Pick Color</v>
      </c>
      <c r="L35" s="149"/>
      <c r="M35" s="75"/>
      <c r="N35" s="149"/>
      <c r="O35" s="147">
        <v>0</v>
      </c>
      <c r="P35" s="148">
        <v>0</v>
      </c>
      <c r="Q35" s="147">
        <v>0</v>
      </c>
      <c r="R35" s="148">
        <v>0</v>
      </c>
      <c r="S35" s="149"/>
      <c r="T35" s="75" t="s">
        <v>419</v>
      </c>
      <c r="U35" s="75" t="s">
        <v>419</v>
      </c>
      <c r="V35" s="75" t="s">
        <v>419</v>
      </c>
      <c r="W35" s="75" t="s">
        <v>419</v>
      </c>
      <c r="X35" s="75" t="s">
        <v>419</v>
      </c>
      <c r="Y35" s="75" t="s">
        <v>419</v>
      </c>
      <c r="Z35" s="75" t="s">
        <v>419</v>
      </c>
      <c r="AA35" s="75">
        <v>0</v>
      </c>
      <c r="AB35" s="75" t="s">
        <v>419</v>
      </c>
      <c r="AC35" s="75">
        <v>0</v>
      </c>
      <c r="AD35" s="75" t="s">
        <v>419</v>
      </c>
      <c r="AW35" s="73" t="str">
        <f>IF(D35="","",IF(O35="",#REF!,""))</f>
        <v/>
      </c>
    </row>
    <row r="36" spans="1:49">
      <c r="A36" s="2">
        <v>27</v>
      </c>
      <c r="B36" s="6">
        <f t="shared" si="5"/>
        <v>0</v>
      </c>
      <c r="C36" s="22">
        <f t="shared" si="6"/>
        <v>0</v>
      </c>
      <c r="D36" s="75"/>
      <c r="E36" s="75"/>
      <c r="F36" s="75"/>
      <c r="G36" s="74"/>
      <c r="H36" s="74"/>
      <c r="I36" s="149"/>
      <c r="J36" s="75"/>
      <c r="K36" s="75" t="str">
        <f>IFERROR(VLOOKUP(J36,'PAINT LABOR COSTS'!$B$60:$C$61,2,FALSE),"Pick Color")</f>
        <v>Pick Color</v>
      </c>
      <c r="L36" s="149"/>
      <c r="M36" s="75"/>
      <c r="N36" s="149"/>
      <c r="O36" s="147">
        <v>0</v>
      </c>
      <c r="P36" s="148">
        <v>0</v>
      </c>
      <c r="Q36" s="147">
        <v>0</v>
      </c>
      <c r="R36" s="148">
        <v>0</v>
      </c>
      <c r="S36" s="149"/>
      <c r="T36" s="75" t="s">
        <v>419</v>
      </c>
      <c r="U36" s="75" t="s">
        <v>419</v>
      </c>
      <c r="V36" s="75" t="s">
        <v>419</v>
      </c>
      <c r="W36" s="75" t="s">
        <v>419</v>
      </c>
      <c r="X36" s="75" t="s">
        <v>419</v>
      </c>
      <c r="Y36" s="75" t="s">
        <v>419</v>
      </c>
      <c r="Z36" s="75" t="s">
        <v>419</v>
      </c>
      <c r="AA36" s="75">
        <v>0</v>
      </c>
      <c r="AB36" s="75" t="s">
        <v>419</v>
      </c>
      <c r="AC36" s="75">
        <v>0</v>
      </c>
      <c r="AD36" s="75" t="s">
        <v>419</v>
      </c>
      <c r="AW36" s="73" t="str">
        <f>IF(D36="","",IF(O36="",#REF!,""))</f>
        <v/>
      </c>
    </row>
    <row r="37" spans="1:49">
      <c r="A37" s="2">
        <v>28</v>
      </c>
      <c r="B37" s="6">
        <f t="shared" si="5"/>
        <v>0</v>
      </c>
      <c r="C37" s="22">
        <f t="shared" si="6"/>
        <v>0</v>
      </c>
      <c r="D37" s="75"/>
      <c r="E37" s="75"/>
      <c r="F37" s="75"/>
      <c r="G37" s="74"/>
      <c r="H37" s="74"/>
      <c r="I37" s="149"/>
      <c r="J37" s="75"/>
      <c r="K37" s="75" t="str">
        <f>IFERROR(VLOOKUP(J37,'PAINT LABOR COSTS'!$B$60:$C$61,2,FALSE),"Pick Color")</f>
        <v>Pick Color</v>
      </c>
      <c r="L37" s="149"/>
      <c r="M37" s="75"/>
      <c r="N37" s="149"/>
      <c r="O37" s="147">
        <v>0</v>
      </c>
      <c r="P37" s="148">
        <v>0</v>
      </c>
      <c r="Q37" s="147">
        <v>0</v>
      </c>
      <c r="R37" s="148">
        <v>0</v>
      </c>
      <c r="S37" s="149"/>
      <c r="T37" s="75" t="s">
        <v>419</v>
      </c>
      <c r="U37" s="75" t="s">
        <v>419</v>
      </c>
      <c r="V37" s="75" t="s">
        <v>419</v>
      </c>
      <c r="W37" s="75" t="s">
        <v>419</v>
      </c>
      <c r="X37" s="75" t="s">
        <v>419</v>
      </c>
      <c r="Y37" s="75" t="s">
        <v>419</v>
      </c>
      <c r="Z37" s="75" t="s">
        <v>419</v>
      </c>
      <c r="AA37" s="75">
        <v>0</v>
      </c>
      <c r="AB37" s="75" t="s">
        <v>419</v>
      </c>
      <c r="AC37" s="75">
        <v>0</v>
      </c>
      <c r="AD37" s="75" t="s">
        <v>419</v>
      </c>
      <c r="AW37" s="73" t="str">
        <f>IF(D37="","",IF(O37="",#REF!,""))</f>
        <v/>
      </c>
    </row>
    <row r="38" spans="1:49">
      <c r="A38" s="2">
        <v>29</v>
      </c>
      <c r="B38" s="6">
        <f t="shared" si="5"/>
        <v>0</v>
      </c>
      <c r="C38" s="22">
        <f t="shared" si="6"/>
        <v>0</v>
      </c>
      <c r="D38" s="75"/>
      <c r="E38" s="75"/>
      <c r="F38" s="75"/>
      <c r="G38" s="74"/>
      <c r="H38" s="74"/>
      <c r="I38" s="149"/>
      <c r="J38" s="75"/>
      <c r="K38" s="75" t="str">
        <f>IFERROR(VLOOKUP(J38,'PAINT LABOR COSTS'!$B$60:$C$61,2,FALSE),"Pick Color")</f>
        <v>Pick Color</v>
      </c>
      <c r="L38" s="149"/>
      <c r="M38" s="75"/>
      <c r="N38" s="149"/>
      <c r="O38" s="147">
        <v>0</v>
      </c>
      <c r="P38" s="148">
        <v>0</v>
      </c>
      <c r="Q38" s="147">
        <v>0</v>
      </c>
      <c r="R38" s="148">
        <v>0</v>
      </c>
      <c r="S38" s="149"/>
      <c r="T38" s="75" t="s">
        <v>419</v>
      </c>
      <c r="U38" s="75" t="s">
        <v>419</v>
      </c>
      <c r="V38" s="75" t="s">
        <v>419</v>
      </c>
      <c r="W38" s="75" t="s">
        <v>419</v>
      </c>
      <c r="X38" s="75" t="s">
        <v>419</v>
      </c>
      <c r="Y38" s="75" t="s">
        <v>419</v>
      </c>
      <c r="Z38" s="75" t="s">
        <v>419</v>
      </c>
      <c r="AA38" s="75">
        <v>0</v>
      </c>
      <c r="AB38" s="75" t="s">
        <v>419</v>
      </c>
      <c r="AC38" s="75">
        <v>0</v>
      </c>
      <c r="AD38" s="75" t="s">
        <v>419</v>
      </c>
      <c r="AW38" s="73" t="str">
        <f>IF(D38="","",IF(O38="",#REF!,""))</f>
        <v/>
      </c>
    </row>
    <row r="39" spans="1:49">
      <c r="A39" s="2">
        <v>30</v>
      </c>
      <c r="B39" s="6">
        <f t="shared" si="5"/>
        <v>0</v>
      </c>
      <c r="C39" s="22">
        <f t="shared" si="6"/>
        <v>0</v>
      </c>
      <c r="D39" s="75"/>
      <c r="E39" s="75"/>
      <c r="F39" s="75"/>
      <c r="G39" s="74"/>
      <c r="H39" s="74"/>
      <c r="I39" s="149"/>
      <c r="J39" s="75"/>
      <c r="K39" s="75" t="str">
        <f>IFERROR(VLOOKUP(J39,'PAINT LABOR COSTS'!$B$60:$C$61,2,FALSE),"Pick Color")</f>
        <v>Pick Color</v>
      </c>
      <c r="L39" s="149"/>
      <c r="M39" s="75"/>
      <c r="N39" s="149"/>
      <c r="O39" s="147">
        <v>0</v>
      </c>
      <c r="P39" s="148">
        <v>0</v>
      </c>
      <c r="Q39" s="147">
        <v>0</v>
      </c>
      <c r="R39" s="148">
        <v>0</v>
      </c>
      <c r="S39" s="149"/>
      <c r="T39" s="75" t="s">
        <v>419</v>
      </c>
      <c r="U39" s="75" t="s">
        <v>419</v>
      </c>
      <c r="V39" s="75" t="s">
        <v>419</v>
      </c>
      <c r="W39" s="75" t="s">
        <v>419</v>
      </c>
      <c r="X39" s="75" t="s">
        <v>419</v>
      </c>
      <c r="Y39" s="75" t="s">
        <v>419</v>
      </c>
      <c r="Z39" s="75" t="s">
        <v>419</v>
      </c>
      <c r="AA39" s="75">
        <v>0</v>
      </c>
      <c r="AB39" s="75" t="s">
        <v>419</v>
      </c>
      <c r="AC39" s="75">
        <v>0</v>
      </c>
      <c r="AD39" s="75" t="s">
        <v>419</v>
      </c>
      <c r="AW39" s="73" t="str">
        <f>IF(D39="","",IF(O39="",#REF!,""))</f>
        <v/>
      </c>
    </row>
    <row r="40" spans="1:49">
      <c r="A40" s="2">
        <v>31</v>
      </c>
      <c r="B40" s="6">
        <f t="shared" si="5"/>
        <v>0</v>
      </c>
      <c r="C40" s="22">
        <f t="shared" si="6"/>
        <v>0</v>
      </c>
      <c r="D40" s="75"/>
      <c r="E40" s="75"/>
      <c r="F40" s="75"/>
      <c r="G40" s="74"/>
      <c r="H40" s="74"/>
      <c r="I40" s="149"/>
      <c r="J40" s="75"/>
      <c r="K40" s="75" t="str">
        <f>IFERROR(VLOOKUP(J40,'PAINT LABOR COSTS'!$B$60:$C$61,2,FALSE),"Pick Color")</f>
        <v>Pick Color</v>
      </c>
      <c r="L40" s="149"/>
      <c r="M40" s="75"/>
      <c r="N40" s="149"/>
      <c r="O40" s="147">
        <v>0</v>
      </c>
      <c r="P40" s="148">
        <v>0</v>
      </c>
      <c r="Q40" s="147">
        <v>0</v>
      </c>
      <c r="R40" s="148">
        <v>0</v>
      </c>
      <c r="S40" s="149"/>
      <c r="T40" s="75" t="s">
        <v>419</v>
      </c>
      <c r="U40" s="75" t="s">
        <v>419</v>
      </c>
      <c r="V40" s="75" t="s">
        <v>419</v>
      </c>
      <c r="W40" s="75" t="s">
        <v>419</v>
      </c>
      <c r="X40" s="75" t="s">
        <v>419</v>
      </c>
      <c r="Y40" s="75" t="s">
        <v>419</v>
      </c>
      <c r="Z40" s="75" t="s">
        <v>419</v>
      </c>
      <c r="AA40" s="75">
        <v>0</v>
      </c>
      <c r="AB40" s="75" t="s">
        <v>419</v>
      </c>
      <c r="AC40" s="75">
        <v>0</v>
      </c>
      <c r="AD40" s="75" t="s">
        <v>419</v>
      </c>
      <c r="AW40" s="73" t="str">
        <f>IF(D40="","",IF(O40="",#REF!,""))</f>
        <v/>
      </c>
    </row>
    <row r="41" spans="1:49">
      <c r="A41" s="2">
        <v>32</v>
      </c>
      <c r="B41" s="6">
        <f t="shared" si="5"/>
        <v>0</v>
      </c>
      <c r="C41" s="22">
        <f t="shared" si="6"/>
        <v>0</v>
      </c>
      <c r="D41" s="75"/>
      <c r="E41" s="75"/>
      <c r="F41" s="75"/>
      <c r="G41" s="74"/>
      <c r="H41" s="74"/>
      <c r="I41" s="149"/>
      <c r="J41" s="75"/>
      <c r="K41" s="75" t="str">
        <f>IFERROR(VLOOKUP(J41,'PAINT LABOR COSTS'!$B$60:$C$61,2,FALSE),"Pick Color")</f>
        <v>Pick Color</v>
      </c>
      <c r="L41" s="149"/>
      <c r="M41" s="75"/>
      <c r="N41" s="149"/>
      <c r="O41" s="147">
        <v>0</v>
      </c>
      <c r="P41" s="148">
        <v>0</v>
      </c>
      <c r="Q41" s="147">
        <v>0</v>
      </c>
      <c r="R41" s="148">
        <v>0</v>
      </c>
      <c r="S41" s="149"/>
      <c r="T41" s="75" t="s">
        <v>419</v>
      </c>
      <c r="U41" s="75" t="s">
        <v>419</v>
      </c>
      <c r="V41" s="75" t="s">
        <v>419</v>
      </c>
      <c r="W41" s="75" t="s">
        <v>419</v>
      </c>
      <c r="X41" s="75" t="s">
        <v>419</v>
      </c>
      <c r="Y41" s="75" t="s">
        <v>419</v>
      </c>
      <c r="Z41" s="75" t="s">
        <v>419</v>
      </c>
      <c r="AA41" s="75">
        <v>0</v>
      </c>
      <c r="AB41" s="75" t="s">
        <v>419</v>
      </c>
      <c r="AC41" s="75">
        <v>0</v>
      </c>
      <c r="AD41" s="75" t="s">
        <v>419</v>
      </c>
      <c r="AW41" s="73" t="str">
        <f>IF(D41="","",IF(O41="",#REF!,""))</f>
        <v/>
      </c>
    </row>
    <row r="42" spans="1:49">
      <c r="A42" s="2">
        <v>33</v>
      </c>
      <c r="B42" s="6">
        <f t="shared" si="5"/>
        <v>0</v>
      </c>
      <c r="C42" s="22">
        <f t="shared" si="6"/>
        <v>0</v>
      </c>
      <c r="D42" s="75"/>
      <c r="E42" s="75"/>
      <c r="F42" s="75"/>
      <c r="G42" s="74"/>
      <c r="H42" s="74"/>
      <c r="I42" s="149"/>
      <c r="J42" s="75"/>
      <c r="K42" s="75" t="str">
        <f>IFERROR(VLOOKUP(J42,'PAINT LABOR COSTS'!$B$60:$C$61,2,FALSE),"Pick Color")</f>
        <v>Pick Color</v>
      </c>
      <c r="L42" s="149"/>
      <c r="M42" s="75"/>
      <c r="N42" s="149"/>
      <c r="O42" s="147">
        <v>0</v>
      </c>
      <c r="P42" s="148">
        <v>0</v>
      </c>
      <c r="Q42" s="147">
        <v>0</v>
      </c>
      <c r="R42" s="148">
        <v>0</v>
      </c>
      <c r="S42" s="149"/>
      <c r="T42" s="75" t="s">
        <v>419</v>
      </c>
      <c r="U42" s="75" t="s">
        <v>419</v>
      </c>
      <c r="V42" s="75" t="s">
        <v>419</v>
      </c>
      <c r="W42" s="75" t="s">
        <v>419</v>
      </c>
      <c r="X42" s="75" t="s">
        <v>419</v>
      </c>
      <c r="Y42" s="75" t="s">
        <v>419</v>
      </c>
      <c r="Z42" s="75" t="s">
        <v>419</v>
      </c>
      <c r="AA42" s="75">
        <v>0</v>
      </c>
      <c r="AB42" s="75" t="s">
        <v>419</v>
      </c>
      <c r="AC42" s="75">
        <v>0</v>
      </c>
      <c r="AD42" s="75" t="s">
        <v>419</v>
      </c>
      <c r="AW42" s="73" t="str">
        <f>IF(D42="","",IF(O42="",#REF!,""))</f>
        <v/>
      </c>
    </row>
    <row r="43" spans="1:49">
      <c r="A43" s="2">
        <v>34</v>
      </c>
      <c r="B43" s="6">
        <f t="shared" si="5"/>
        <v>0</v>
      </c>
      <c r="C43" s="22">
        <f t="shared" si="6"/>
        <v>0</v>
      </c>
      <c r="D43" s="75"/>
      <c r="E43" s="75"/>
      <c r="F43" s="75"/>
      <c r="G43" s="74"/>
      <c r="H43" s="74"/>
      <c r="I43" s="149"/>
      <c r="J43" s="75"/>
      <c r="K43" s="75" t="str">
        <f>IFERROR(VLOOKUP(J43,'PAINT LABOR COSTS'!$B$60:$C$61,2,FALSE),"Pick Color")</f>
        <v>Pick Color</v>
      </c>
      <c r="L43" s="149"/>
      <c r="M43" s="75"/>
      <c r="N43" s="149"/>
      <c r="O43" s="147">
        <v>0</v>
      </c>
      <c r="P43" s="148">
        <v>0</v>
      </c>
      <c r="Q43" s="147">
        <v>0</v>
      </c>
      <c r="R43" s="148">
        <v>0</v>
      </c>
      <c r="S43" s="149"/>
      <c r="T43" s="75" t="s">
        <v>419</v>
      </c>
      <c r="U43" s="75" t="s">
        <v>419</v>
      </c>
      <c r="V43" s="75" t="s">
        <v>419</v>
      </c>
      <c r="W43" s="75" t="s">
        <v>419</v>
      </c>
      <c r="X43" s="75" t="s">
        <v>419</v>
      </c>
      <c r="Y43" s="75" t="s">
        <v>419</v>
      </c>
      <c r="Z43" s="75" t="s">
        <v>419</v>
      </c>
      <c r="AA43" s="75">
        <v>0</v>
      </c>
      <c r="AB43" s="75" t="s">
        <v>419</v>
      </c>
      <c r="AC43" s="75">
        <v>0</v>
      </c>
      <c r="AD43" s="75" t="s">
        <v>419</v>
      </c>
      <c r="AW43" s="73" t="str">
        <f>IF(D43="","",IF(O43="",#REF!,""))</f>
        <v/>
      </c>
    </row>
    <row r="44" spans="1:49">
      <c r="A44" s="2">
        <v>35</v>
      </c>
      <c r="B44" s="6">
        <f t="shared" si="5"/>
        <v>0</v>
      </c>
      <c r="C44" s="22">
        <f t="shared" si="6"/>
        <v>0</v>
      </c>
      <c r="D44" s="75"/>
      <c r="E44" s="75"/>
      <c r="F44" s="75"/>
      <c r="G44" s="74"/>
      <c r="H44" s="74"/>
      <c r="I44" s="149"/>
      <c r="J44" s="75"/>
      <c r="K44" s="75" t="str">
        <f>IFERROR(VLOOKUP(J44,'PAINT LABOR COSTS'!$B$60:$C$61,2,FALSE),"Pick Color")</f>
        <v>Pick Color</v>
      </c>
      <c r="L44" s="149"/>
      <c r="M44" s="75"/>
      <c r="N44" s="149"/>
      <c r="O44" s="147">
        <v>0</v>
      </c>
      <c r="P44" s="148">
        <v>0</v>
      </c>
      <c r="Q44" s="147">
        <v>0</v>
      </c>
      <c r="R44" s="148">
        <v>0</v>
      </c>
      <c r="S44" s="149"/>
      <c r="T44" s="75" t="s">
        <v>419</v>
      </c>
      <c r="U44" s="75" t="s">
        <v>419</v>
      </c>
      <c r="V44" s="75" t="s">
        <v>419</v>
      </c>
      <c r="W44" s="75" t="s">
        <v>419</v>
      </c>
      <c r="X44" s="75" t="s">
        <v>419</v>
      </c>
      <c r="Y44" s="75" t="s">
        <v>419</v>
      </c>
      <c r="Z44" s="75" t="s">
        <v>419</v>
      </c>
      <c r="AA44" s="75">
        <v>0</v>
      </c>
      <c r="AB44" s="75" t="s">
        <v>419</v>
      </c>
      <c r="AC44" s="75">
        <v>0</v>
      </c>
      <c r="AD44" s="75" t="s">
        <v>419</v>
      </c>
      <c r="AW44" s="73" t="str">
        <f>IF(D44="","",IF(O44="",#REF!,""))</f>
        <v/>
      </c>
    </row>
    <row r="45" spans="1:49">
      <c r="A45" s="2">
        <v>36</v>
      </c>
      <c r="B45" s="6">
        <f t="shared" si="5"/>
        <v>0</v>
      </c>
      <c r="C45" s="22">
        <f t="shared" si="6"/>
        <v>0</v>
      </c>
      <c r="D45" s="75"/>
      <c r="E45" s="75"/>
      <c r="F45" s="75"/>
      <c r="G45" s="74"/>
      <c r="H45" s="74"/>
      <c r="I45" s="149"/>
      <c r="J45" s="75"/>
      <c r="K45" s="75" t="str">
        <f>IFERROR(VLOOKUP(J45,'PAINT LABOR COSTS'!$B$60:$C$61,2,FALSE),"Pick Color")</f>
        <v>Pick Color</v>
      </c>
      <c r="L45" s="149"/>
      <c r="M45" s="75"/>
      <c r="N45" s="149"/>
      <c r="O45" s="147">
        <v>0</v>
      </c>
      <c r="P45" s="148">
        <v>0</v>
      </c>
      <c r="Q45" s="147">
        <v>0</v>
      </c>
      <c r="R45" s="148">
        <v>0</v>
      </c>
      <c r="S45" s="149"/>
      <c r="T45" s="75" t="s">
        <v>419</v>
      </c>
      <c r="U45" s="75" t="s">
        <v>419</v>
      </c>
      <c r="V45" s="75" t="s">
        <v>419</v>
      </c>
      <c r="W45" s="75" t="s">
        <v>419</v>
      </c>
      <c r="X45" s="75" t="s">
        <v>419</v>
      </c>
      <c r="Y45" s="75" t="s">
        <v>419</v>
      </c>
      <c r="Z45" s="75" t="s">
        <v>419</v>
      </c>
      <c r="AA45" s="75">
        <v>0</v>
      </c>
      <c r="AB45" s="75" t="s">
        <v>419</v>
      </c>
      <c r="AC45" s="75">
        <v>0</v>
      </c>
      <c r="AD45" s="75" t="s">
        <v>419</v>
      </c>
      <c r="AW45" s="73" t="str">
        <f>IF(D45="","",IF(O45="",#REF!,""))</f>
        <v/>
      </c>
    </row>
    <row r="46" spans="1:49">
      <c r="A46" s="2">
        <v>37</v>
      </c>
      <c r="B46" s="6">
        <f t="shared" si="5"/>
        <v>0</v>
      </c>
      <c r="C46" s="22">
        <f t="shared" si="6"/>
        <v>0</v>
      </c>
      <c r="D46" s="75"/>
      <c r="E46" s="75"/>
      <c r="F46" s="75"/>
      <c r="G46" s="74"/>
      <c r="H46" s="74"/>
      <c r="I46" s="149"/>
      <c r="J46" s="75"/>
      <c r="K46" s="75" t="str">
        <f>IFERROR(VLOOKUP(J46,'PAINT LABOR COSTS'!$B$60:$C$61,2,FALSE),"Pick Color")</f>
        <v>Pick Color</v>
      </c>
      <c r="L46" s="149"/>
      <c r="M46" s="75"/>
      <c r="N46" s="149"/>
      <c r="O46" s="147">
        <v>0</v>
      </c>
      <c r="P46" s="148">
        <v>0</v>
      </c>
      <c r="Q46" s="147">
        <v>0</v>
      </c>
      <c r="R46" s="148">
        <v>0</v>
      </c>
      <c r="S46" s="149"/>
      <c r="T46" s="75" t="s">
        <v>419</v>
      </c>
      <c r="U46" s="75" t="s">
        <v>419</v>
      </c>
      <c r="V46" s="75" t="s">
        <v>419</v>
      </c>
      <c r="W46" s="75" t="s">
        <v>419</v>
      </c>
      <c r="X46" s="75" t="s">
        <v>419</v>
      </c>
      <c r="Y46" s="75" t="s">
        <v>419</v>
      </c>
      <c r="Z46" s="75" t="s">
        <v>419</v>
      </c>
      <c r="AA46" s="75">
        <v>0</v>
      </c>
      <c r="AB46" s="75" t="s">
        <v>419</v>
      </c>
      <c r="AC46" s="75">
        <v>0</v>
      </c>
      <c r="AD46" s="75" t="s">
        <v>419</v>
      </c>
      <c r="AW46" s="73" t="str">
        <f>IF(D46="","",IF(O46="",#REF!,""))</f>
        <v/>
      </c>
    </row>
    <row r="47" spans="1:49">
      <c r="A47" s="2">
        <v>38</v>
      </c>
      <c r="B47" s="6">
        <f t="shared" si="5"/>
        <v>0</v>
      </c>
      <c r="C47" s="22">
        <f t="shared" si="6"/>
        <v>0</v>
      </c>
      <c r="D47" s="75"/>
      <c r="E47" s="75"/>
      <c r="F47" s="75"/>
      <c r="G47" s="74"/>
      <c r="H47" s="74"/>
      <c r="I47" s="149"/>
      <c r="J47" s="75"/>
      <c r="K47" s="75" t="str">
        <f>IFERROR(VLOOKUP(J47,'PAINT LABOR COSTS'!$B$60:$C$61,2,FALSE),"Pick Color")</f>
        <v>Pick Color</v>
      </c>
      <c r="L47" s="149"/>
      <c r="M47" s="75"/>
      <c r="N47" s="149"/>
      <c r="O47" s="147">
        <v>0</v>
      </c>
      <c r="P47" s="148">
        <v>0</v>
      </c>
      <c r="Q47" s="147">
        <v>0</v>
      </c>
      <c r="R47" s="148">
        <v>0</v>
      </c>
      <c r="S47" s="149"/>
      <c r="T47" s="75" t="s">
        <v>419</v>
      </c>
      <c r="U47" s="75" t="s">
        <v>419</v>
      </c>
      <c r="V47" s="75" t="s">
        <v>419</v>
      </c>
      <c r="W47" s="75" t="s">
        <v>419</v>
      </c>
      <c r="X47" s="75" t="s">
        <v>419</v>
      </c>
      <c r="Y47" s="75" t="s">
        <v>419</v>
      </c>
      <c r="Z47" s="75" t="s">
        <v>419</v>
      </c>
      <c r="AA47" s="75">
        <v>0</v>
      </c>
      <c r="AB47" s="75" t="s">
        <v>419</v>
      </c>
      <c r="AC47" s="75">
        <v>0</v>
      </c>
      <c r="AD47" s="75" t="s">
        <v>419</v>
      </c>
      <c r="AW47" s="73" t="str">
        <f>IF(D47="","",IF(O47="",#REF!,""))</f>
        <v/>
      </c>
    </row>
    <row r="48" spans="1:49">
      <c r="A48" s="2">
        <v>39</v>
      </c>
      <c r="B48" s="6">
        <f t="shared" si="5"/>
        <v>0</v>
      </c>
      <c r="C48" s="22">
        <f t="shared" si="6"/>
        <v>0</v>
      </c>
      <c r="D48" s="75"/>
      <c r="E48" s="75"/>
      <c r="F48" s="75"/>
      <c r="G48" s="74"/>
      <c r="H48" s="74"/>
      <c r="I48" s="149"/>
      <c r="J48" s="75"/>
      <c r="K48" s="75" t="str">
        <f>IFERROR(VLOOKUP(J48,'PAINT LABOR COSTS'!$B$60:$C$61,2,FALSE),"Pick Color")</f>
        <v>Pick Color</v>
      </c>
      <c r="L48" s="149"/>
      <c r="M48" s="75"/>
      <c r="N48" s="149"/>
      <c r="O48" s="147">
        <v>0</v>
      </c>
      <c r="P48" s="148">
        <v>0</v>
      </c>
      <c r="Q48" s="147">
        <v>0</v>
      </c>
      <c r="R48" s="148">
        <v>0</v>
      </c>
      <c r="S48" s="149"/>
      <c r="T48" s="75" t="s">
        <v>419</v>
      </c>
      <c r="U48" s="75" t="s">
        <v>419</v>
      </c>
      <c r="V48" s="75" t="s">
        <v>419</v>
      </c>
      <c r="W48" s="75" t="s">
        <v>419</v>
      </c>
      <c r="X48" s="75" t="s">
        <v>419</v>
      </c>
      <c r="Y48" s="75" t="s">
        <v>419</v>
      </c>
      <c r="Z48" s="75" t="s">
        <v>419</v>
      </c>
      <c r="AA48" s="75">
        <v>0</v>
      </c>
      <c r="AB48" s="75" t="s">
        <v>419</v>
      </c>
      <c r="AC48" s="75">
        <v>0</v>
      </c>
      <c r="AD48" s="75" t="s">
        <v>419</v>
      </c>
      <c r="AW48" s="73" t="str">
        <f>IF(D48="","",IF(O48="",#REF!,""))</f>
        <v/>
      </c>
    </row>
    <row r="49" spans="1:49">
      <c r="A49" s="2">
        <v>40</v>
      </c>
      <c r="B49" s="6">
        <f t="shared" si="5"/>
        <v>0</v>
      </c>
      <c r="C49" s="22">
        <f t="shared" si="6"/>
        <v>0</v>
      </c>
      <c r="D49" s="75"/>
      <c r="E49" s="75"/>
      <c r="F49" s="75"/>
      <c r="G49" s="74"/>
      <c r="H49" s="74"/>
      <c r="I49" s="149"/>
      <c r="J49" s="75"/>
      <c r="K49" s="75" t="str">
        <f>IFERROR(VLOOKUP(J49,'PAINT LABOR COSTS'!$B$60:$C$61,2,FALSE),"Pick Color")</f>
        <v>Pick Color</v>
      </c>
      <c r="L49" s="149"/>
      <c r="M49" s="75"/>
      <c r="N49" s="149"/>
      <c r="O49" s="147">
        <v>0</v>
      </c>
      <c r="P49" s="148">
        <v>0</v>
      </c>
      <c r="Q49" s="147">
        <v>0</v>
      </c>
      <c r="R49" s="148">
        <v>0</v>
      </c>
      <c r="S49" s="149"/>
      <c r="T49" s="75" t="s">
        <v>419</v>
      </c>
      <c r="U49" s="75" t="s">
        <v>419</v>
      </c>
      <c r="V49" s="75" t="s">
        <v>419</v>
      </c>
      <c r="W49" s="75" t="s">
        <v>419</v>
      </c>
      <c r="X49" s="75" t="s">
        <v>419</v>
      </c>
      <c r="Y49" s="75" t="s">
        <v>419</v>
      </c>
      <c r="Z49" s="75" t="s">
        <v>419</v>
      </c>
      <c r="AA49" s="75">
        <v>0</v>
      </c>
      <c r="AB49" s="75" t="s">
        <v>419</v>
      </c>
      <c r="AC49" s="75">
        <v>0</v>
      </c>
      <c r="AD49" s="75" t="s">
        <v>419</v>
      </c>
      <c r="AW49" s="73" t="str">
        <f>IF(D49="","",IF(O49="",#REF!,""))</f>
        <v/>
      </c>
    </row>
    <row r="50" spans="1:49">
      <c r="A50" s="2">
        <v>41</v>
      </c>
      <c r="B50" s="6">
        <f t="shared" si="5"/>
        <v>0</v>
      </c>
      <c r="C50" s="22">
        <f t="shared" si="6"/>
        <v>0</v>
      </c>
      <c r="D50" s="75"/>
      <c r="E50" s="75"/>
      <c r="F50" s="75"/>
      <c r="G50" s="74"/>
      <c r="H50" s="74"/>
      <c r="I50" s="149"/>
      <c r="J50" s="75"/>
      <c r="K50" s="75" t="str">
        <f>IFERROR(VLOOKUP(J50,'PAINT LABOR COSTS'!$B$60:$C$61,2,FALSE),"Pick Color")</f>
        <v>Pick Color</v>
      </c>
      <c r="L50" s="149"/>
      <c r="M50" s="75"/>
      <c r="N50" s="149"/>
      <c r="O50" s="147">
        <v>0</v>
      </c>
      <c r="P50" s="148">
        <v>0</v>
      </c>
      <c r="Q50" s="147">
        <v>0</v>
      </c>
      <c r="R50" s="148">
        <v>0</v>
      </c>
      <c r="S50" s="149"/>
      <c r="T50" s="75" t="s">
        <v>419</v>
      </c>
      <c r="U50" s="75" t="s">
        <v>419</v>
      </c>
      <c r="V50" s="75" t="s">
        <v>419</v>
      </c>
      <c r="W50" s="75" t="s">
        <v>419</v>
      </c>
      <c r="X50" s="75" t="s">
        <v>419</v>
      </c>
      <c r="Y50" s="75" t="s">
        <v>419</v>
      </c>
      <c r="Z50" s="75" t="s">
        <v>419</v>
      </c>
      <c r="AA50" s="75">
        <v>0</v>
      </c>
      <c r="AB50" s="75" t="s">
        <v>419</v>
      </c>
      <c r="AC50" s="75">
        <v>0</v>
      </c>
      <c r="AD50" s="75" t="s">
        <v>419</v>
      </c>
      <c r="AW50" s="73" t="str">
        <f>IF(D50="","",IF(O50="",#REF!,""))</f>
        <v/>
      </c>
    </row>
    <row r="51" spans="1:49">
      <c r="A51" s="2">
        <v>42</v>
      </c>
      <c r="B51" s="6">
        <f t="shared" si="5"/>
        <v>0</v>
      </c>
      <c r="C51" s="22">
        <f t="shared" si="6"/>
        <v>0</v>
      </c>
      <c r="D51" s="75"/>
      <c r="E51" s="75"/>
      <c r="F51" s="75"/>
      <c r="G51" s="74"/>
      <c r="H51" s="74"/>
      <c r="I51" s="149"/>
      <c r="J51" s="75"/>
      <c r="K51" s="75" t="str">
        <f>IFERROR(VLOOKUP(J51,'PAINT LABOR COSTS'!$B$60:$C$61,2,FALSE),"Pick Color")</f>
        <v>Pick Color</v>
      </c>
      <c r="L51" s="149"/>
      <c r="M51" s="75"/>
      <c r="N51" s="149"/>
      <c r="O51" s="147">
        <v>0</v>
      </c>
      <c r="P51" s="148">
        <v>0</v>
      </c>
      <c r="Q51" s="147">
        <v>0</v>
      </c>
      <c r="R51" s="148">
        <v>0</v>
      </c>
      <c r="S51" s="149"/>
      <c r="T51" s="75" t="s">
        <v>419</v>
      </c>
      <c r="U51" s="75" t="s">
        <v>419</v>
      </c>
      <c r="V51" s="75" t="s">
        <v>419</v>
      </c>
      <c r="W51" s="75" t="s">
        <v>419</v>
      </c>
      <c r="X51" s="75" t="s">
        <v>419</v>
      </c>
      <c r="Y51" s="75" t="s">
        <v>419</v>
      </c>
      <c r="Z51" s="75" t="s">
        <v>419</v>
      </c>
      <c r="AA51" s="75">
        <v>0</v>
      </c>
      <c r="AB51" s="75" t="s">
        <v>419</v>
      </c>
      <c r="AC51" s="75">
        <v>0</v>
      </c>
      <c r="AD51" s="75" t="s">
        <v>419</v>
      </c>
      <c r="AW51" s="73" t="str">
        <f>IF(D51="","",IF(O51="",#REF!,""))</f>
        <v/>
      </c>
    </row>
    <row r="52" spans="1:49">
      <c r="A52" s="2">
        <v>43</v>
      </c>
      <c r="B52" s="6">
        <f t="shared" si="5"/>
        <v>0</v>
      </c>
      <c r="C52" s="22">
        <f t="shared" si="6"/>
        <v>0</v>
      </c>
      <c r="D52" s="75"/>
      <c r="E52" s="75"/>
      <c r="F52" s="75"/>
      <c r="G52" s="74"/>
      <c r="H52" s="74"/>
      <c r="I52" s="149"/>
      <c r="J52" s="75"/>
      <c r="K52" s="75" t="str">
        <f>IFERROR(VLOOKUP(J52,'PAINT LABOR COSTS'!$B$60:$C$61,2,FALSE),"Pick Color")</f>
        <v>Pick Color</v>
      </c>
      <c r="L52" s="149"/>
      <c r="M52" s="75"/>
      <c r="N52" s="149"/>
      <c r="O52" s="147">
        <v>0</v>
      </c>
      <c r="P52" s="148">
        <v>0</v>
      </c>
      <c r="Q52" s="147">
        <v>0</v>
      </c>
      <c r="R52" s="148">
        <v>0</v>
      </c>
      <c r="S52" s="149"/>
      <c r="T52" s="75" t="s">
        <v>419</v>
      </c>
      <c r="U52" s="75" t="s">
        <v>419</v>
      </c>
      <c r="V52" s="75" t="s">
        <v>419</v>
      </c>
      <c r="W52" s="75" t="s">
        <v>419</v>
      </c>
      <c r="X52" s="75" t="s">
        <v>419</v>
      </c>
      <c r="Y52" s="75" t="s">
        <v>419</v>
      </c>
      <c r="Z52" s="75" t="s">
        <v>419</v>
      </c>
      <c r="AA52" s="75">
        <v>0</v>
      </c>
      <c r="AB52" s="75" t="s">
        <v>419</v>
      </c>
      <c r="AC52" s="75">
        <v>0</v>
      </c>
      <c r="AD52" s="75" t="s">
        <v>419</v>
      </c>
      <c r="AW52" s="73" t="str">
        <f>IF(D52="","",IF(O52="",#REF!,""))</f>
        <v/>
      </c>
    </row>
    <row r="53" spans="1:49">
      <c r="A53" s="2">
        <v>44</v>
      </c>
      <c r="B53" s="6">
        <f t="shared" si="5"/>
        <v>0</v>
      </c>
      <c r="C53" s="22">
        <f t="shared" si="6"/>
        <v>0</v>
      </c>
      <c r="D53" s="75"/>
      <c r="E53" s="75"/>
      <c r="F53" s="75"/>
      <c r="G53" s="74"/>
      <c r="H53" s="74"/>
      <c r="I53" s="149"/>
      <c r="J53" s="75"/>
      <c r="K53" s="75" t="str">
        <f>IFERROR(VLOOKUP(J53,'PAINT LABOR COSTS'!$B$60:$C$61,2,FALSE),"Pick Color")</f>
        <v>Pick Color</v>
      </c>
      <c r="L53" s="149"/>
      <c r="M53" s="75"/>
      <c r="N53" s="149"/>
      <c r="O53" s="147">
        <v>0</v>
      </c>
      <c r="P53" s="148">
        <v>0</v>
      </c>
      <c r="Q53" s="147">
        <v>0</v>
      </c>
      <c r="R53" s="148">
        <v>0</v>
      </c>
      <c r="S53" s="149"/>
      <c r="T53" s="75" t="s">
        <v>419</v>
      </c>
      <c r="U53" s="75" t="s">
        <v>419</v>
      </c>
      <c r="V53" s="75" t="s">
        <v>419</v>
      </c>
      <c r="W53" s="75" t="s">
        <v>419</v>
      </c>
      <c r="X53" s="75" t="s">
        <v>419</v>
      </c>
      <c r="Y53" s="75" t="s">
        <v>419</v>
      </c>
      <c r="Z53" s="75" t="s">
        <v>419</v>
      </c>
      <c r="AA53" s="75">
        <v>0</v>
      </c>
      <c r="AB53" s="75" t="s">
        <v>419</v>
      </c>
      <c r="AC53" s="75">
        <v>0</v>
      </c>
      <c r="AD53" s="75" t="s">
        <v>419</v>
      </c>
      <c r="AW53" s="73" t="str">
        <f>IF(D53="","",IF(O53="",#REF!,""))</f>
        <v/>
      </c>
    </row>
    <row r="54" spans="1:49">
      <c r="A54" s="2">
        <v>45</v>
      </c>
      <c r="B54" s="6">
        <f t="shared" si="5"/>
        <v>0</v>
      </c>
      <c r="C54" s="22">
        <f t="shared" si="6"/>
        <v>0</v>
      </c>
      <c r="D54" s="75"/>
      <c r="E54" s="75"/>
      <c r="F54" s="75"/>
      <c r="G54" s="74"/>
      <c r="H54" s="74"/>
      <c r="I54" s="149"/>
      <c r="J54" s="75"/>
      <c r="K54" s="75" t="str">
        <f>IFERROR(VLOOKUP(J54,'PAINT LABOR COSTS'!$B$60:$C$61,2,FALSE),"Pick Color")</f>
        <v>Pick Color</v>
      </c>
      <c r="L54" s="149"/>
      <c r="M54" s="75"/>
      <c r="N54" s="149"/>
      <c r="O54" s="147">
        <v>0</v>
      </c>
      <c r="P54" s="148">
        <v>0</v>
      </c>
      <c r="Q54" s="147">
        <v>0</v>
      </c>
      <c r="R54" s="148">
        <v>0</v>
      </c>
      <c r="S54" s="149"/>
      <c r="T54" s="75" t="s">
        <v>419</v>
      </c>
      <c r="U54" s="75" t="s">
        <v>419</v>
      </c>
      <c r="V54" s="75" t="s">
        <v>419</v>
      </c>
      <c r="W54" s="75" t="s">
        <v>419</v>
      </c>
      <c r="X54" s="75" t="s">
        <v>419</v>
      </c>
      <c r="Y54" s="75" t="s">
        <v>419</v>
      </c>
      <c r="Z54" s="75" t="s">
        <v>419</v>
      </c>
      <c r="AA54" s="75">
        <v>0</v>
      </c>
      <c r="AB54" s="75" t="s">
        <v>419</v>
      </c>
      <c r="AC54" s="75">
        <v>0</v>
      </c>
      <c r="AD54" s="75" t="s">
        <v>419</v>
      </c>
      <c r="AW54" s="73" t="str">
        <f>IF(D54="","",IF(O54="",#REF!,""))</f>
        <v/>
      </c>
    </row>
    <row r="55" spans="1:49">
      <c r="A55" s="2">
        <v>46</v>
      </c>
      <c r="B55" s="6">
        <f t="shared" si="5"/>
        <v>0</v>
      </c>
      <c r="C55" s="22">
        <f t="shared" si="6"/>
        <v>0</v>
      </c>
      <c r="D55" s="75"/>
      <c r="E55" s="75"/>
      <c r="F55" s="75"/>
      <c r="G55" s="74"/>
      <c r="H55" s="74"/>
      <c r="I55" s="149"/>
      <c r="J55" s="75"/>
      <c r="K55" s="75" t="str">
        <f>IFERROR(VLOOKUP(J55,'PAINT LABOR COSTS'!$B$60:$C$61,2,FALSE),"Pick Color")</f>
        <v>Pick Color</v>
      </c>
      <c r="L55" s="149"/>
      <c r="M55" s="75"/>
      <c r="N55" s="149"/>
      <c r="O55" s="147">
        <v>0</v>
      </c>
      <c r="P55" s="148">
        <v>0</v>
      </c>
      <c r="Q55" s="147">
        <v>0</v>
      </c>
      <c r="R55" s="148">
        <v>0</v>
      </c>
      <c r="S55" s="149"/>
      <c r="T55" s="75" t="s">
        <v>419</v>
      </c>
      <c r="U55" s="75" t="s">
        <v>419</v>
      </c>
      <c r="V55" s="75" t="s">
        <v>419</v>
      </c>
      <c r="W55" s="75" t="s">
        <v>419</v>
      </c>
      <c r="X55" s="75" t="s">
        <v>419</v>
      </c>
      <c r="Y55" s="75" t="s">
        <v>419</v>
      </c>
      <c r="Z55" s="75" t="s">
        <v>419</v>
      </c>
      <c r="AA55" s="75">
        <v>0</v>
      </c>
      <c r="AB55" s="75" t="s">
        <v>419</v>
      </c>
      <c r="AC55" s="75">
        <v>0</v>
      </c>
      <c r="AD55" s="75" t="s">
        <v>419</v>
      </c>
      <c r="AW55" s="73" t="str">
        <f>IF(D55="","",IF(O55="",#REF!,""))</f>
        <v/>
      </c>
    </row>
    <row r="56" spans="1:49">
      <c r="A56" s="2">
        <v>47</v>
      </c>
      <c r="B56" s="6">
        <f t="shared" si="5"/>
        <v>0</v>
      </c>
      <c r="C56" s="22">
        <f t="shared" si="6"/>
        <v>0</v>
      </c>
      <c r="D56" s="75"/>
      <c r="E56" s="75"/>
      <c r="F56" s="75"/>
      <c r="G56" s="74"/>
      <c r="H56" s="74"/>
      <c r="I56" s="149"/>
      <c r="J56" s="75"/>
      <c r="K56" s="75" t="str">
        <f>IFERROR(VLOOKUP(J56,'PAINT LABOR COSTS'!$B$60:$C$61,2,FALSE),"Pick Color")</f>
        <v>Pick Color</v>
      </c>
      <c r="L56" s="149"/>
      <c r="M56" s="75"/>
      <c r="N56" s="149"/>
      <c r="O56" s="147">
        <v>0</v>
      </c>
      <c r="P56" s="148">
        <v>0</v>
      </c>
      <c r="Q56" s="147">
        <v>0</v>
      </c>
      <c r="R56" s="148">
        <v>0</v>
      </c>
      <c r="S56" s="149"/>
      <c r="T56" s="75" t="s">
        <v>419</v>
      </c>
      <c r="U56" s="75" t="s">
        <v>419</v>
      </c>
      <c r="V56" s="75" t="s">
        <v>419</v>
      </c>
      <c r="W56" s="75" t="s">
        <v>419</v>
      </c>
      <c r="X56" s="75" t="s">
        <v>419</v>
      </c>
      <c r="Y56" s="75" t="s">
        <v>419</v>
      </c>
      <c r="Z56" s="75" t="s">
        <v>419</v>
      </c>
      <c r="AA56" s="75">
        <v>0</v>
      </c>
      <c r="AB56" s="75" t="s">
        <v>419</v>
      </c>
      <c r="AC56" s="75">
        <v>0</v>
      </c>
      <c r="AD56" s="75" t="s">
        <v>419</v>
      </c>
      <c r="AW56" s="73" t="str">
        <f>IF(D56="","",IF(O56="",#REF!,""))</f>
        <v/>
      </c>
    </row>
    <row r="57" spans="1:49">
      <c r="A57" s="2">
        <v>48</v>
      </c>
      <c r="B57" s="6">
        <f t="shared" si="5"/>
        <v>0</v>
      </c>
      <c r="C57" s="22">
        <f t="shared" si="6"/>
        <v>0</v>
      </c>
      <c r="D57" s="75"/>
      <c r="E57" s="75"/>
      <c r="F57" s="75"/>
      <c r="G57" s="74"/>
      <c r="H57" s="74"/>
      <c r="I57" s="149"/>
      <c r="J57" s="75"/>
      <c r="K57" s="75" t="str">
        <f>IFERROR(VLOOKUP(J57,'PAINT LABOR COSTS'!$B$60:$C$61,2,FALSE),"Pick Color")</f>
        <v>Pick Color</v>
      </c>
      <c r="L57" s="149"/>
      <c r="M57" s="75"/>
      <c r="N57" s="149"/>
      <c r="O57" s="147">
        <v>0</v>
      </c>
      <c r="P57" s="148">
        <v>0</v>
      </c>
      <c r="Q57" s="147">
        <v>0</v>
      </c>
      <c r="R57" s="148">
        <v>0</v>
      </c>
      <c r="S57" s="149"/>
      <c r="T57" s="75" t="s">
        <v>419</v>
      </c>
      <c r="U57" s="75" t="s">
        <v>419</v>
      </c>
      <c r="V57" s="75" t="s">
        <v>419</v>
      </c>
      <c r="W57" s="75" t="s">
        <v>419</v>
      </c>
      <c r="X57" s="75" t="s">
        <v>419</v>
      </c>
      <c r="Y57" s="75" t="s">
        <v>419</v>
      </c>
      <c r="Z57" s="75" t="s">
        <v>419</v>
      </c>
      <c r="AA57" s="75">
        <v>0</v>
      </c>
      <c r="AB57" s="75" t="s">
        <v>419</v>
      </c>
      <c r="AC57" s="75">
        <v>0</v>
      </c>
      <c r="AD57" s="75" t="s">
        <v>419</v>
      </c>
      <c r="AW57" s="73" t="str">
        <f>IF(D57="","",IF(O57="",#REF!,""))</f>
        <v/>
      </c>
    </row>
    <row r="58" spans="1:49">
      <c r="A58" s="2">
        <v>49</v>
      </c>
      <c r="B58" s="6">
        <f t="shared" si="5"/>
        <v>0</v>
      </c>
      <c r="C58" s="22">
        <f t="shared" si="6"/>
        <v>0</v>
      </c>
      <c r="D58" s="75"/>
      <c r="E58" s="75"/>
      <c r="F58" s="75"/>
      <c r="G58" s="74"/>
      <c r="H58" s="74"/>
      <c r="I58" s="149"/>
      <c r="J58" s="75"/>
      <c r="K58" s="75" t="str">
        <f>IFERROR(VLOOKUP(J58,'PAINT LABOR COSTS'!$B$60:$C$61,2,FALSE),"Pick Color")</f>
        <v>Pick Color</v>
      </c>
      <c r="L58" s="149"/>
      <c r="M58" s="75"/>
      <c r="N58" s="149"/>
      <c r="O58" s="147">
        <v>0</v>
      </c>
      <c r="P58" s="148">
        <v>0</v>
      </c>
      <c r="Q58" s="147">
        <v>0</v>
      </c>
      <c r="R58" s="148">
        <v>0</v>
      </c>
      <c r="S58" s="149"/>
      <c r="T58" s="75" t="s">
        <v>419</v>
      </c>
      <c r="U58" s="75" t="s">
        <v>419</v>
      </c>
      <c r="V58" s="75" t="s">
        <v>419</v>
      </c>
      <c r="W58" s="75" t="s">
        <v>419</v>
      </c>
      <c r="X58" s="75" t="s">
        <v>419</v>
      </c>
      <c r="Y58" s="75" t="s">
        <v>419</v>
      </c>
      <c r="Z58" s="75" t="s">
        <v>419</v>
      </c>
      <c r="AA58" s="75">
        <v>0</v>
      </c>
      <c r="AB58" s="75" t="s">
        <v>419</v>
      </c>
      <c r="AC58" s="75">
        <v>0</v>
      </c>
      <c r="AD58" s="75" t="s">
        <v>419</v>
      </c>
      <c r="AW58" s="73" t="str">
        <f>IF(D58="","",IF(O58="",#REF!,""))</f>
        <v/>
      </c>
    </row>
    <row r="59" spans="1:49">
      <c r="A59" s="2">
        <v>50</v>
      </c>
      <c r="B59" s="6">
        <f t="shared" si="5"/>
        <v>0</v>
      </c>
      <c r="C59" s="22">
        <f t="shared" si="6"/>
        <v>0</v>
      </c>
      <c r="D59" s="75"/>
      <c r="E59" s="75"/>
      <c r="F59" s="75"/>
      <c r="G59" s="74"/>
      <c r="H59" s="74"/>
      <c r="I59" s="149"/>
      <c r="J59" s="75"/>
      <c r="K59" s="75" t="str">
        <f>IFERROR(VLOOKUP(J59,'PAINT LABOR COSTS'!$B$60:$C$61,2,FALSE),"Pick Color")</f>
        <v>Pick Color</v>
      </c>
      <c r="L59" s="149"/>
      <c r="M59" s="75"/>
      <c r="N59" s="149"/>
      <c r="O59" s="147">
        <v>0</v>
      </c>
      <c r="P59" s="148">
        <v>0</v>
      </c>
      <c r="Q59" s="147">
        <v>0</v>
      </c>
      <c r="R59" s="148">
        <v>0</v>
      </c>
      <c r="S59" s="149"/>
      <c r="T59" s="75" t="s">
        <v>419</v>
      </c>
      <c r="U59" s="75" t="s">
        <v>419</v>
      </c>
      <c r="V59" s="75" t="s">
        <v>419</v>
      </c>
      <c r="W59" s="75" t="s">
        <v>419</v>
      </c>
      <c r="X59" s="75" t="s">
        <v>419</v>
      </c>
      <c r="Y59" s="75" t="s">
        <v>419</v>
      </c>
      <c r="Z59" s="75" t="s">
        <v>419</v>
      </c>
      <c r="AA59" s="75">
        <v>0</v>
      </c>
      <c r="AB59" s="75" t="s">
        <v>419</v>
      </c>
      <c r="AC59" s="75">
        <v>0</v>
      </c>
      <c r="AD59" s="75" t="s">
        <v>419</v>
      </c>
      <c r="AW59" s="73" t="str">
        <f>IF(D59="","",IF(O59="",#REF!,""))</f>
        <v/>
      </c>
    </row>
    <row r="60" spans="1:49">
      <c r="A60" s="2">
        <v>51</v>
      </c>
      <c r="B60" s="6">
        <f t="shared" si="5"/>
        <v>0</v>
      </c>
      <c r="C60" s="22">
        <f t="shared" si="6"/>
        <v>0</v>
      </c>
      <c r="D60" s="75"/>
      <c r="E60" s="75"/>
      <c r="F60" s="75"/>
      <c r="G60" s="74"/>
      <c r="H60" s="74"/>
      <c r="I60" s="149"/>
      <c r="J60" s="75"/>
      <c r="K60" s="75" t="str">
        <f>IFERROR(VLOOKUP(J60,'PAINT LABOR COSTS'!$B$60:$C$61,2,FALSE),"Pick Color")</f>
        <v>Pick Color</v>
      </c>
      <c r="L60" s="149"/>
      <c r="M60" s="75"/>
      <c r="N60" s="149"/>
      <c r="O60" s="147">
        <v>0</v>
      </c>
      <c r="P60" s="148">
        <v>0</v>
      </c>
      <c r="Q60" s="147">
        <v>0</v>
      </c>
      <c r="R60" s="148">
        <v>0</v>
      </c>
      <c r="S60" s="149"/>
      <c r="T60" s="75" t="s">
        <v>419</v>
      </c>
      <c r="U60" s="75" t="s">
        <v>419</v>
      </c>
      <c r="V60" s="75" t="s">
        <v>419</v>
      </c>
      <c r="W60" s="75" t="s">
        <v>419</v>
      </c>
      <c r="X60" s="75" t="s">
        <v>419</v>
      </c>
      <c r="Y60" s="75" t="s">
        <v>419</v>
      </c>
      <c r="Z60" s="75" t="s">
        <v>419</v>
      </c>
      <c r="AA60" s="75">
        <v>0</v>
      </c>
      <c r="AB60" s="75" t="s">
        <v>419</v>
      </c>
      <c r="AC60" s="75">
        <v>0</v>
      </c>
      <c r="AD60" s="75" t="s">
        <v>419</v>
      </c>
      <c r="AW60" s="73" t="str">
        <f>IF(D60="","",IF(O60="",#REF!,""))</f>
        <v/>
      </c>
    </row>
    <row r="61" spans="1:49">
      <c r="A61" s="2">
        <v>52</v>
      </c>
      <c r="B61" s="6">
        <f t="shared" si="5"/>
        <v>0</v>
      </c>
      <c r="C61" s="22">
        <f t="shared" si="6"/>
        <v>0</v>
      </c>
      <c r="D61" s="75"/>
      <c r="E61" s="75"/>
      <c r="F61" s="75"/>
      <c r="G61" s="74"/>
      <c r="H61" s="74"/>
      <c r="I61" s="149"/>
      <c r="J61" s="75"/>
      <c r="K61" s="75" t="str">
        <f>IFERROR(VLOOKUP(J61,'PAINT LABOR COSTS'!$B$60:$C$61,2,FALSE),"Pick Color")</f>
        <v>Pick Color</v>
      </c>
      <c r="L61" s="149"/>
      <c r="M61" s="75"/>
      <c r="N61" s="149"/>
      <c r="O61" s="147">
        <v>0</v>
      </c>
      <c r="P61" s="148">
        <v>0</v>
      </c>
      <c r="Q61" s="147">
        <v>0</v>
      </c>
      <c r="R61" s="148">
        <v>0</v>
      </c>
      <c r="S61" s="149"/>
      <c r="T61" s="75" t="s">
        <v>419</v>
      </c>
      <c r="U61" s="75" t="s">
        <v>419</v>
      </c>
      <c r="V61" s="75" t="s">
        <v>419</v>
      </c>
      <c r="W61" s="75" t="s">
        <v>419</v>
      </c>
      <c r="X61" s="75" t="s">
        <v>419</v>
      </c>
      <c r="Y61" s="75" t="s">
        <v>419</v>
      </c>
      <c r="Z61" s="75" t="s">
        <v>419</v>
      </c>
      <c r="AA61" s="75">
        <v>0</v>
      </c>
      <c r="AB61" s="75" t="s">
        <v>419</v>
      </c>
      <c r="AC61" s="75">
        <v>0</v>
      </c>
      <c r="AD61" s="75" t="s">
        <v>419</v>
      </c>
      <c r="AW61" s="73" t="str">
        <f>IF(D61="","",IF(O61="",#REF!,""))</f>
        <v/>
      </c>
    </row>
    <row r="62" spans="1:49">
      <c r="A62" s="2">
        <v>53</v>
      </c>
      <c r="B62" s="6">
        <f t="shared" si="5"/>
        <v>0</v>
      </c>
      <c r="C62" s="22">
        <f t="shared" si="6"/>
        <v>0</v>
      </c>
      <c r="D62" s="75"/>
      <c r="E62" s="75"/>
      <c r="F62" s="75"/>
      <c r="G62" s="74"/>
      <c r="H62" s="74"/>
      <c r="I62" s="149"/>
      <c r="J62" s="75"/>
      <c r="K62" s="75" t="str">
        <f>IFERROR(VLOOKUP(J62,'PAINT LABOR COSTS'!$B$60:$C$61,2,FALSE),"Pick Color")</f>
        <v>Pick Color</v>
      </c>
      <c r="L62" s="149"/>
      <c r="M62" s="75"/>
      <c r="N62" s="149"/>
      <c r="O62" s="147">
        <v>0</v>
      </c>
      <c r="P62" s="148">
        <v>0</v>
      </c>
      <c r="Q62" s="147">
        <v>0</v>
      </c>
      <c r="R62" s="148">
        <v>0</v>
      </c>
      <c r="S62" s="149"/>
      <c r="T62" s="75" t="s">
        <v>419</v>
      </c>
      <c r="U62" s="75" t="s">
        <v>419</v>
      </c>
      <c r="V62" s="75" t="s">
        <v>419</v>
      </c>
      <c r="W62" s="75" t="s">
        <v>419</v>
      </c>
      <c r="X62" s="75" t="s">
        <v>419</v>
      </c>
      <c r="Y62" s="75" t="s">
        <v>419</v>
      </c>
      <c r="Z62" s="75" t="s">
        <v>419</v>
      </c>
      <c r="AA62" s="75">
        <v>0</v>
      </c>
      <c r="AB62" s="75" t="s">
        <v>419</v>
      </c>
      <c r="AC62" s="75">
        <v>0</v>
      </c>
      <c r="AD62" s="75" t="s">
        <v>419</v>
      </c>
      <c r="AW62" s="73" t="str">
        <f>IF(D62="","",IF(O62="",#REF!,""))</f>
        <v/>
      </c>
    </row>
    <row r="63" spans="1:49">
      <c r="A63" s="2">
        <v>54</v>
      </c>
      <c r="B63" s="6">
        <f t="shared" si="5"/>
        <v>0</v>
      </c>
      <c r="C63" s="22">
        <f t="shared" si="6"/>
        <v>0</v>
      </c>
      <c r="D63" s="75"/>
      <c r="E63" s="75"/>
      <c r="F63" s="75"/>
      <c r="G63" s="74"/>
      <c r="H63" s="74"/>
      <c r="I63" s="149"/>
      <c r="J63" s="75"/>
      <c r="K63" s="75" t="str">
        <f>IFERROR(VLOOKUP(J63,'PAINT LABOR COSTS'!$B$60:$C$61,2,FALSE),"Pick Color")</f>
        <v>Pick Color</v>
      </c>
      <c r="L63" s="149"/>
      <c r="M63" s="75"/>
      <c r="N63" s="149"/>
      <c r="O63" s="147">
        <v>0</v>
      </c>
      <c r="P63" s="148">
        <v>0</v>
      </c>
      <c r="Q63" s="147">
        <v>0</v>
      </c>
      <c r="R63" s="148">
        <v>0</v>
      </c>
      <c r="S63" s="149"/>
      <c r="T63" s="75" t="s">
        <v>419</v>
      </c>
      <c r="U63" s="75" t="s">
        <v>419</v>
      </c>
      <c r="V63" s="75" t="s">
        <v>419</v>
      </c>
      <c r="W63" s="75" t="s">
        <v>419</v>
      </c>
      <c r="X63" s="75" t="s">
        <v>419</v>
      </c>
      <c r="Y63" s="75" t="s">
        <v>419</v>
      </c>
      <c r="Z63" s="75" t="s">
        <v>419</v>
      </c>
      <c r="AA63" s="75">
        <v>0</v>
      </c>
      <c r="AB63" s="75" t="s">
        <v>419</v>
      </c>
      <c r="AC63" s="75">
        <v>0</v>
      </c>
      <c r="AD63" s="75" t="s">
        <v>419</v>
      </c>
      <c r="AW63" s="73" t="str">
        <f>IF(D63="","",IF(O63="",#REF!,""))</f>
        <v/>
      </c>
    </row>
    <row r="64" spans="1:49">
      <c r="A64" s="2">
        <v>55</v>
      </c>
      <c r="B64" s="6">
        <f t="shared" si="5"/>
        <v>0</v>
      </c>
      <c r="C64" s="22">
        <f t="shared" si="6"/>
        <v>0</v>
      </c>
      <c r="D64" s="75"/>
      <c r="E64" s="75"/>
      <c r="F64" s="75"/>
      <c r="G64" s="74"/>
      <c r="H64" s="74"/>
      <c r="I64" s="149"/>
      <c r="J64" s="75"/>
      <c r="K64" s="75" t="str">
        <f>IFERROR(VLOOKUP(J64,'PAINT LABOR COSTS'!$B$60:$C$61,2,FALSE),"Pick Color")</f>
        <v>Pick Color</v>
      </c>
      <c r="L64" s="149"/>
      <c r="M64" s="75"/>
      <c r="N64" s="149"/>
      <c r="O64" s="147">
        <v>0</v>
      </c>
      <c r="P64" s="148">
        <v>0</v>
      </c>
      <c r="Q64" s="147">
        <v>0</v>
      </c>
      <c r="R64" s="148">
        <v>0</v>
      </c>
      <c r="S64" s="149"/>
      <c r="T64" s="75" t="s">
        <v>419</v>
      </c>
      <c r="U64" s="75" t="s">
        <v>419</v>
      </c>
      <c r="V64" s="75" t="s">
        <v>419</v>
      </c>
      <c r="W64" s="75" t="s">
        <v>419</v>
      </c>
      <c r="X64" s="75" t="s">
        <v>419</v>
      </c>
      <c r="Y64" s="75" t="s">
        <v>419</v>
      </c>
      <c r="Z64" s="75" t="s">
        <v>419</v>
      </c>
      <c r="AA64" s="75">
        <v>0</v>
      </c>
      <c r="AB64" s="75" t="s">
        <v>419</v>
      </c>
      <c r="AC64" s="75">
        <v>0</v>
      </c>
      <c r="AD64" s="75" t="s">
        <v>419</v>
      </c>
      <c r="AW64" s="73" t="str">
        <f>IF(D64="","",IF(O64="",#REF!,""))</f>
        <v/>
      </c>
    </row>
    <row r="65" spans="1:49">
      <c r="A65" s="2">
        <v>56</v>
      </c>
      <c r="B65" s="6">
        <f t="shared" si="5"/>
        <v>0</v>
      </c>
      <c r="C65" s="22">
        <f t="shared" si="6"/>
        <v>0</v>
      </c>
      <c r="D65" s="75"/>
      <c r="E65" s="75"/>
      <c r="F65" s="75"/>
      <c r="G65" s="74"/>
      <c r="H65" s="74"/>
      <c r="I65" s="149"/>
      <c r="J65" s="75"/>
      <c r="K65" s="75" t="str">
        <f>IFERROR(VLOOKUP(J65,'PAINT LABOR COSTS'!$B$60:$C$61,2,FALSE),"Pick Color")</f>
        <v>Pick Color</v>
      </c>
      <c r="L65" s="149"/>
      <c r="M65" s="75"/>
      <c r="N65" s="149"/>
      <c r="O65" s="147">
        <v>0</v>
      </c>
      <c r="P65" s="148">
        <v>0</v>
      </c>
      <c r="Q65" s="147">
        <v>0</v>
      </c>
      <c r="R65" s="148">
        <v>0</v>
      </c>
      <c r="S65" s="149"/>
      <c r="T65" s="75" t="s">
        <v>419</v>
      </c>
      <c r="U65" s="75" t="s">
        <v>419</v>
      </c>
      <c r="V65" s="75" t="s">
        <v>419</v>
      </c>
      <c r="W65" s="75" t="s">
        <v>419</v>
      </c>
      <c r="X65" s="75" t="s">
        <v>419</v>
      </c>
      <c r="Y65" s="75" t="s">
        <v>419</v>
      </c>
      <c r="Z65" s="75" t="s">
        <v>419</v>
      </c>
      <c r="AA65" s="75">
        <v>0</v>
      </c>
      <c r="AB65" s="75" t="s">
        <v>419</v>
      </c>
      <c r="AC65" s="75">
        <v>0</v>
      </c>
      <c r="AD65" s="75" t="s">
        <v>419</v>
      </c>
      <c r="AW65" s="73" t="str">
        <f>IF(D65="","",IF(O65="",#REF!,""))</f>
        <v/>
      </c>
    </row>
    <row r="66" spans="1:49">
      <c r="A66" s="2">
        <v>57</v>
      </c>
      <c r="B66" s="6">
        <f t="shared" si="5"/>
        <v>0</v>
      </c>
      <c r="C66" s="22">
        <f t="shared" si="6"/>
        <v>0</v>
      </c>
      <c r="D66" s="75"/>
      <c r="E66" s="75"/>
      <c r="F66" s="75"/>
      <c r="G66" s="74"/>
      <c r="H66" s="74"/>
      <c r="I66" s="149"/>
      <c r="J66" s="75"/>
      <c r="K66" s="75" t="str">
        <f>IFERROR(VLOOKUP(J66,'PAINT LABOR COSTS'!$B$60:$C$61,2,FALSE),"Pick Color")</f>
        <v>Pick Color</v>
      </c>
      <c r="L66" s="149"/>
      <c r="M66" s="75"/>
      <c r="N66" s="149"/>
      <c r="O66" s="147">
        <v>0</v>
      </c>
      <c r="P66" s="148">
        <v>0</v>
      </c>
      <c r="Q66" s="147">
        <v>0</v>
      </c>
      <c r="R66" s="148">
        <v>0</v>
      </c>
      <c r="S66" s="149"/>
      <c r="T66" s="75" t="s">
        <v>419</v>
      </c>
      <c r="U66" s="75" t="s">
        <v>419</v>
      </c>
      <c r="V66" s="75" t="s">
        <v>419</v>
      </c>
      <c r="W66" s="75" t="s">
        <v>419</v>
      </c>
      <c r="X66" s="75" t="s">
        <v>419</v>
      </c>
      <c r="Y66" s="75" t="s">
        <v>419</v>
      </c>
      <c r="Z66" s="75" t="s">
        <v>419</v>
      </c>
      <c r="AA66" s="75">
        <v>0</v>
      </c>
      <c r="AB66" s="75" t="s">
        <v>419</v>
      </c>
      <c r="AC66" s="75">
        <v>0</v>
      </c>
      <c r="AD66" s="75" t="s">
        <v>419</v>
      </c>
      <c r="AW66" s="73" t="str">
        <f>IF(D66="","",IF(O66="",#REF!,""))</f>
        <v/>
      </c>
    </row>
    <row r="67" spans="1:49">
      <c r="A67" s="2">
        <v>58</v>
      </c>
      <c r="B67" s="6">
        <f t="shared" si="5"/>
        <v>0</v>
      </c>
      <c r="C67" s="22">
        <f t="shared" si="6"/>
        <v>0</v>
      </c>
      <c r="D67" s="75"/>
      <c r="E67" s="75"/>
      <c r="F67" s="75"/>
      <c r="G67" s="74"/>
      <c r="H67" s="74"/>
      <c r="I67" s="149"/>
      <c r="J67" s="75"/>
      <c r="K67" s="75" t="str">
        <f>IFERROR(VLOOKUP(J67,'PAINT LABOR COSTS'!$B$60:$C$61,2,FALSE),"Pick Color")</f>
        <v>Pick Color</v>
      </c>
      <c r="L67" s="149"/>
      <c r="M67" s="75"/>
      <c r="N67" s="149"/>
      <c r="O67" s="147">
        <v>0</v>
      </c>
      <c r="P67" s="148">
        <v>0</v>
      </c>
      <c r="Q67" s="147">
        <v>0</v>
      </c>
      <c r="R67" s="148">
        <v>0</v>
      </c>
      <c r="S67" s="149"/>
      <c r="T67" s="75" t="s">
        <v>419</v>
      </c>
      <c r="U67" s="75" t="s">
        <v>419</v>
      </c>
      <c r="V67" s="75" t="s">
        <v>419</v>
      </c>
      <c r="W67" s="75" t="s">
        <v>419</v>
      </c>
      <c r="X67" s="75" t="s">
        <v>419</v>
      </c>
      <c r="Y67" s="75" t="s">
        <v>419</v>
      </c>
      <c r="Z67" s="75" t="s">
        <v>419</v>
      </c>
      <c r="AA67" s="75">
        <v>0</v>
      </c>
      <c r="AB67" s="75" t="s">
        <v>419</v>
      </c>
      <c r="AC67" s="75">
        <v>0</v>
      </c>
      <c r="AD67" s="75" t="s">
        <v>419</v>
      </c>
      <c r="AW67" s="73" t="str">
        <f>IF(D67="","",IF(O67="",#REF!,""))</f>
        <v/>
      </c>
    </row>
    <row r="68" spans="1:49">
      <c r="A68" s="2">
        <v>59</v>
      </c>
      <c r="B68" s="6">
        <f t="shared" si="5"/>
        <v>0</v>
      </c>
      <c r="C68" s="22">
        <f t="shared" si="6"/>
        <v>0</v>
      </c>
      <c r="D68" s="75"/>
      <c r="E68" s="75"/>
      <c r="F68" s="75"/>
      <c r="G68" s="74"/>
      <c r="H68" s="74"/>
      <c r="I68" s="149"/>
      <c r="J68" s="75"/>
      <c r="K68" s="75" t="str">
        <f>IFERROR(VLOOKUP(J68,'PAINT LABOR COSTS'!$B$60:$C$61,2,FALSE),"Pick Color")</f>
        <v>Pick Color</v>
      </c>
      <c r="L68" s="149"/>
      <c r="M68" s="75"/>
      <c r="N68" s="149"/>
      <c r="O68" s="147">
        <v>0</v>
      </c>
      <c r="P68" s="148">
        <v>0</v>
      </c>
      <c r="Q68" s="147">
        <v>0</v>
      </c>
      <c r="R68" s="148">
        <v>0</v>
      </c>
      <c r="S68" s="149"/>
      <c r="T68" s="75" t="s">
        <v>419</v>
      </c>
      <c r="U68" s="75" t="s">
        <v>419</v>
      </c>
      <c r="V68" s="75" t="s">
        <v>419</v>
      </c>
      <c r="W68" s="75" t="s">
        <v>419</v>
      </c>
      <c r="X68" s="75" t="s">
        <v>419</v>
      </c>
      <c r="Y68" s="75" t="s">
        <v>419</v>
      </c>
      <c r="Z68" s="75" t="s">
        <v>419</v>
      </c>
      <c r="AA68" s="75">
        <v>0</v>
      </c>
      <c r="AB68" s="75" t="s">
        <v>419</v>
      </c>
      <c r="AC68" s="75">
        <v>0</v>
      </c>
      <c r="AD68" s="75" t="s">
        <v>419</v>
      </c>
      <c r="AW68" s="73" t="str">
        <f>IF(D68="","",IF(O68="",#REF!,""))</f>
        <v/>
      </c>
    </row>
    <row r="69" spans="1:49">
      <c r="A69" s="2">
        <v>60</v>
      </c>
      <c r="B69" s="6">
        <f t="shared" si="5"/>
        <v>0</v>
      </c>
      <c r="C69" s="22">
        <f t="shared" si="6"/>
        <v>0</v>
      </c>
      <c r="D69" s="75"/>
      <c r="E69" s="75"/>
      <c r="F69" s="75"/>
      <c r="G69" s="74"/>
      <c r="H69" s="74"/>
      <c r="I69" s="149"/>
      <c r="J69" s="75"/>
      <c r="K69" s="75" t="str">
        <f>IFERROR(VLOOKUP(J69,'PAINT LABOR COSTS'!$B$60:$C$61,2,FALSE),"Pick Color")</f>
        <v>Pick Color</v>
      </c>
      <c r="L69" s="149"/>
      <c r="M69" s="75"/>
      <c r="N69" s="149"/>
      <c r="O69" s="147">
        <v>0</v>
      </c>
      <c r="P69" s="148">
        <v>0</v>
      </c>
      <c r="Q69" s="147">
        <v>0</v>
      </c>
      <c r="R69" s="148">
        <v>0</v>
      </c>
      <c r="S69" s="149"/>
      <c r="T69" s="75" t="s">
        <v>419</v>
      </c>
      <c r="U69" s="75" t="s">
        <v>419</v>
      </c>
      <c r="V69" s="75" t="s">
        <v>419</v>
      </c>
      <c r="W69" s="75" t="s">
        <v>419</v>
      </c>
      <c r="X69" s="75" t="s">
        <v>419</v>
      </c>
      <c r="Y69" s="75" t="s">
        <v>419</v>
      </c>
      <c r="Z69" s="75" t="s">
        <v>419</v>
      </c>
      <c r="AA69" s="75">
        <v>0</v>
      </c>
      <c r="AB69" s="75" t="s">
        <v>419</v>
      </c>
      <c r="AC69" s="75">
        <v>0</v>
      </c>
      <c r="AD69" s="75" t="s">
        <v>419</v>
      </c>
      <c r="AW69" s="73" t="str">
        <f>IF(D69="","",IF(O69="",#REF!,""))</f>
        <v/>
      </c>
    </row>
    <row r="70" spans="1:49">
      <c r="A70" s="2">
        <v>61</v>
      </c>
      <c r="B70" s="6">
        <f t="shared" si="5"/>
        <v>0</v>
      </c>
      <c r="C70" s="22">
        <f t="shared" si="6"/>
        <v>0</v>
      </c>
      <c r="D70" s="75"/>
      <c r="E70" s="75"/>
      <c r="F70" s="75"/>
      <c r="G70" s="74"/>
      <c r="H70" s="74"/>
      <c r="I70" s="149"/>
      <c r="J70" s="75"/>
      <c r="K70" s="75" t="str">
        <f>IFERROR(VLOOKUP(J70,'PAINT LABOR COSTS'!$B$60:$C$61,2,FALSE),"Pick Color")</f>
        <v>Pick Color</v>
      </c>
      <c r="L70" s="149"/>
      <c r="M70" s="75"/>
      <c r="N70" s="149"/>
      <c r="O70" s="147">
        <v>0</v>
      </c>
      <c r="P70" s="148">
        <v>0</v>
      </c>
      <c r="Q70" s="147">
        <v>0</v>
      </c>
      <c r="R70" s="148">
        <v>0</v>
      </c>
      <c r="S70" s="149"/>
      <c r="T70" s="75" t="s">
        <v>419</v>
      </c>
      <c r="U70" s="75" t="s">
        <v>419</v>
      </c>
      <c r="V70" s="75" t="s">
        <v>419</v>
      </c>
      <c r="W70" s="75" t="s">
        <v>419</v>
      </c>
      <c r="X70" s="75" t="s">
        <v>419</v>
      </c>
      <c r="Y70" s="75" t="s">
        <v>419</v>
      </c>
      <c r="Z70" s="75" t="s">
        <v>419</v>
      </c>
      <c r="AA70" s="75">
        <v>0</v>
      </c>
      <c r="AB70" s="75" t="s">
        <v>419</v>
      </c>
      <c r="AC70" s="75">
        <v>0</v>
      </c>
      <c r="AD70" s="75" t="s">
        <v>419</v>
      </c>
      <c r="AW70" s="73" t="str">
        <f>IF(D70="","",IF(O70="",#REF!,""))</f>
        <v/>
      </c>
    </row>
    <row r="71" spans="1:49">
      <c r="A71" s="2">
        <v>62</v>
      </c>
      <c r="B71" s="6">
        <f t="shared" si="5"/>
        <v>0</v>
      </c>
      <c r="C71" s="22">
        <f t="shared" si="6"/>
        <v>0</v>
      </c>
      <c r="D71" s="75"/>
      <c r="E71" s="75"/>
      <c r="F71" s="75"/>
      <c r="G71" s="74"/>
      <c r="H71" s="74"/>
      <c r="I71" s="149"/>
      <c r="J71" s="75"/>
      <c r="K71" s="75" t="str">
        <f>IFERROR(VLOOKUP(J71,'PAINT LABOR COSTS'!$B$60:$C$61,2,FALSE),"Pick Color")</f>
        <v>Pick Color</v>
      </c>
      <c r="L71" s="149"/>
      <c r="M71" s="75"/>
      <c r="N71" s="149"/>
      <c r="O71" s="147">
        <v>0</v>
      </c>
      <c r="P71" s="148">
        <v>0</v>
      </c>
      <c r="Q71" s="147">
        <v>0</v>
      </c>
      <c r="R71" s="148">
        <v>0</v>
      </c>
      <c r="S71" s="149"/>
      <c r="T71" s="75" t="s">
        <v>419</v>
      </c>
      <c r="U71" s="75" t="s">
        <v>419</v>
      </c>
      <c r="V71" s="75" t="s">
        <v>419</v>
      </c>
      <c r="W71" s="75" t="s">
        <v>419</v>
      </c>
      <c r="X71" s="75" t="s">
        <v>419</v>
      </c>
      <c r="Y71" s="75" t="s">
        <v>419</v>
      </c>
      <c r="Z71" s="75" t="s">
        <v>419</v>
      </c>
      <c r="AA71" s="75">
        <v>0</v>
      </c>
      <c r="AB71" s="75" t="s">
        <v>419</v>
      </c>
      <c r="AC71" s="75">
        <v>0</v>
      </c>
      <c r="AD71" s="75" t="s">
        <v>419</v>
      </c>
      <c r="AW71" s="73" t="str">
        <f>IF(D71="","",IF(O71="",#REF!,""))</f>
        <v/>
      </c>
    </row>
    <row r="72" spans="1:49">
      <c r="A72" s="2">
        <v>63</v>
      </c>
      <c r="B72" s="6">
        <f t="shared" si="5"/>
        <v>0</v>
      </c>
      <c r="C72" s="22">
        <f t="shared" si="6"/>
        <v>0</v>
      </c>
      <c r="D72" s="75"/>
      <c r="E72" s="75"/>
      <c r="F72" s="75"/>
      <c r="G72" s="74"/>
      <c r="H72" s="74"/>
      <c r="I72" s="149"/>
      <c r="J72" s="75"/>
      <c r="K72" s="75" t="str">
        <f>IFERROR(VLOOKUP(J72,'PAINT LABOR COSTS'!$B$60:$C$61,2,FALSE),"Pick Color")</f>
        <v>Pick Color</v>
      </c>
      <c r="L72" s="149"/>
      <c r="M72" s="75"/>
      <c r="N72" s="149"/>
      <c r="O72" s="147">
        <v>0</v>
      </c>
      <c r="P72" s="148">
        <v>0</v>
      </c>
      <c r="Q72" s="147">
        <v>0</v>
      </c>
      <c r="R72" s="148">
        <v>0</v>
      </c>
      <c r="S72" s="149"/>
      <c r="T72" s="75" t="s">
        <v>419</v>
      </c>
      <c r="U72" s="75" t="s">
        <v>419</v>
      </c>
      <c r="V72" s="75" t="s">
        <v>419</v>
      </c>
      <c r="W72" s="75" t="s">
        <v>419</v>
      </c>
      <c r="X72" s="75" t="s">
        <v>419</v>
      </c>
      <c r="Y72" s="75" t="s">
        <v>419</v>
      </c>
      <c r="Z72" s="75" t="s">
        <v>419</v>
      </c>
      <c r="AA72" s="75">
        <v>0</v>
      </c>
      <c r="AB72" s="75" t="s">
        <v>419</v>
      </c>
      <c r="AC72" s="75">
        <v>0</v>
      </c>
      <c r="AD72" s="75" t="s">
        <v>419</v>
      </c>
      <c r="AW72" s="73" t="str">
        <f>IF(D72="","",IF(O72="",#REF!,""))</f>
        <v/>
      </c>
    </row>
    <row r="73" spans="1:49">
      <c r="A73" s="2">
        <v>64</v>
      </c>
      <c r="B73" s="6">
        <f t="shared" si="5"/>
        <v>0</v>
      </c>
      <c r="C73" s="22">
        <f t="shared" si="6"/>
        <v>0</v>
      </c>
      <c r="D73" s="75"/>
      <c r="E73" s="75"/>
      <c r="F73" s="75"/>
      <c r="G73" s="74"/>
      <c r="H73" s="74"/>
      <c r="I73" s="149"/>
      <c r="J73" s="75"/>
      <c r="K73" s="75" t="str">
        <f>IFERROR(VLOOKUP(J73,'PAINT LABOR COSTS'!$B$60:$C$61,2,FALSE),"Pick Color")</f>
        <v>Pick Color</v>
      </c>
      <c r="L73" s="149"/>
      <c r="M73" s="75"/>
      <c r="N73" s="149"/>
      <c r="O73" s="147">
        <v>0</v>
      </c>
      <c r="P73" s="148">
        <v>0</v>
      </c>
      <c r="Q73" s="147">
        <v>0</v>
      </c>
      <c r="R73" s="148">
        <v>0</v>
      </c>
      <c r="S73" s="149"/>
      <c r="T73" s="75" t="s">
        <v>419</v>
      </c>
      <c r="U73" s="75" t="s">
        <v>419</v>
      </c>
      <c r="V73" s="75" t="s">
        <v>419</v>
      </c>
      <c r="W73" s="75" t="s">
        <v>419</v>
      </c>
      <c r="X73" s="75" t="s">
        <v>419</v>
      </c>
      <c r="Y73" s="75" t="s">
        <v>419</v>
      </c>
      <c r="Z73" s="75" t="s">
        <v>419</v>
      </c>
      <c r="AA73" s="75">
        <v>0</v>
      </c>
      <c r="AB73" s="75" t="s">
        <v>419</v>
      </c>
      <c r="AC73" s="75">
        <v>0</v>
      </c>
      <c r="AD73" s="75" t="s">
        <v>419</v>
      </c>
      <c r="AW73" s="73" t="str">
        <f>IF(D73="","",IF(O73="",#REF!,""))</f>
        <v/>
      </c>
    </row>
    <row r="74" spans="1:49">
      <c r="A74" s="2">
        <v>65</v>
      </c>
      <c r="B74" s="6">
        <f t="shared" si="5"/>
        <v>0</v>
      </c>
      <c r="C74" s="22">
        <f t="shared" si="6"/>
        <v>0</v>
      </c>
      <c r="D74" s="75"/>
      <c r="E74" s="75"/>
      <c r="F74" s="75"/>
      <c r="G74" s="74"/>
      <c r="H74" s="74"/>
      <c r="I74" s="149"/>
      <c r="J74" s="75"/>
      <c r="K74" s="75" t="str">
        <f>IFERROR(VLOOKUP(J74,'PAINT LABOR COSTS'!$B$60:$C$61,2,FALSE),"Pick Color")</f>
        <v>Pick Color</v>
      </c>
      <c r="L74" s="149"/>
      <c r="M74" s="75"/>
      <c r="N74" s="149"/>
      <c r="O74" s="147">
        <v>0</v>
      </c>
      <c r="P74" s="148">
        <v>0</v>
      </c>
      <c r="Q74" s="147">
        <v>0</v>
      </c>
      <c r="R74" s="148">
        <v>0</v>
      </c>
      <c r="S74" s="149"/>
      <c r="T74" s="75" t="s">
        <v>419</v>
      </c>
      <c r="U74" s="75" t="s">
        <v>419</v>
      </c>
      <c r="V74" s="75" t="s">
        <v>419</v>
      </c>
      <c r="W74" s="75" t="s">
        <v>419</v>
      </c>
      <c r="X74" s="75" t="s">
        <v>419</v>
      </c>
      <c r="Y74" s="75" t="s">
        <v>419</v>
      </c>
      <c r="Z74" s="75" t="s">
        <v>419</v>
      </c>
      <c r="AA74" s="75">
        <v>0</v>
      </c>
      <c r="AB74" s="75" t="s">
        <v>419</v>
      </c>
      <c r="AC74" s="75">
        <v>0</v>
      </c>
      <c r="AD74" s="75" t="s">
        <v>419</v>
      </c>
      <c r="AW74" s="73" t="str">
        <f>IF(D74="","",IF(O74="",#REF!,""))</f>
        <v/>
      </c>
    </row>
    <row r="75" spans="1:49">
      <c r="A75" s="2">
        <v>66</v>
      </c>
      <c r="B75" s="6">
        <f t="shared" si="5"/>
        <v>0</v>
      </c>
      <c r="C75" s="22">
        <f t="shared" si="6"/>
        <v>0</v>
      </c>
      <c r="D75" s="75"/>
      <c r="E75" s="75"/>
      <c r="F75" s="75"/>
      <c r="G75" s="74"/>
      <c r="H75" s="74"/>
      <c r="I75" s="149"/>
      <c r="J75" s="75"/>
      <c r="K75" s="75" t="str">
        <f>IFERROR(VLOOKUP(J75,'PAINT LABOR COSTS'!$B$60:$C$61,2,FALSE),"Pick Color")</f>
        <v>Pick Color</v>
      </c>
      <c r="L75" s="149"/>
      <c r="M75" s="75"/>
      <c r="N75" s="149"/>
      <c r="O75" s="147">
        <v>0</v>
      </c>
      <c r="P75" s="148">
        <v>0</v>
      </c>
      <c r="Q75" s="147">
        <v>0</v>
      </c>
      <c r="R75" s="148">
        <v>0</v>
      </c>
      <c r="S75" s="149"/>
      <c r="T75" s="75" t="s">
        <v>419</v>
      </c>
      <c r="U75" s="75" t="s">
        <v>419</v>
      </c>
      <c r="V75" s="75" t="s">
        <v>419</v>
      </c>
      <c r="W75" s="75" t="s">
        <v>419</v>
      </c>
      <c r="X75" s="75" t="s">
        <v>419</v>
      </c>
      <c r="Y75" s="75" t="s">
        <v>419</v>
      </c>
      <c r="Z75" s="75" t="s">
        <v>419</v>
      </c>
      <c r="AA75" s="75">
        <v>0</v>
      </c>
      <c r="AB75" s="75" t="s">
        <v>419</v>
      </c>
      <c r="AC75" s="75">
        <v>0</v>
      </c>
      <c r="AD75" s="75" t="s">
        <v>419</v>
      </c>
      <c r="AW75" s="73" t="str">
        <f>IF(D75="","",IF(O75="",#REF!,""))</f>
        <v/>
      </c>
    </row>
    <row r="76" spans="1:49">
      <c r="A76" s="2">
        <v>67</v>
      </c>
      <c r="B76" s="6">
        <f t="shared" si="5"/>
        <v>0</v>
      </c>
      <c r="C76" s="22">
        <f t="shared" si="6"/>
        <v>0</v>
      </c>
      <c r="D76" s="75"/>
      <c r="E76" s="75"/>
      <c r="F76" s="75"/>
      <c r="G76" s="74"/>
      <c r="H76" s="74"/>
      <c r="I76" s="149"/>
      <c r="J76" s="75"/>
      <c r="K76" s="75" t="str">
        <f>IFERROR(VLOOKUP(J76,'PAINT LABOR COSTS'!$B$60:$C$61,2,FALSE),"Pick Color")</f>
        <v>Pick Color</v>
      </c>
      <c r="L76" s="149"/>
      <c r="M76" s="75"/>
      <c r="N76" s="149"/>
      <c r="O76" s="147">
        <v>0</v>
      </c>
      <c r="P76" s="148">
        <v>0</v>
      </c>
      <c r="Q76" s="147">
        <v>0</v>
      </c>
      <c r="R76" s="148">
        <v>0</v>
      </c>
      <c r="S76" s="149"/>
      <c r="T76" s="75" t="s">
        <v>419</v>
      </c>
      <c r="U76" s="75" t="s">
        <v>419</v>
      </c>
      <c r="V76" s="75" t="s">
        <v>419</v>
      </c>
      <c r="W76" s="75" t="s">
        <v>419</v>
      </c>
      <c r="X76" s="75" t="s">
        <v>419</v>
      </c>
      <c r="Y76" s="75" t="s">
        <v>419</v>
      </c>
      <c r="Z76" s="75" t="s">
        <v>419</v>
      </c>
      <c r="AA76" s="75">
        <v>0</v>
      </c>
      <c r="AB76" s="75" t="s">
        <v>419</v>
      </c>
      <c r="AC76" s="75">
        <v>0</v>
      </c>
      <c r="AD76" s="75" t="s">
        <v>419</v>
      </c>
      <c r="AW76" s="73" t="str">
        <f>IF(D76="","",IF(O76="",#REF!,""))</f>
        <v/>
      </c>
    </row>
    <row r="77" spans="1:49">
      <c r="A77" s="2">
        <v>68</v>
      </c>
      <c r="B77" s="6">
        <f t="shared" ref="B77:B109" si="7">IF($A$4="",0,IF($A$4="LCR",C77*$D$6,IF($A$4="WHOLE",C77*$C$6,IF($A$4="BLDR",C77*$B$6,IF($A$4="RETAIL",C77*$A$6,"")))))</f>
        <v>0</v>
      </c>
      <c r="C77" s="22">
        <f t="shared" ref="C77:C109" si="8">SUM(AJ77:BF77)</f>
        <v>0</v>
      </c>
      <c r="D77" s="75"/>
      <c r="E77" s="75"/>
      <c r="F77" s="75"/>
      <c r="G77" s="74"/>
      <c r="H77" s="74"/>
      <c r="I77" s="149"/>
      <c r="J77" s="75"/>
      <c r="K77" s="75" t="str">
        <f>IFERROR(VLOOKUP(J77,'PAINT LABOR COSTS'!$B$60:$C$61,2,FALSE),"Pick Color")</f>
        <v>Pick Color</v>
      </c>
      <c r="L77" s="149"/>
      <c r="M77" s="75"/>
      <c r="N77" s="149"/>
      <c r="O77" s="147">
        <v>0</v>
      </c>
      <c r="P77" s="148">
        <v>0</v>
      </c>
      <c r="Q77" s="147">
        <v>0</v>
      </c>
      <c r="R77" s="148">
        <v>0</v>
      </c>
      <c r="S77" s="149"/>
      <c r="T77" s="75" t="s">
        <v>419</v>
      </c>
      <c r="U77" s="75" t="s">
        <v>419</v>
      </c>
      <c r="V77" s="75" t="s">
        <v>419</v>
      </c>
      <c r="W77" s="75" t="s">
        <v>419</v>
      </c>
      <c r="X77" s="75" t="s">
        <v>419</v>
      </c>
      <c r="Y77" s="75" t="s">
        <v>419</v>
      </c>
      <c r="Z77" s="75" t="s">
        <v>419</v>
      </c>
      <c r="AA77" s="75">
        <v>0</v>
      </c>
      <c r="AB77" s="75" t="s">
        <v>419</v>
      </c>
      <c r="AC77" s="75">
        <v>0</v>
      </c>
      <c r="AD77" s="75" t="s">
        <v>419</v>
      </c>
      <c r="AW77" s="73" t="str">
        <f>IF(D77="","",IF(O77="",#REF!,""))</f>
        <v/>
      </c>
    </row>
    <row r="78" spans="1:49">
      <c r="A78" s="2">
        <v>69</v>
      </c>
      <c r="B78" s="6">
        <f t="shared" si="7"/>
        <v>0</v>
      </c>
      <c r="C78" s="22">
        <f t="shared" si="8"/>
        <v>0</v>
      </c>
      <c r="D78" s="75"/>
      <c r="E78" s="75"/>
      <c r="F78" s="75"/>
      <c r="G78" s="74"/>
      <c r="H78" s="74"/>
      <c r="I78" s="149"/>
      <c r="J78" s="75"/>
      <c r="K78" s="75" t="str">
        <f>IFERROR(VLOOKUP(J78,'PAINT LABOR COSTS'!$B$60:$C$61,2,FALSE),"Pick Color")</f>
        <v>Pick Color</v>
      </c>
      <c r="L78" s="149"/>
      <c r="M78" s="75"/>
      <c r="N78" s="149"/>
      <c r="O78" s="147">
        <v>0</v>
      </c>
      <c r="P78" s="148">
        <v>0</v>
      </c>
      <c r="Q78" s="147">
        <v>0</v>
      </c>
      <c r="R78" s="148">
        <v>0</v>
      </c>
      <c r="S78" s="149"/>
      <c r="T78" s="75" t="s">
        <v>419</v>
      </c>
      <c r="U78" s="75" t="s">
        <v>419</v>
      </c>
      <c r="V78" s="75" t="s">
        <v>419</v>
      </c>
      <c r="W78" s="75" t="s">
        <v>419</v>
      </c>
      <c r="X78" s="75" t="s">
        <v>419</v>
      </c>
      <c r="Y78" s="75" t="s">
        <v>419</v>
      </c>
      <c r="Z78" s="75" t="s">
        <v>419</v>
      </c>
      <c r="AA78" s="75">
        <v>0</v>
      </c>
      <c r="AB78" s="75" t="s">
        <v>419</v>
      </c>
      <c r="AC78" s="75">
        <v>0</v>
      </c>
      <c r="AD78" s="75" t="s">
        <v>419</v>
      </c>
      <c r="AW78" s="73" t="str">
        <f>IF(D78="","",IF(O78="",#REF!,""))</f>
        <v/>
      </c>
    </row>
    <row r="79" spans="1:49">
      <c r="A79" s="2">
        <v>70</v>
      </c>
      <c r="B79" s="6">
        <f t="shared" si="7"/>
        <v>0</v>
      </c>
      <c r="C79" s="22">
        <f t="shared" si="8"/>
        <v>0</v>
      </c>
      <c r="D79" s="75"/>
      <c r="E79" s="75"/>
      <c r="F79" s="75"/>
      <c r="G79" s="74"/>
      <c r="H79" s="74"/>
      <c r="I79" s="149"/>
      <c r="J79" s="75"/>
      <c r="K79" s="75" t="str">
        <f>IFERROR(VLOOKUP(J79,'PAINT LABOR COSTS'!$B$60:$C$61,2,FALSE),"Pick Color")</f>
        <v>Pick Color</v>
      </c>
      <c r="L79" s="149"/>
      <c r="M79" s="75"/>
      <c r="N79" s="149"/>
      <c r="O79" s="147">
        <v>0</v>
      </c>
      <c r="P79" s="148">
        <v>0</v>
      </c>
      <c r="Q79" s="147">
        <v>0</v>
      </c>
      <c r="R79" s="148">
        <v>0</v>
      </c>
      <c r="S79" s="149"/>
      <c r="T79" s="75" t="s">
        <v>419</v>
      </c>
      <c r="U79" s="75" t="s">
        <v>419</v>
      </c>
      <c r="V79" s="75" t="s">
        <v>419</v>
      </c>
      <c r="W79" s="75" t="s">
        <v>419</v>
      </c>
      <c r="X79" s="75" t="s">
        <v>419</v>
      </c>
      <c r="Y79" s="75" t="s">
        <v>419</v>
      </c>
      <c r="Z79" s="75" t="s">
        <v>419</v>
      </c>
      <c r="AA79" s="75">
        <v>0</v>
      </c>
      <c r="AB79" s="75" t="s">
        <v>419</v>
      </c>
      <c r="AC79" s="75">
        <v>0</v>
      </c>
      <c r="AD79" s="75" t="s">
        <v>419</v>
      </c>
      <c r="AW79" s="73" t="str">
        <f>IF(D79="","",IF(O79="",#REF!,""))</f>
        <v/>
      </c>
    </row>
    <row r="80" spans="1:49">
      <c r="A80" s="2">
        <v>71</v>
      </c>
      <c r="B80" s="6">
        <f t="shared" si="7"/>
        <v>0</v>
      </c>
      <c r="C80" s="22">
        <f t="shared" si="8"/>
        <v>0</v>
      </c>
      <c r="D80" s="75"/>
      <c r="E80" s="75"/>
      <c r="F80" s="75"/>
      <c r="G80" s="74"/>
      <c r="H80" s="74"/>
      <c r="I80" s="149"/>
      <c r="J80" s="75"/>
      <c r="K80" s="75" t="str">
        <f>IFERROR(VLOOKUP(J80,'PAINT LABOR COSTS'!$B$60:$C$61,2,FALSE),"Pick Color")</f>
        <v>Pick Color</v>
      </c>
      <c r="L80" s="149"/>
      <c r="M80" s="75"/>
      <c r="N80" s="149"/>
      <c r="O80" s="147">
        <v>0</v>
      </c>
      <c r="P80" s="148">
        <v>0</v>
      </c>
      <c r="Q80" s="147">
        <v>0</v>
      </c>
      <c r="R80" s="148">
        <v>0</v>
      </c>
      <c r="S80" s="149"/>
      <c r="T80" s="75" t="s">
        <v>419</v>
      </c>
      <c r="U80" s="75" t="s">
        <v>419</v>
      </c>
      <c r="V80" s="75" t="s">
        <v>419</v>
      </c>
      <c r="W80" s="75" t="s">
        <v>419</v>
      </c>
      <c r="X80" s="75" t="s">
        <v>419</v>
      </c>
      <c r="Y80" s="75" t="s">
        <v>419</v>
      </c>
      <c r="Z80" s="75" t="s">
        <v>419</v>
      </c>
      <c r="AA80" s="75">
        <v>0</v>
      </c>
      <c r="AB80" s="75" t="s">
        <v>419</v>
      </c>
      <c r="AC80" s="75">
        <v>0</v>
      </c>
      <c r="AD80" s="75" t="s">
        <v>419</v>
      </c>
      <c r="AW80" s="73" t="str">
        <f>IF(D80="","",IF(O80="",#REF!,""))</f>
        <v/>
      </c>
    </row>
    <row r="81" spans="1:49">
      <c r="A81" s="2">
        <v>72</v>
      </c>
      <c r="B81" s="6">
        <f t="shared" si="7"/>
        <v>0</v>
      </c>
      <c r="C81" s="22">
        <f t="shared" si="8"/>
        <v>0</v>
      </c>
      <c r="D81" s="75"/>
      <c r="E81" s="75"/>
      <c r="F81" s="75"/>
      <c r="G81" s="74"/>
      <c r="H81" s="74"/>
      <c r="I81" s="149"/>
      <c r="J81" s="75"/>
      <c r="K81" s="75" t="str">
        <f>IFERROR(VLOOKUP(J81,'PAINT LABOR COSTS'!$B$60:$C$61,2,FALSE),"Pick Color")</f>
        <v>Pick Color</v>
      </c>
      <c r="L81" s="149"/>
      <c r="M81" s="75"/>
      <c r="N81" s="149"/>
      <c r="O81" s="147">
        <v>0</v>
      </c>
      <c r="P81" s="148">
        <v>0</v>
      </c>
      <c r="Q81" s="147">
        <v>0</v>
      </c>
      <c r="R81" s="148">
        <v>0</v>
      </c>
      <c r="S81" s="149"/>
      <c r="T81" s="75" t="s">
        <v>419</v>
      </c>
      <c r="U81" s="75" t="s">
        <v>419</v>
      </c>
      <c r="V81" s="75" t="s">
        <v>419</v>
      </c>
      <c r="W81" s="75" t="s">
        <v>419</v>
      </c>
      <c r="X81" s="75" t="s">
        <v>419</v>
      </c>
      <c r="Y81" s="75" t="s">
        <v>419</v>
      </c>
      <c r="Z81" s="75" t="s">
        <v>419</v>
      </c>
      <c r="AA81" s="75">
        <v>0</v>
      </c>
      <c r="AB81" s="75" t="s">
        <v>419</v>
      </c>
      <c r="AC81" s="75">
        <v>0</v>
      </c>
      <c r="AD81" s="75" t="s">
        <v>419</v>
      </c>
      <c r="AW81" s="73" t="str">
        <f>IF(D81="","",IF(O81="",#REF!,""))</f>
        <v/>
      </c>
    </row>
    <row r="82" spans="1:49">
      <c r="A82" s="2">
        <v>73</v>
      </c>
      <c r="B82" s="6">
        <f t="shared" si="7"/>
        <v>0</v>
      </c>
      <c r="C82" s="22">
        <f t="shared" si="8"/>
        <v>0</v>
      </c>
      <c r="D82" s="75"/>
      <c r="E82" s="75"/>
      <c r="F82" s="75"/>
      <c r="G82" s="74"/>
      <c r="H82" s="74"/>
      <c r="I82" s="149"/>
      <c r="J82" s="75"/>
      <c r="K82" s="75" t="str">
        <f>IFERROR(VLOOKUP(J82,'PAINT LABOR COSTS'!$B$60:$C$61,2,FALSE),"Pick Color")</f>
        <v>Pick Color</v>
      </c>
      <c r="L82" s="149"/>
      <c r="M82" s="75"/>
      <c r="N82" s="149"/>
      <c r="O82" s="147">
        <v>0</v>
      </c>
      <c r="P82" s="148">
        <v>0</v>
      </c>
      <c r="Q82" s="147">
        <v>0</v>
      </c>
      <c r="R82" s="148">
        <v>0</v>
      </c>
      <c r="S82" s="149"/>
      <c r="T82" s="75" t="s">
        <v>419</v>
      </c>
      <c r="U82" s="75" t="s">
        <v>419</v>
      </c>
      <c r="V82" s="75" t="s">
        <v>419</v>
      </c>
      <c r="W82" s="75" t="s">
        <v>419</v>
      </c>
      <c r="X82" s="75" t="s">
        <v>419</v>
      </c>
      <c r="Y82" s="75" t="s">
        <v>419</v>
      </c>
      <c r="Z82" s="75" t="s">
        <v>419</v>
      </c>
      <c r="AA82" s="75">
        <v>0</v>
      </c>
      <c r="AB82" s="75" t="s">
        <v>419</v>
      </c>
      <c r="AC82" s="75">
        <v>0</v>
      </c>
      <c r="AD82" s="75" t="s">
        <v>419</v>
      </c>
      <c r="AW82" s="73" t="str">
        <f>IF(D82="","",IF(O82="",#REF!,""))</f>
        <v/>
      </c>
    </row>
    <row r="83" spans="1:49">
      <c r="A83" s="2">
        <v>74</v>
      </c>
      <c r="B83" s="6">
        <f t="shared" si="7"/>
        <v>0</v>
      </c>
      <c r="C83" s="22">
        <f t="shared" si="8"/>
        <v>0</v>
      </c>
      <c r="D83" s="75"/>
      <c r="E83" s="75"/>
      <c r="F83" s="75"/>
      <c r="G83" s="74"/>
      <c r="H83" s="74"/>
      <c r="I83" s="149"/>
      <c r="J83" s="75"/>
      <c r="K83" s="75" t="str">
        <f>IFERROR(VLOOKUP(J83,'PAINT LABOR COSTS'!$B$60:$C$61,2,FALSE),"Pick Color")</f>
        <v>Pick Color</v>
      </c>
      <c r="L83" s="149"/>
      <c r="M83" s="75"/>
      <c r="N83" s="149"/>
      <c r="O83" s="147">
        <v>0</v>
      </c>
      <c r="P83" s="148">
        <v>0</v>
      </c>
      <c r="Q83" s="147">
        <v>0</v>
      </c>
      <c r="R83" s="148">
        <v>0</v>
      </c>
      <c r="S83" s="149"/>
      <c r="T83" s="75" t="s">
        <v>419</v>
      </c>
      <c r="U83" s="75" t="s">
        <v>419</v>
      </c>
      <c r="V83" s="75" t="s">
        <v>419</v>
      </c>
      <c r="W83" s="75" t="s">
        <v>419</v>
      </c>
      <c r="X83" s="75" t="s">
        <v>419</v>
      </c>
      <c r="Y83" s="75" t="s">
        <v>419</v>
      </c>
      <c r="Z83" s="75" t="s">
        <v>419</v>
      </c>
      <c r="AA83" s="75">
        <v>0</v>
      </c>
      <c r="AB83" s="75" t="s">
        <v>419</v>
      </c>
      <c r="AC83" s="75">
        <v>0</v>
      </c>
      <c r="AD83" s="75" t="s">
        <v>419</v>
      </c>
      <c r="AW83" s="73" t="str">
        <f>IF(D83="","",IF(O83="",#REF!,""))</f>
        <v/>
      </c>
    </row>
    <row r="84" spans="1:49">
      <c r="A84" s="2">
        <v>75</v>
      </c>
      <c r="B84" s="6">
        <f t="shared" si="7"/>
        <v>0</v>
      </c>
      <c r="C84" s="22">
        <f t="shared" si="8"/>
        <v>0</v>
      </c>
      <c r="D84" s="75"/>
      <c r="E84" s="75"/>
      <c r="F84" s="75"/>
      <c r="G84" s="74"/>
      <c r="H84" s="74"/>
      <c r="I84" s="149"/>
      <c r="J84" s="75"/>
      <c r="K84" s="75" t="str">
        <f>IFERROR(VLOOKUP(J84,'PAINT LABOR COSTS'!$B$60:$C$61,2,FALSE),"Pick Color")</f>
        <v>Pick Color</v>
      </c>
      <c r="L84" s="149"/>
      <c r="M84" s="75"/>
      <c r="N84" s="149"/>
      <c r="O84" s="147">
        <v>0</v>
      </c>
      <c r="P84" s="148">
        <v>0</v>
      </c>
      <c r="Q84" s="147">
        <v>0</v>
      </c>
      <c r="R84" s="148">
        <v>0</v>
      </c>
      <c r="S84" s="149"/>
      <c r="T84" s="75" t="s">
        <v>419</v>
      </c>
      <c r="U84" s="75" t="s">
        <v>419</v>
      </c>
      <c r="V84" s="75" t="s">
        <v>419</v>
      </c>
      <c r="W84" s="75" t="s">
        <v>419</v>
      </c>
      <c r="X84" s="75" t="s">
        <v>419</v>
      </c>
      <c r="Y84" s="75" t="s">
        <v>419</v>
      </c>
      <c r="Z84" s="75" t="s">
        <v>419</v>
      </c>
      <c r="AA84" s="75">
        <v>0</v>
      </c>
      <c r="AB84" s="75" t="s">
        <v>419</v>
      </c>
      <c r="AC84" s="75">
        <v>0</v>
      </c>
      <c r="AD84" s="75" t="s">
        <v>419</v>
      </c>
      <c r="AW84" s="73" t="str">
        <f>IF(D84="","",IF(O84="",#REF!,""))</f>
        <v/>
      </c>
    </row>
    <row r="85" spans="1:49">
      <c r="A85" s="2">
        <v>76</v>
      </c>
      <c r="B85" s="6">
        <f t="shared" si="7"/>
        <v>0</v>
      </c>
      <c r="C85" s="22">
        <f t="shared" si="8"/>
        <v>0</v>
      </c>
      <c r="D85" s="75"/>
      <c r="E85" s="75"/>
      <c r="F85" s="75"/>
      <c r="G85" s="74"/>
      <c r="H85" s="74"/>
      <c r="I85" s="149"/>
      <c r="J85" s="75"/>
      <c r="K85" s="75" t="str">
        <f>IFERROR(VLOOKUP(J85,'PAINT LABOR COSTS'!$B$60:$C$61,2,FALSE),"Pick Color")</f>
        <v>Pick Color</v>
      </c>
      <c r="L85" s="149"/>
      <c r="M85" s="75"/>
      <c r="N85" s="149"/>
      <c r="O85" s="147">
        <v>0</v>
      </c>
      <c r="P85" s="148">
        <v>0</v>
      </c>
      <c r="Q85" s="147">
        <v>0</v>
      </c>
      <c r="R85" s="148">
        <v>0</v>
      </c>
      <c r="S85" s="149"/>
      <c r="T85" s="75" t="s">
        <v>419</v>
      </c>
      <c r="U85" s="75" t="s">
        <v>419</v>
      </c>
      <c r="V85" s="75" t="s">
        <v>419</v>
      </c>
      <c r="W85" s="75" t="s">
        <v>419</v>
      </c>
      <c r="X85" s="75" t="s">
        <v>419</v>
      </c>
      <c r="Y85" s="75" t="s">
        <v>419</v>
      </c>
      <c r="Z85" s="75" t="s">
        <v>419</v>
      </c>
      <c r="AA85" s="75">
        <v>0</v>
      </c>
      <c r="AB85" s="75" t="s">
        <v>419</v>
      </c>
      <c r="AC85" s="75">
        <v>0</v>
      </c>
      <c r="AD85" s="75" t="s">
        <v>419</v>
      </c>
      <c r="AW85" s="73" t="str">
        <f>IF(D85="","",IF(O85="",#REF!,""))</f>
        <v/>
      </c>
    </row>
    <row r="86" spans="1:49">
      <c r="A86" s="2">
        <v>77</v>
      </c>
      <c r="B86" s="6">
        <f t="shared" si="7"/>
        <v>0</v>
      </c>
      <c r="C86" s="22">
        <f t="shared" si="8"/>
        <v>0</v>
      </c>
      <c r="D86" s="75"/>
      <c r="E86" s="75"/>
      <c r="F86" s="75"/>
      <c r="G86" s="74"/>
      <c r="H86" s="74"/>
      <c r="I86" s="149"/>
      <c r="J86" s="75"/>
      <c r="K86" s="75" t="str">
        <f>IFERROR(VLOOKUP(J86,'PAINT LABOR COSTS'!$B$60:$C$61,2,FALSE),"Pick Color")</f>
        <v>Pick Color</v>
      </c>
      <c r="L86" s="149"/>
      <c r="M86" s="75"/>
      <c r="N86" s="149"/>
      <c r="O86" s="147">
        <v>0</v>
      </c>
      <c r="P86" s="148">
        <v>0</v>
      </c>
      <c r="Q86" s="147">
        <v>0</v>
      </c>
      <c r="R86" s="148">
        <v>0</v>
      </c>
      <c r="S86" s="149"/>
      <c r="T86" s="75" t="s">
        <v>419</v>
      </c>
      <c r="U86" s="75" t="s">
        <v>419</v>
      </c>
      <c r="V86" s="75" t="s">
        <v>419</v>
      </c>
      <c r="W86" s="75" t="s">
        <v>419</v>
      </c>
      <c r="X86" s="75" t="s">
        <v>419</v>
      </c>
      <c r="Y86" s="75" t="s">
        <v>419</v>
      </c>
      <c r="Z86" s="75" t="s">
        <v>419</v>
      </c>
      <c r="AA86" s="75">
        <v>0</v>
      </c>
      <c r="AB86" s="75" t="s">
        <v>419</v>
      </c>
      <c r="AC86" s="75">
        <v>0</v>
      </c>
      <c r="AD86" s="75" t="s">
        <v>419</v>
      </c>
      <c r="AW86" s="73" t="str">
        <f>IF(D86="","",IF(O86="",#REF!,""))</f>
        <v/>
      </c>
    </row>
    <row r="87" spans="1:49">
      <c r="A87" s="2">
        <v>78</v>
      </c>
      <c r="B87" s="6">
        <f t="shared" si="7"/>
        <v>0</v>
      </c>
      <c r="C87" s="22">
        <f t="shared" si="8"/>
        <v>0</v>
      </c>
      <c r="D87" s="75"/>
      <c r="E87" s="75"/>
      <c r="F87" s="75"/>
      <c r="G87" s="74"/>
      <c r="H87" s="74"/>
      <c r="I87" s="149"/>
      <c r="J87" s="75"/>
      <c r="K87" s="75" t="str">
        <f>IFERROR(VLOOKUP(J87,'PAINT LABOR COSTS'!$B$60:$C$61,2,FALSE),"Pick Color")</f>
        <v>Pick Color</v>
      </c>
      <c r="L87" s="149"/>
      <c r="M87" s="75"/>
      <c r="N87" s="149"/>
      <c r="O87" s="147">
        <v>0</v>
      </c>
      <c r="P87" s="148">
        <v>0</v>
      </c>
      <c r="Q87" s="147">
        <v>0</v>
      </c>
      <c r="R87" s="148">
        <v>0</v>
      </c>
      <c r="S87" s="149"/>
      <c r="T87" s="75" t="s">
        <v>419</v>
      </c>
      <c r="U87" s="75" t="s">
        <v>419</v>
      </c>
      <c r="V87" s="75" t="s">
        <v>419</v>
      </c>
      <c r="W87" s="75" t="s">
        <v>419</v>
      </c>
      <c r="X87" s="75" t="s">
        <v>419</v>
      </c>
      <c r="Y87" s="75" t="s">
        <v>419</v>
      </c>
      <c r="Z87" s="75" t="s">
        <v>419</v>
      </c>
      <c r="AA87" s="75">
        <v>0</v>
      </c>
      <c r="AB87" s="75" t="s">
        <v>419</v>
      </c>
      <c r="AC87" s="75">
        <v>0</v>
      </c>
      <c r="AD87" s="75" t="s">
        <v>419</v>
      </c>
      <c r="AW87" s="73" t="str">
        <f>IF(D87="","",IF(O87="",#REF!,""))</f>
        <v/>
      </c>
    </row>
    <row r="88" spans="1:49">
      <c r="A88" s="2">
        <v>79</v>
      </c>
      <c r="B88" s="6">
        <f t="shared" si="7"/>
        <v>0</v>
      </c>
      <c r="C88" s="22">
        <f t="shared" si="8"/>
        <v>0</v>
      </c>
      <c r="D88" s="75"/>
      <c r="E88" s="75"/>
      <c r="F88" s="75"/>
      <c r="G88" s="74"/>
      <c r="H88" s="74"/>
      <c r="I88" s="149"/>
      <c r="J88" s="75"/>
      <c r="K88" s="75" t="str">
        <f>IFERROR(VLOOKUP(J88,'PAINT LABOR COSTS'!$B$60:$C$61,2,FALSE),"Pick Color")</f>
        <v>Pick Color</v>
      </c>
      <c r="L88" s="149"/>
      <c r="M88" s="75"/>
      <c r="N88" s="149"/>
      <c r="O88" s="147">
        <v>0</v>
      </c>
      <c r="P88" s="148">
        <v>0</v>
      </c>
      <c r="Q88" s="147">
        <v>0</v>
      </c>
      <c r="R88" s="148">
        <v>0</v>
      </c>
      <c r="S88" s="149"/>
      <c r="T88" s="75" t="s">
        <v>419</v>
      </c>
      <c r="U88" s="75" t="s">
        <v>419</v>
      </c>
      <c r="V88" s="75" t="s">
        <v>419</v>
      </c>
      <c r="W88" s="75" t="s">
        <v>419</v>
      </c>
      <c r="X88" s="75" t="s">
        <v>419</v>
      </c>
      <c r="Y88" s="75" t="s">
        <v>419</v>
      </c>
      <c r="Z88" s="75" t="s">
        <v>419</v>
      </c>
      <c r="AA88" s="75">
        <v>0</v>
      </c>
      <c r="AB88" s="75" t="s">
        <v>419</v>
      </c>
      <c r="AC88" s="75">
        <v>0</v>
      </c>
      <c r="AD88" s="75" t="s">
        <v>419</v>
      </c>
      <c r="AW88" s="73" t="str">
        <f>IF(D88="","",IF(O88="",#REF!,""))</f>
        <v/>
      </c>
    </row>
    <row r="89" spans="1:49">
      <c r="A89" s="2">
        <v>80</v>
      </c>
      <c r="B89" s="6">
        <f t="shared" si="7"/>
        <v>0</v>
      </c>
      <c r="C89" s="22">
        <f t="shared" si="8"/>
        <v>0</v>
      </c>
      <c r="D89" s="75"/>
      <c r="E89" s="75"/>
      <c r="F89" s="75"/>
      <c r="G89" s="74"/>
      <c r="H89" s="74"/>
      <c r="I89" s="149"/>
      <c r="J89" s="75"/>
      <c r="K89" s="75" t="str">
        <f>IFERROR(VLOOKUP(J89,'PAINT LABOR COSTS'!$B$60:$C$61,2,FALSE),"Pick Color")</f>
        <v>Pick Color</v>
      </c>
      <c r="L89" s="149"/>
      <c r="M89" s="75"/>
      <c r="N89" s="149"/>
      <c r="O89" s="147">
        <v>0</v>
      </c>
      <c r="P89" s="148">
        <v>0</v>
      </c>
      <c r="Q89" s="147">
        <v>0</v>
      </c>
      <c r="R89" s="148">
        <v>0</v>
      </c>
      <c r="S89" s="149"/>
      <c r="T89" s="75" t="s">
        <v>419</v>
      </c>
      <c r="U89" s="75" t="s">
        <v>419</v>
      </c>
      <c r="V89" s="75" t="s">
        <v>419</v>
      </c>
      <c r="W89" s="75" t="s">
        <v>419</v>
      </c>
      <c r="X89" s="75" t="s">
        <v>419</v>
      </c>
      <c r="Y89" s="75" t="s">
        <v>419</v>
      </c>
      <c r="Z89" s="75" t="s">
        <v>419</v>
      </c>
      <c r="AA89" s="75">
        <v>0</v>
      </c>
      <c r="AB89" s="75" t="s">
        <v>419</v>
      </c>
      <c r="AC89" s="75">
        <v>0</v>
      </c>
      <c r="AD89" s="75" t="s">
        <v>419</v>
      </c>
      <c r="AW89" s="73" t="str">
        <f>IF(D89="","",IF(O89="",#REF!,""))</f>
        <v/>
      </c>
    </row>
    <row r="90" spans="1:49">
      <c r="A90" s="2">
        <v>81</v>
      </c>
      <c r="B90" s="6">
        <f t="shared" si="7"/>
        <v>0</v>
      </c>
      <c r="C90" s="22">
        <f t="shared" si="8"/>
        <v>0</v>
      </c>
      <c r="D90" s="75"/>
      <c r="E90" s="75"/>
      <c r="F90" s="75"/>
      <c r="G90" s="74"/>
      <c r="H90" s="74"/>
      <c r="I90" s="149"/>
      <c r="J90" s="75"/>
      <c r="K90" s="75" t="str">
        <f>IFERROR(VLOOKUP(J90,'PAINT LABOR COSTS'!$B$60:$C$61,2,FALSE),"Pick Color")</f>
        <v>Pick Color</v>
      </c>
      <c r="L90" s="149"/>
      <c r="M90" s="75"/>
      <c r="N90" s="149"/>
      <c r="O90" s="147">
        <v>0</v>
      </c>
      <c r="P90" s="148">
        <v>0</v>
      </c>
      <c r="Q90" s="147">
        <v>0</v>
      </c>
      <c r="R90" s="148">
        <v>0</v>
      </c>
      <c r="S90" s="149"/>
      <c r="T90" s="75" t="s">
        <v>419</v>
      </c>
      <c r="U90" s="75" t="s">
        <v>419</v>
      </c>
      <c r="V90" s="75" t="s">
        <v>419</v>
      </c>
      <c r="W90" s="75" t="s">
        <v>419</v>
      </c>
      <c r="X90" s="75" t="s">
        <v>419</v>
      </c>
      <c r="Y90" s="75" t="s">
        <v>419</v>
      </c>
      <c r="Z90" s="75" t="s">
        <v>419</v>
      </c>
      <c r="AA90" s="75">
        <v>0</v>
      </c>
      <c r="AB90" s="75" t="s">
        <v>419</v>
      </c>
      <c r="AC90" s="75">
        <v>0</v>
      </c>
      <c r="AD90" s="75" t="s">
        <v>419</v>
      </c>
      <c r="AW90" s="73" t="str">
        <f>IF(D90="","",IF(O90="",#REF!,""))</f>
        <v/>
      </c>
    </row>
    <row r="91" spans="1:49">
      <c r="A91" s="2">
        <v>82</v>
      </c>
      <c r="B91" s="6">
        <f t="shared" si="7"/>
        <v>0</v>
      </c>
      <c r="C91" s="22">
        <f t="shared" si="8"/>
        <v>0</v>
      </c>
      <c r="D91" s="75"/>
      <c r="E91" s="75"/>
      <c r="F91" s="75"/>
      <c r="G91" s="74"/>
      <c r="H91" s="74"/>
      <c r="I91" s="149"/>
      <c r="J91" s="75"/>
      <c r="K91" s="75" t="str">
        <f>IFERROR(VLOOKUP(J91,'PAINT LABOR COSTS'!$B$60:$C$61,2,FALSE),"Pick Color")</f>
        <v>Pick Color</v>
      </c>
      <c r="L91" s="149"/>
      <c r="M91" s="75"/>
      <c r="N91" s="149"/>
      <c r="O91" s="147">
        <v>0</v>
      </c>
      <c r="P91" s="148">
        <v>0</v>
      </c>
      <c r="Q91" s="147">
        <v>0</v>
      </c>
      <c r="R91" s="148">
        <v>0</v>
      </c>
      <c r="S91" s="149"/>
      <c r="T91" s="75" t="s">
        <v>419</v>
      </c>
      <c r="U91" s="75" t="s">
        <v>419</v>
      </c>
      <c r="V91" s="75" t="s">
        <v>419</v>
      </c>
      <c r="W91" s="75" t="s">
        <v>419</v>
      </c>
      <c r="X91" s="75" t="s">
        <v>419</v>
      </c>
      <c r="Y91" s="75" t="s">
        <v>419</v>
      </c>
      <c r="Z91" s="75" t="s">
        <v>419</v>
      </c>
      <c r="AA91" s="75">
        <v>0</v>
      </c>
      <c r="AB91" s="75" t="s">
        <v>419</v>
      </c>
      <c r="AC91" s="75">
        <v>0</v>
      </c>
      <c r="AD91" s="75" t="s">
        <v>419</v>
      </c>
      <c r="AW91" s="73" t="str">
        <f>IF(D91="","",IF(O91="",#REF!,""))</f>
        <v/>
      </c>
    </row>
    <row r="92" spans="1:49">
      <c r="A92" s="2">
        <v>83</v>
      </c>
      <c r="B92" s="6">
        <f t="shared" si="7"/>
        <v>0</v>
      </c>
      <c r="C92" s="22">
        <f t="shared" si="8"/>
        <v>0</v>
      </c>
      <c r="D92" s="75"/>
      <c r="E92" s="75"/>
      <c r="F92" s="75"/>
      <c r="G92" s="74"/>
      <c r="H92" s="74"/>
      <c r="I92" s="149"/>
      <c r="J92" s="75"/>
      <c r="K92" s="75" t="str">
        <f>IFERROR(VLOOKUP(J92,'PAINT LABOR COSTS'!$B$60:$C$61,2,FALSE),"Pick Color")</f>
        <v>Pick Color</v>
      </c>
      <c r="L92" s="149"/>
      <c r="M92" s="75"/>
      <c r="N92" s="149"/>
      <c r="O92" s="147">
        <v>0</v>
      </c>
      <c r="P92" s="148">
        <v>0</v>
      </c>
      <c r="Q92" s="147">
        <v>0</v>
      </c>
      <c r="R92" s="148">
        <v>0</v>
      </c>
      <c r="S92" s="149"/>
      <c r="T92" s="75" t="s">
        <v>419</v>
      </c>
      <c r="U92" s="75" t="s">
        <v>419</v>
      </c>
      <c r="V92" s="75" t="s">
        <v>419</v>
      </c>
      <c r="W92" s="75" t="s">
        <v>419</v>
      </c>
      <c r="X92" s="75" t="s">
        <v>419</v>
      </c>
      <c r="Y92" s="75" t="s">
        <v>419</v>
      </c>
      <c r="Z92" s="75" t="s">
        <v>419</v>
      </c>
      <c r="AA92" s="75">
        <v>0</v>
      </c>
      <c r="AB92" s="75" t="s">
        <v>419</v>
      </c>
      <c r="AC92" s="75">
        <v>0</v>
      </c>
      <c r="AD92" s="75" t="s">
        <v>419</v>
      </c>
      <c r="AW92" s="73" t="str">
        <f>IF(D92="","",IF(O92="",#REF!,""))</f>
        <v/>
      </c>
    </row>
    <row r="93" spans="1:49">
      <c r="A93" s="2">
        <v>84</v>
      </c>
      <c r="B93" s="6">
        <f t="shared" si="7"/>
        <v>0</v>
      </c>
      <c r="C93" s="22">
        <f t="shared" si="8"/>
        <v>0</v>
      </c>
      <c r="D93" s="75"/>
      <c r="E93" s="75"/>
      <c r="F93" s="75"/>
      <c r="G93" s="74"/>
      <c r="H93" s="74"/>
      <c r="I93" s="149"/>
      <c r="J93" s="75"/>
      <c r="K93" s="75" t="str">
        <f>IFERROR(VLOOKUP(J93,'PAINT LABOR COSTS'!$B$60:$C$61,2,FALSE),"Pick Color")</f>
        <v>Pick Color</v>
      </c>
      <c r="L93" s="149"/>
      <c r="M93" s="75"/>
      <c r="N93" s="149"/>
      <c r="O93" s="147">
        <v>0</v>
      </c>
      <c r="P93" s="148">
        <v>0</v>
      </c>
      <c r="Q93" s="147">
        <v>0</v>
      </c>
      <c r="R93" s="148">
        <v>0</v>
      </c>
      <c r="S93" s="149"/>
      <c r="T93" s="75" t="s">
        <v>419</v>
      </c>
      <c r="U93" s="75" t="s">
        <v>419</v>
      </c>
      <c r="V93" s="75" t="s">
        <v>419</v>
      </c>
      <c r="W93" s="75" t="s">
        <v>419</v>
      </c>
      <c r="X93" s="75" t="s">
        <v>419</v>
      </c>
      <c r="Y93" s="75" t="s">
        <v>419</v>
      </c>
      <c r="Z93" s="75" t="s">
        <v>419</v>
      </c>
      <c r="AA93" s="75">
        <v>0</v>
      </c>
      <c r="AB93" s="75" t="s">
        <v>419</v>
      </c>
      <c r="AC93" s="75">
        <v>0</v>
      </c>
      <c r="AD93" s="75" t="s">
        <v>419</v>
      </c>
      <c r="AW93" s="73" t="str">
        <f>IF(D93="","",IF(O93="",#REF!,""))</f>
        <v/>
      </c>
    </row>
    <row r="94" spans="1:49">
      <c r="A94" s="2">
        <v>85</v>
      </c>
      <c r="B94" s="6">
        <f t="shared" si="7"/>
        <v>0</v>
      </c>
      <c r="C94" s="22">
        <f t="shared" si="8"/>
        <v>0</v>
      </c>
      <c r="D94" s="75"/>
      <c r="E94" s="75"/>
      <c r="F94" s="75"/>
      <c r="G94" s="74"/>
      <c r="H94" s="74"/>
      <c r="I94" s="149"/>
      <c r="J94" s="75"/>
      <c r="K94" s="75" t="str">
        <f>IFERROR(VLOOKUP(J94,'PAINT LABOR COSTS'!$B$60:$C$61,2,FALSE),"Pick Color")</f>
        <v>Pick Color</v>
      </c>
      <c r="L94" s="149"/>
      <c r="M94" s="75"/>
      <c r="N94" s="149"/>
      <c r="O94" s="147">
        <v>0</v>
      </c>
      <c r="P94" s="148">
        <v>0</v>
      </c>
      <c r="Q94" s="147">
        <v>0</v>
      </c>
      <c r="R94" s="148">
        <v>0</v>
      </c>
      <c r="S94" s="149"/>
      <c r="T94" s="75" t="s">
        <v>419</v>
      </c>
      <c r="U94" s="75" t="s">
        <v>419</v>
      </c>
      <c r="V94" s="75" t="s">
        <v>419</v>
      </c>
      <c r="W94" s="75" t="s">
        <v>419</v>
      </c>
      <c r="X94" s="75" t="s">
        <v>419</v>
      </c>
      <c r="Y94" s="75" t="s">
        <v>419</v>
      </c>
      <c r="Z94" s="75" t="s">
        <v>419</v>
      </c>
      <c r="AA94" s="75">
        <v>0</v>
      </c>
      <c r="AB94" s="75" t="s">
        <v>419</v>
      </c>
      <c r="AC94" s="75">
        <v>0</v>
      </c>
      <c r="AD94" s="75" t="s">
        <v>419</v>
      </c>
      <c r="AW94" s="73" t="str">
        <f>IF(D94="","",IF(O94="",#REF!,""))</f>
        <v/>
      </c>
    </row>
    <row r="95" spans="1:49">
      <c r="A95" s="2">
        <v>86</v>
      </c>
      <c r="B95" s="6">
        <f t="shared" si="7"/>
        <v>0</v>
      </c>
      <c r="C95" s="22">
        <f t="shared" si="8"/>
        <v>0</v>
      </c>
      <c r="D95" s="75"/>
      <c r="E95" s="75"/>
      <c r="F95" s="75"/>
      <c r="G95" s="74"/>
      <c r="H95" s="74"/>
      <c r="I95" s="149"/>
      <c r="J95" s="75"/>
      <c r="K95" s="75" t="str">
        <f>IFERROR(VLOOKUP(J95,'PAINT LABOR COSTS'!$B$60:$C$61,2,FALSE),"Pick Color")</f>
        <v>Pick Color</v>
      </c>
      <c r="L95" s="149"/>
      <c r="M95" s="75"/>
      <c r="N95" s="149"/>
      <c r="O95" s="147">
        <v>0</v>
      </c>
      <c r="P95" s="148">
        <v>0</v>
      </c>
      <c r="Q95" s="147">
        <v>0</v>
      </c>
      <c r="R95" s="148">
        <v>0</v>
      </c>
      <c r="S95" s="149"/>
      <c r="T95" s="75" t="s">
        <v>419</v>
      </c>
      <c r="U95" s="75" t="s">
        <v>419</v>
      </c>
      <c r="V95" s="75" t="s">
        <v>419</v>
      </c>
      <c r="W95" s="75" t="s">
        <v>419</v>
      </c>
      <c r="X95" s="75" t="s">
        <v>419</v>
      </c>
      <c r="Y95" s="75" t="s">
        <v>419</v>
      </c>
      <c r="Z95" s="75" t="s">
        <v>419</v>
      </c>
      <c r="AA95" s="75">
        <v>0</v>
      </c>
      <c r="AB95" s="75" t="s">
        <v>419</v>
      </c>
      <c r="AC95" s="75">
        <v>0</v>
      </c>
      <c r="AD95" s="75" t="s">
        <v>419</v>
      </c>
      <c r="AW95" s="73" t="str">
        <f>IF(D95="","",IF(O95="",#REF!,""))</f>
        <v/>
      </c>
    </row>
    <row r="96" spans="1:49">
      <c r="A96" s="2">
        <v>87</v>
      </c>
      <c r="B96" s="6">
        <f t="shared" si="7"/>
        <v>0</v>
      </c>
      <c r="C96" s="22">
        <f t="shared" si="8"/>
        <v>0</v>
      </c>
      <c r="D96" s="75"/>
      <c r="E96" s="75"/>
      <c r="F96" s="75"/>
      <c r="G96" s="74"/>
      <c r="H96" s="74"/>
      <c r="I96" s="149"/>
      <c r="J96" s="75"/>
      <c r="K96" s="75" t="str">
        <f>IFERROR(VLOOKUP(J96,'PAINT LABOR COSTS'!$B$60:$C$61,2,FALSE),"Pick Color")</f>
        <v>Pick Color</v>
      </c>
      <c r="L96" s="149"/>
      <c r="M96" s="75"/>
      <c r="N96" s="149"/>
      <c r="O96" s="147">
        <v>0</v>
      </c>
      <c r="P96" s="148">
        <v>0</v>
      </c>
      <c r="Q96" s="147">
        <v>0</v>
      </c>
      <c r="R96" s="148">
        <v>0</v>
      </c>
      <c r="S96" s="149"/>
      <c r="T96" s="75" t="s">
        <v>419</v>
      </c>
      <c r="U96" s="75" t="s">
        <v>419</v>
      </c>
      <c r="V96" s="75" t="s">
        <v>419</v>
      </c>
      <c r="W96" s="75" t="s">
        <v>419</v>
      </c>
      <c r="X96" s="75" t="s">
        <v>419</v>
      </c>
      <c r="Y96" s="75" t="s">
        <v>419</v>
      </c>
      <c r="Z96" s="75" t="s">
        <v>419</v>
      </c>
      <c r="AA96" s="75">
        <v>0</v>
      </c>
      <c r="AB96" s="75" t="s">
        <v>419</v>
      </c>
      <c r="AC96" s="75">
        <v>0</v>
      </c>
      <c r="AD96" s="75" t="s">
        <v>419</v>
      </c>
      <c r="AW96" s="73" t="str">
        <f>IF(D96="","",IF(O96="",#REF!,""))</f>
        <v/>
      </c>
    </row>
    <row r="97" spans="1:49">
      <c r="A97" s="2">
        <v>88</v>
      </c>
      <c r="B97" s="6">
        <f t="shared" si="7"/>
        <v>0</v>
      </c>
      <c r="C97" s="22">
        <f t="shared" si="8"/>
        <v>0</v>
      </c>
      <c r="D97" s="75"/>
      <c r="E97" s="75"/>
      <c r="F97" s="75"/>
      <c r="G97" s="74"/>
      <c r="H97" s="74"/>
      <c r="I97" s="149"/>
      <c r="J97" s="75"/>
      <c r="K97" s="75" t="str">
        <f>IFERROR(VLOOKUP(J97,'PAINT LABOR COSTS'!$B$60:$C$61,2,FALSE),"Pick Color")</f>
        <v>Pick Color</v>
      </c>
      <c r="L97" s="149"/>
      <c r="M97" s="75"/>
      <c r="N97" s="149"/>
      <c r="O97" s="147">
        <v>0</v>
      </c>
      <c r="P97" s="148">
        <v>0</v>
      </c>
      <c r="Q97" s="147">
        <v>0</v>
      </c>
      <c r="R97" s="148">
        <v>0</v>
      </c>
      <c r="S97" s="149"/>
      <c r="T97" s="75" t="s">
        <v>419</v>
      </c>
      <c r="U97" s="75" t="s">
        <v>419</v>
      </c>
      <c r="V97" s="75" t="s">
        <v>419</v>
      </c>
      <c r="W97" s="75" t="s">
        <v>419</v>
      </c>
      <c r="X97" s="75" t="s">
        <v>419</v>
      </c>
      <c r="Y97" s="75" t="s">
        <v>419</v>
      </c>
      <c r="Z97" s="75" t="s">
        <v>419</v>
      </c>
      <c r="AA97" s="75">
        <v>0</v>
      </c>
      <c r="AB97" s="75" t="s">
        <v>419</v>
      </c>
      <c r="AC97" s="75">
        <v>0</v>
      </c>
      <c r="AD97" s="75" t="s">
        <v>419</v>
      </c>
      <c r="AW97" s="73" t="str">
        <f>IF(D97="","",IF(O97="",#REF!,""))</f>
        <v/>
      </c>
    </row>
    <row r="98" spans="1:49">
      <c r="A98" s="2">
        <v>89</v>
      </c>
      <c r="B98" s="6">
        <f t="shared" si="7"/>
        <v>0</v>
      </c>
      <c r="C98" s="22">
        <f t="shared" si="8"/>
        <v>0</v>
      </c>
      <c r="D98" s="75"/>
      <c r="E98" s="75"/>
      <c r="F98" s="75"/>
      <c r="G98" s="74"/>
      <c r="H98" s="74"/>
      <c r="I98" s="149"/>
      <c r="J98" s="75"/>
      <c r="K98" s="75" t="str">
        <f>IFERROR(VLOOKUP(J98,'PAINT LABOR COSTS'!$B$60:$C$61,2,FALSE),"Pick Color")</f>
        <v>Pick Color</v>
      </c>
      <c r="L98" s="149"/>
      <c r="M98" s="75"/>
      <c r="N98" s="149"/>
      <c r="O98" s="147">
        <v>0</v>
      </c>
      <c r="P98" s="148">
        <v>0</v>
      </c>
      <c r="Q98" s="147">
        <v>0</v>
      </c>
      <c r="R98" s="148">
        <v>0</v>
      </c>
      <c r="S98" s="149"/>
      <c r="T98" s="75" t="s">
        <v>419</v>
      </c>
      <c r="U98" s="75" t="s">
        <v>419</v>
      </c>
      <c r="V98" s="75" t="s">
        <v>419</v>
      </c>
      <c r="W98" s="75" t="s">
        <v>419</v>
      </c>
      <c r="X98" s="75" t="s">
        <v>419</v>
      </c>
      <c r="Y98" s="75" t="s">
        <v>419</v>
      </c>
      <c r="Z98" s="75" t="s">
        <v>419</v>
      </c>
      <c r="AA98" s="75">
        <v>0</v>
      </c>
      <c r="AB98" s="75" t="s">
        <v>419</v>
      </c>
      <c r="AC98" s="75">
        <v>0</v>
      </c>
      <c r="AD98" s="75" t="s">
        <v>419</v>
      </c>
      <c r="AW98" s="73" t="str">
        <f>IF(D98="","",IF(O98="",#REF!,""))</f>
        <v/>
      </c>
    </row>
    <row r="99" spans="1:49">
      <c r="A99" s="2">
        <v>90</v>
      </c>
      <c r="B99" s="6">
        <f t="shared" si="7"/>
        <v>0</v>
      </c>
      <c r="C99" s="22">
        <f t="shared" si="8"/>
        <v>0</v>
      </c>
      <c r="D99" s="75"/>
      <c r="E99" s="75"/>
      <c r="F99" s="75"/>
      <c r="G99" s="74"/>
      <c r="H99" s="74"/>
      <c r="I99" s="149"/>
      <c r="J99" s="75"/>
      <c r="K99" s="75" t="str">
        <f>IFERROR(VLOOKUP(J99,'PAINT LABOR COSTS'!$B$60:$C$61,2,FALSE),"Pick Color")</f>
        <v>Pick Color</v>
      </c>
      <c r="L99" s="149"/>
      <c r="M99" s="75"/>
      <c r="N99" s="149"/>
      <c r="O99" s="147">
        <v>0</v>
      </c>
      <c r="P99" s="148">
        <v>0</v>
      </c>
      <c r="Q99" s="147">
        <v>0</v>
      </c>
      <c r="R99" s="148">
        <v>0</v>
      </c>
      <c r="S99" s="149"/>
      <c r="T99" s="75" t="s">
        <v>419</v>
      </c>
      <c r="U99" s="75" t="s">
        <v>419</v>
      </c>
      <c r="V99" s="75" t="s">
        <v>419</v>
      </c>
      <c r="W99" s="75" t="s">
        <v>419</v>
      </c>
      <c r="X99" s="75" t="s">
        <v>419</v>
      </c>
      <c r="Y99" s="75" t="s">
        <v>419</v>
      </c>
      <c r="Z99" s="75" t="s">
        <v>419</v>
      </c>
      <c r="AA99" s="75">
        <v>0</v>
      </c>
      <c r="AB99" s="75" t="s">
        <v>419</v>
      </c>
      <c r="AC99" s="75">
        <v>0</v>
      </c>
      <c r="AD99" s="75" t="s">
        <v>419</v>
      </c>
      <c r="AW99" s="73" t="str">
        <f>IF(D99="","",IF(O99="",#REF!,""))</f>
        <v/>
      </c>
    </row>
    <row r="100" spans="1:49">
      <c r="A100" s="2">
        <v>91</v>
      </c>
      <c r="B100" s="6">
        <f t="shared" si="7"/>
        <v>0</v>
      </c>
      <c r="C100" s="22">
        <f t="shared" si="8"/>
        <v>0</v>
      </c>
      <c r="D100" s="75"/>
      <c r="E100" s="75"/>
      <c r="F100" s="75"/>
      <c r="G100" s="74"/>
      <c r="H100" s="74"/>
      <c r="I100" s="149"/>
      <c r="J100" s="75"/>
      <c r="K100" s="75" t="str">
        <f>IFERROR(VLOOKUP(J100,'PAINT LABOR COSTS'!$B$60:$C$61,2,FALSE),"Pick Color")</f>
        <v>Pick Color</v>
      </c>
      <c r="L100" s="149"/>
      <c r="M100" s="75"/>
      <c r="N100" s="149"/>
      <c r="O100" s="147">
        <v>0</v>
      </c>
      <c r="P100" s="148">
        <v>0</v>
      </c>
      <c r="Q100" s="147">
        <v>0</v>
      </c>
      <c r="R100" s="148">
        <v>0</v>
      </c>
      <c r="S100" s="149"/>
      <c r="T100" s="75" t="s">
        <v>419</v>
      </c>
      <c r="U100" s="75" t="s">
        <v>419</v>
      </c>
      <c r="V100" s="75" t="s">
        <v>419</v>
      </c>
      <c r="W100" s="75" t="s">
        <v>419</v>
      </c>
      <c r="X100" s="75" t="s">
        <v>419</v>
      </c>
      <c r="Y100" s="75" t="s">
        <v>419</v>
      </c>
      <c r="Z100" s="75" t="s">
        <v>419</v>
      </c>
      <c r="AA100" s="75">
        <v>0</v>
      </c>
      <c r="AB100" s="75" t="s">
        <v>419</v>
      </c>
      <c r="AC100" s="75">
        <v>0</v>
      </c>
      <c r="AD100" s="75" t="s">
        <v>419</v>
      </c>
      <c r="AW100" s="73" t="str">
        <f>IF(D100="","",IF(O100="",#REF!,""))</f>
        <v/>
      </c>
    </row>
    <row r="101" spans="1:49">
      <c r="A101" s="2">
        <v>92</v>
      </c>
      <c r="B101" s="6">
        <f t="shared" si="7"/>
        <v>0</v>
      </c>
      <c r="C101" s="22">
        <f t="shared" si="8"/>
        <v>0</v>
      </c>
      <c r="D101" s="75"/>
      <c r="E101" s="75"/>
      <c r="F101" s="75"/>
      <c r="G101" s="74"/>
      <c r="H101" s="74"/>
      <c r="I101" s="149"/>
      <c r="J101" s="75"/>
      <c r="K101" s="75" t="str">
        <f>IFERROR(VLOOKUP(J101,'PAINT LABOR COSTS'!$B$60:$C$61,2,FALSE),"Pick Color")</f>
        <v>Pick Color</v>
      </c>
      <c r="L101" s="149"/>
      <c r="M101" s="75"/>
      <c r="N101" s="149"/>
      <c r="O101" s="147">
        <v>0</v>
      </c>
      <c r="P101" s="148">
        <v>0</v>
      </c>
      <c r="Q101" s="147">
        <v>0</v>
      </c>
      <c r="R101" s="148">
        <v>0</v>
      </c>
      <c r="S101" s="149"/>
      <c r="T101" s="75" t="s">
        <v>419</v>
      </c>
      <c r="U101" s="75" t="s">
        <v>419</v>
      </c>
      <c r="V101" s="75" t="s">
        <v>419</v>
      </c>
      <c r="W101" s="75" t="s">
        <v>419</v>
      </c>
      <c r="X101" s="75" t="s">
        <v>419</v>
      </c>
      <c r="Y101" s="75" t="s">
        <v>419</v>
      </c>
      <c r="Z101" s="75" t="s">
        <v>419</v>
      </c>
      <c r="AA101" s="75">
        <v>0</v>
      </c>
      <c r="AB101" s="75" t="s">
        <v>419</v>
      </c>
      <c r="AC101" s="75">
        <v>0</v>
      </c>
      <c r="AD101" s="75" t="s">
        <v>419</v>
      </c>
      <c r="AW101" s="73" t="str">
        <f>IF(D101="","",IF(O101="",#REF!,""))</f>
        <v/>
      </c>
    </row>
    <row r="102" spans="1:49">
      <c r="A102" s="2">
        <v>93</v>
      </c>
      <c r="B102" s="6">
        <f t="shared" si="7"/>
        <v>0</v>
      </c>
      <c r="C102" s="22">
        <f t="shared" si="8"/>
        <v>0</v>
      </c>
      <c r="D102" s="75"/>
      <c r="E102" s="75"/>
      <c r="F102" s="75"/>
      <c r="G102" s="74"/>
      <c r="H102" s="74"/>
      <c r="I102" s="149"/>
      <c r="J102" s="75"/>
      <c r="K102" s="75" t="str">
        <f>IFERROR(VLOOKUP(J102,'PAINT LABOR COSTS'!$B$60:$C$61,2,FALSE),"Pick Color")</f>
        <v>Pick Color</v>
      </c>
      <c r="L102" s="149"/>
      <c r="M102" s="75"/>
      <c r="N102" s="149"/>
      <c r="O102" s="147">
        <v>0</v>
      </c>
      <c r="P102" s="148">
        <v>0</v>
      </c>
      <c r="Q102" s="147">
        <v>0</v>
      </c>
      <c r="R102" s="148">
        <v>0</v>
      </c>
      <c r="S102" s="149"/>
      <c r="T102" s="75" t="s">
        <v>419</v>
      </c>
      <c r="U102" s="75" t="s">
        <v>419</v>
      </c>
      <c r="V102" s="75" t="s">
        <v>419</v>
      </c>
      <c r="W102" s="75" t="s">
        <v>419</v>
      </c>
      <c r="X102" s="75" t="s">
        <v>419</v>
      </c>
      <c r="Y102" s="75" t="s">
        <v>419</v>
      </c>
      <c r="Z102" s="75" t="s">
        <v>419</v>
      </c>
      <c r="AA102" s="75">
        <v>0</v>
      </c>
      <c r="AB102" s="75" t="s">
        <v>419</v>
      </c>
      <c r="AC102" s="75">
        <v>0</v>
      </c>
      <c r="AD102" s="75" t="s">
        <v>419</v>
      </c>
      <c r="AW102" s="73" t="str">
        <f>IF(D102="","",IF(O102="",#REF!,""))</f>
        <v/>
      </c>
    </row>
    <row r="103" spans="1:49">
      <c r="A103" s="2">
        <v>94</v>
      </c>
      <c r="B103" s="6">
        <f t="shared" si="7"/>
        <v>0</v>
      </c>
      <c r="C103" s="22">
        <f t="shared" si="8"/>
        <v>0</v>
      </c>
      <c r="D103" s="75"/>
      <c r="E103" s="75"/>
      <c r="F103" s="75"/>
      <c r="G103" s="74"/>
      <c r="H103" s="74"/>
      <c r="I103" s="149"/>
      <c r="J103" s="75"/>
      <c r="K103" s="75" t="str">
        <f>IFERROR(VLOOKUP(J103,'PAINT LABOR COSTS'!$B$60:$C$61,2,FALSE),"Pick Color")</f>
        <v>Pick Color</v>
      </c>
      <c r="L103" s="149"/>
      <c r="M103" s="75"/>
      <c r="N103" s="149"/>
      <c r="O103" s="147">
        <v>0</v>
      </c>
      <c r="P103" s="148">
        <v>0</v>
      </c>
      <c r="Q103" s="147">
        <v>0</v>
      </c>
      <c r="R103" s="148">
        <v>0</v>
      </c>
      <c r="S103" s="149"/>
      <c r="T103" s="75" t="s">
        <v>419</v>
      </c>
      <c r="U103" s="75" t="s">
        <v>419</v>
      </c>
      <c r="V103" s="75" t="s">
        <v>419</v>
      </c>
      <c r="W103" s="75" t="s">
        <v>419</v>
      </c>
      <c r="X103" s="75" t="s">
        <v>419</v>
      </c>
      <c r="Y103" s="75" t="s">
        <v>419</v>
      </c>
      <c r="Z103" s="75" t="s">
        <v>419</v>
      </c>
      <c r="AA103" s="75">
        <v>0</v>
      </c>
      <c r="AB103" s="75" t="s">
        <v>419</v>
      </c>
      <c r="AC103" s="75">
        <v>0</v>
      </c>
      <c r="AD103" s="75" t="s">
        <v>419</v>
      </c>
      <c r="AW103" s="73" t="str">
        <f>IF(D103="","",IF(O103="",#REF!,""))</f>
        <v/>
      </c>
    </row>
    <row r="104" spans="1:49">
      <c r="A104" s="2">
        <v>95</v>
      </c>
      <c r="B104" s="6">
        <f t="shared" si="7"/>
        <v>0</v>
      </c>
      <c r="C104" s="22">
        <f t="shared" si="8"/>
        <v>0</v>
      </c>
      <c r="D104" s="75"/>
      <c r="E104" s="75"/>
      <c r="F104" s="75"/>
      <c r="G104" s="74"/>
      <c r="H104" s="74"/>
      <c r="I104" s="149"/>
      <c r="J104" s="75"/>
      <c r="K104" s="75" t="str">
        <f>IFERROR(VLOOKUP(J104,'PAINT LABOR COSTS'!$B$60:$C$61,2,FALSE),"Pick Color")</f>
        <v>Pick Color</v>
      </c>
      <c r="L104" s="149"/>
      <c r="M104" s="75"/>
      <c r="N104" s="149"/>
      <c r="O104" s="147">
        <v>0</v>
      </c>
      <c r="P104" s="148">
        <v>0</v>
      </c>
      <c r="Q104" s="147">
        <v>0</v>
      </c>
      <c r="R104" s="148">
        <v>0</v>
      </c>
      <c r="S104" s="149"/>
      <c r="T104" s="75" t="s">
        <v>419</v>
      </c>
      <c r="U104" s="75" t="s">
        <v>419</v>
      </c>
      <c r="V104" s="75" t="s">
        <v>419</v>
      </c>
      <c r="W104" s="75" t="s">
        <v>419</v>
      </c>
      <c r="X104" s="75" t="s">
        <v>419</v>
      </c>
      <c r="Y104" s="75" t="s">
        <v>419</v>
      </c>
      <c r="Z104" s="75" t="s">
        <v>419</v>
      </c>
      <c r="AA104" s="75">
        <v>0</v>
      </c>
      <c r="AB104" s="75" t="s">
        <v>419</v>
      </c>
      <c r="AC104" s="75">
        <v>0</v>
      </c>
      <c r="AD104" s="75" t="s">
        <v>419</v>
      </c>
      <c r="AW104" s="73" t="str">
        <f>IF(D104="","",IF(O104="",#REF!,""))</f>
        <v/>
      </c>
    </row>
    <row r="105" spans="1:49">
      <c r="A105" s="2">
        <v>96</v>
      </c>
      <c r="B105" s="6">
        <f t="shared" si="7"/>
        <v>0</v>
      </c>
      <c r="C105" s="22">
        <f t="shared" si="8"/>
        <v>0</v>
      </c>
      <c r="D105" s="75"/>
      <c r="E105" s="75"/>
      <c r="F105" s="75"/>
      <c r="G105" s="74"/>
      <c r="H105" s="74"/>
      <c r="I105" s="149"/>
      <c r="J105" s="75"/>
      <c r="K105" s="75" t="str">
        <f>IFERROR(VLOOKUP(J105,'PAINT LABOR COSTS'!$B$60:$C$61,2,FALSE),"Pick Color")</f>
        <v>Pick Color</v>
      </c>
      <c r="L105" s="149"/>
      <c r="M105" s="75"/>
      <c r="N105" s="149"/>
      <c r="O105" s="147">
        <v>0</v>
      </c>
      <c r="P105" s="148">
        <v>0</v>
      </c>
      <c r="Q105" s="147">
        <v>0</v>
      </c>
      <c r="R105" s="148">
        <v>0</v>
      </c>
      <c r="S105" s="149"/>
      <c r="T105" s="75" t="s">
        <v>419</v>
      </c>
      <c r="U105" s="75" t="s">
        <v>419</v>
      </c>
      <c r="V105" s="75" t="s">
        <v>419</v>
      </c>
      <c r="W105" s="75" t="s">
        <v>419</v>
      </c>
      <c r="X105" s="75" t="s">
        <v>419</v>
      </c>
      <c r="Y105" s="75" t="s">
        <v>419</v>
      </c>
      <c r="Z105" s="75" t="s">
        <v>419</v>
      </c>
      <c r="AA105" s="75">
        <v>0</v>
      </c>
      <c r="AB105" s="75" t="s">
        <v>419</v>
      </c>
      <c r="AC105" s="75">
        <v>0</v>
      </c>
      <c r="AD105" s="75" t="s">
        <v>419</v>
      </c>
      <c r="AW105" s="73" t="str">
        <f>IF(D105="","",IF(O105="",#REF!,""))</f>
        <v/>
      </c>
    </row>
    <row r="106" spans="1:49">
      <c r="A106" s="2">
        <v>97</v>
      </c>
      <c r="B106" s="6">
        <f t="shared" si="7"/>
        <v>0</v>
      </c>
      <c r="C106" s="22">
        <f t="shared" si="8"/>
        <v>0</v>
      </c>
      <c r="D106" s="75"/>
      <c r="E106" s="75"/>
      <c r="F106" s="75"/>
      <c r="G106" s="74"/>
      <c r="H106" s="74"/>
      <c r="I106" s="149"/>
      <c r="J106" s="75"/>
      <c r="K106" s="75" t="str">
        <f>IFERROR(VLOOKUP(J106,'PAINT LABOR COSTS'!$B$60:$C$61,2,FALSE),"Pick Color")</f>
        <v>Pick Color</v>
      </c>
      <c r="L106" s="149"/>
      <c r="M106" s="75"/>
      <c r="N106" s="149"/>
      <c r="O106" s="147">
        <v>0</v>
      </c>
      <c r="P106" s="148">
        <v>0</v>
      </c>
      <c r="Q106" s="147">
        <v>0</v>
      </c>
      <c r="R106" s="148">
        <v>0</v>
      </c>
      <c r="S106" s="149"/>
      <c r="T106" s="75" t="s">
        <v>419</v>
      </c>
      <c r="U106" s="75" t="s">
        <v>419</v>
      </c>
      <c r="V106" s="75" t="s">
        <v>419</v>
      </c>
      <c r="W106" s="75" t="s">
        <v>419</v>
      </c>
      <c r="X106" s="75" t="s">
        <v>419</v>
      </c>
      <c r="Y106" s="75" t="s">
        <v>419</v>
      </c>
      <c r="Z106" s="75" t="s">
        <v>419</v>
      </c>
      <c r="AA106" s="75">
        <v>0</v>
      </c>
      <c r="AB106" s="75" t="s">
        <v>419</v>
      </c>
      <c r="AC106" s="75">
        <v>0</v>
      </c>
      <c r="AD106" s="75" t="s">
        <v>419</v>
      </c>
      <c r="AW106" s="73" t="str">
        <f>IF(D106="","",IF(O106="",#REF!,""))</f>
        <v/>
      </c>
    </row>
    <row r="107" spans="1:49">
      <c r="A107" s="2">
        <v>98</v>
      </c>
      <c r="B107" s="6">
        <f t="shared" si="7"/>
        <v>0</v>
      </c>
      <c r="C107" s="22">
        <f t="shared" si="8"/>
        <v>0</v>
      </c>
      <c r="D107" s="75"/>
      <c r="E107" s="75"/>
      <c r="F107" s="75"/>
      <c r="G107" s="74"/>
      <c r="H107" s="74"/>
      <c r="I107" s="149"/>
      <c r="J107" s="75"/>
      <c r="K107" s="75" t="str">
        <f>IFERROR(VLOOKUP(J107,'PAINT LABOR COSTS'!$B$60:$C$61,2,FALSE),"Pick Color")</f>
        <v>Pick Color</v>
      </c>
      <c r="L107" s="149"/>
      <c r="M107" s="75"/>
      <c r="N107" s="149"/>
      <c r="O107" s="147">
        <v>0</v>
      </c>
      <c r="P107" s="148">
        <v>0</v>
      </c>
      <c r="Q107" s="147">
        <v>0</v>
      </c>
      <c r="R107" s="148">
        <v>0</v>
      </c>
      <c r="S107" s="149"/>
      <c r="T107" s="75" t="s">
        <v>419</v>
      </c>
      <c r="U107" s="75" t="s">
        <v>419</v>
      </c>
      <c r="V107" s="75" t="s">
        <v>419</v>
      </c>
      <c r="W107" s="75" t="s">
        <v>419</v>
      </c>
      <c r="X107" s="75" t="s">
        <v>419</v>
      </c>
      <c r="Y107" s="75" t="s">
        <v>419</v>
      </c>
      <c r="Z107" s="75" t="s">
        <v>419</v>
      </c>
      <c r="AA107" s="75">
        <v>0</v>
      </c>
      <c r="AB107" s="75" t="s">
        <v>419</v>
      </c>
      <c r="AC107" s="75">
        <v>0</v>
      </c>
      <c r="AD107" s="75" t="s">
        <v>419</v>
      </c>
      <c r="AW107" s="73" t="str">
        <f>IF(D107="","",IF(O107="",#REF!,""))</f>
        <v/>
      </c>
    </row>
    <row r="108" spans="1:49">
      <c r="A108" s="2">
        <v>99</v>
      </c>
      <c r="B108" s="6">
        <f t="shared" si="7"/>
        <v>0</v>
      </c>
      <c r="C108" s="22">
        <f t="shared" si="8"/>
        <v>0</v>
      </c>
      <c r="D108" s="75"/>
      <c r="E108" s="75"/>
      <c r="F108" s="75"/>
      <c r="G108" s="74"/>
      <c r="H108" s="74"/>
      <c r="I108" s="149"/>
      <c r="J108" s="75"/>
      <c r="K108" s="75" t="str">
        <f>IFERROR(VLOOKUP(J108,'PAINT LABOR COSTS'!$B$60:$C$61,2,FALSE),"Pick Color")</f>
        <v>Pick Color</v>
      </c>
      <c r="L108" s="149"/>
      <c r="M108" s="75"/>
      <c r="N108" s="149"/>
      <c r="O108" s="147">
        <v>0</v>
      </c>
      <c r="P108" s="148">
        <v>0</v>
      </c>
      <c r="Q108" s="147">
        <v>0</v>
      </c>
      <c r="R108" s="148">
        <v>0</v>
      </c>
      <c r="S108" s="149"/>
      <c r="T108" s="75" t="s">
        <v>419</v>
      </c>
      <c r="U108" s="75" t="s">
        <v>419</v>
      </c>
      <c r="V108" s="75" t="s">
        <v>419</v>
      </c>
      <c r="W108" s="75" t="s">
        <v>419</v>
      </c>
      <c r="X108" s="75" t="s">
        <v>419</v>
      </c>
      <c r="Y108" s="75" t="s">
        <v>419</v>
      </c>
      <c r="Z108" s="75" t="s">
        <v>419</v>
      </c>
      <c r="AA108" s="75">
        <v>0</v>
      </c>
      <c r="AB108" s="75" t="s">
        <v>419</v>
      </c>
      <c r="AC108" s="75">
        <v>0</v>
      </c>
      <c r="AD108" s="75" t="s">
        <v>419</v>
      </c>
    </row>
    <row r="109" spans="1:49" s="120" customFormat="1">
      <c r="A109" s="280">
        <v>100</v>
      </c>
      <c r="B109" s="6">
        <f t="shared" si="7"/>
        <v>0</v>
      </c>
      <c r="C109" s="22">
        <f t="shared" si="8"/>
        <v>0</v>
      </c>
      <c r="D109" s="75"/>
      <c r="E109" s="75"/>
      <c r="F109" s="75"/>
      <c r="G109" s="74"/>
      <c r="H109" s="74"/>
      <c r="I109" s="149"/>
      <c r="J109" s="75"/>
      <c r="K109" s="75" t="str">
        <f>IFERROR(VLOOKUP(J109,'PAINT LABOR COSTS'!$B$60:$C$61,2,FALSE),"Pick Color")</f>
        <v>Pick Color</v>
      </c>
      <c r="L109" s="149"/>
      <c r="M109" s="75"/>
      <c r="N109" s="149"/>
      <c r="O109" s="147">
        <v>0</v>
      </c>
      <c r="P109" s="148">
        <v>0</v>
      </c>
      <c r="Q109" s="147">
        <v>0</v>
      </c>
      <c r="R109" s="148">
        <v>0</v>
      </c>
      <c r="S109" s="149"/>
      <c r="T109" s="75" t="s">
        <v>419</v>
      </c>
      <c r="U109" s="75" t="s">
        <v>419</v>
      </c>
      <c r="V109" s="75" t="s">
        <v>419</v>
      </c>
      <c r="W109" s="75" t="s">
        <v>419</v>
      </c>
      <c r="X109" s="75" t="s">
        <v>419</v>
      </c>
      <c r="Y109" s="75" t="s">
        <v>419</v>
      </c>
      <c r="Z109" s="75" t="s">
        <v>419</v>
      </c>
      <c r="AA109" s="75">
        <v>0</v>
      </c>
      <c r="AB109" s="75" t="s">
        <v>419</v>
      </c>
      <c r="AC109" s="75">
        <v>0</v>
      </c>
      <c r="AD109" s="75" t="s">
        <v>419</v>
      </c>
      <c r="AE109" s="121"/>
      <c r="AK109" s="125"/>
    </row>
    <row r="110" spans="1:49" s="91" customFormat="1">
      <c r="A110" s="87"/>
      <c r="B110" s="87"/>
      <c r="C110" s="87"/>
      <c r="D110" s="87"/>
      <c r="E110" s="87"/>
      <c r="F110" s="87"/>
      <c r="I110"/>
      <c r="J110" s="87"/>
      <c r="K110" s="87"/>
      <c r="L110"/>
      <c r="M110" s="87"/>
      <c r="N110"/>
      <c r="O110" s="122"/>
      <c r="P110" s="122"/>
      <c r="Q110" s="122"/>
      <c r="R110" s="122"/>
      <c r="S110"/>
      <c r="T110" s="87"/>
      <c r="U110" s="87"/>
      <c r="V110" s="87"/>
      <c r="W110" s="87"/>
      <c r="X110" s="87"/>
      <c r="Y110" s="87"/>
      <c r="Z110" s="87"/>
      <c r="AA110" s="87"/>
      <c r="AB110" s="87"/>
      <c r="AC110" s="87"/>
      <c r="AD110" s="87"/>
      <c r="AE110" s="123"/>
      <c r="AK110" s="126"/>
    </row>
    <row r="160" spans="5:38" ht="18.75">
      <c r="E160" s="140"/>
      <c r="F160" s="140"/>
      <c r="G160" s="141"/>
      <c r="H160" s="141"/>
      <c r="I160" s="141"/>
      <c r="J160" s="140"/>
      <c r="K160" s="140"/>
      <c r="L160" s="141"/>
      <c r="M160" s="140"/>
      <c r="N160" s="141"/>
      <c r="O160" s="142">
        <v>0</v>
      </c>
      <c r="P160" s="143">
        <v>0</v>
      </c>
      <c r="Q160" s="142">
        <v>0</v>
      </c>
      <c r="R160" s="142">
        <v>0</v>
      </c>
      <c r="S160" s="141"/>
      <c r="T160" s="140"/>
      <c r="U160" s="140"/>
      <c r="V160" s="140"/>
      <c r="W160" s="140"/>
      <c r="X160" s="140"/>
      <c r="Y160" s="140"/>
      <c r="Z160" s="140"/>
      <c r="AA160" s="140"/>
      <c r="AJ160" s="2" t="s">
        <v>527</v>
      </c>
      <c r="AK160" s="39"/>
      <c r="AL160" s="2"/>
    </row>
    <row r="161" spans="5:48" ht="18.75">
      <c r="E161" s="140" t="s">
        <v>460</v>
      </c>
      <c r="F161" s="140" t="s">
        <v>527</v>
      </c>
      <c r="G161" s="140"/>
      <c r="H161" s="140"/>
      <c r="I161" s="140"/>
      <c r="J161" s="140" t="s">
        <v>246</v>
      </c>
      <c r="K161" s="140"/>
      <c r="L161" s="140"/>
      <c r="M161" s="140" t="s">
        <v>420</v>
      </c>
      <c r="N161" s="140"/>
      <c r="O161" s="142">
        <v>12</v>
      </c>
      <c r="P161" s="144">
        <v>0.125</v>
      </c>
      <c r="Q161" s="142">
        <v>12</v>
      </c>
      <c r="R161" s="142">
        <v>0.125</v>
      </c>
      <c r="S161" s="141"/>
      <c r="T161" s="140" t="s">
        <v>394</v>
      </c>
      <c r="U161" s="140"/>
      <c r="V161" s="140"/>
      <c r="W161" s="140"/>
      <c r="X161" s="140"/>
      <c r="Y161" s="140"/>
      <c r="Z161" s="140"/>
      <c r="AA161" s="145">
        <v>0</v>
      </c>
      <c r="AJ161" s="113" t="s">
        <v>509</v>
      </c>
      <c r="AK161" s="115">
        <f>Parts!M151</f>
        <v>0.19469933035714287</v>
      </c>
      <c r="AL161" s="115">
        <f>Parts!M152</f>
        <v>3.8193600000000004E-3</v>
      </c>
      <c r="AM161" s="2" t="s">
        <v>527</v>
      </c>
      <c r="AN161" s="2" t="s">
        <v>527</v>
      </c>
      <c r="AO161" s="2" t="s">
        <v>527</v>
      </c>
    </row>
    <row r="162" spans="5:48" ht="18.75">
      <c r="E162" s="140" t="s">
        <v>457</v>
      </c>
      <c r="F162" s="140" t="s">
        <v>529</v>
      </c>
      <c r="G162" s="140"/>
      <c r="H162" s="140"/>
      <c r="I162" s="140"/>
      <c r="J162" s="140" t="s">
        <v>195</v>
      </c>
      <c r="K162" s="140"/>
      <c r="L162" s="140"/>
      <c r="M162" s="140" t="s">
        <v>530</v>
      </c>
      <c r="N162" s="140"/>
      <c r="O162" s="142">
        <v>13</v>
      </c>
      <c r="P162" s="144">
        <v>0.25</v>
      </c>
      <c r="Q162" s="142">
        <v>13</v>
      </c>
      <c r="R162" s="142">
        <v>0.25</v>
      </c>
      <c r="S162" s="141"/>
      <c r="T162" s="140" t="s">
        <v>419</v>
      </c>
      <c r="U162" s="140"/>
      <c r="V162" s="140"/>
      <c r="W162" s="140"/>
      <c r="X162" s="140"/>
      <c r="Y162" s="140"/>
      <c r="Z162" s="140"/>
      <c r="AA162" s="145" t="s">
        <v>463</v>
      </c>
      <c r="AJ162" s="2">
        <f>Parts!M84</f>
        <v>54.900500000000008</v>
      </c>
      <c r="AK162" s="39" t="s">
        <v>527</v>
      </c>
      <c r="AL162" s="2" t="s">
        <v>527</v>
      </c>
      <c r="AM162">
        <v>1.8700000000000001E-2</v>
      </c>
      <c r="AN162">
        <v>4.1089999999999998E-3</v>
      </c>
      <c r="AO162">
        <v>3.363E-2</v>
      </c>
      <c r="AP162">
        <v>4.5739999999999999E-3</v>
      </c>
      <c r="AQ162" s="5">
        <f>'PAINT LABOR COSTS'!M60/144</f>
        <v>7.634611111111112E-3</v>
      </c>
      <c r="AR162" s="73">
        <f>'PAINT LABOR COSTS'!H60</f>
        <v>5.5999999999999999E-3</v>
      </c>
      <c r="AS162" s="5">
        <f>'PAINT LABOR COSTS'!M61/144</f>
        <v>1.0070067509673854E-2</v>
      </c>
      <c r="AV162" t="s">
        <v>420</v>
      </c>
    </row>
    <row r="163" spans="5:48" ht="18.75">
      <c r="E163" s="140"/>
      <c r="F163" s="140" t="s">
        <v>531</v>
      </c>
      <c r="G163" s="140"/>
      <c r="H163" s="140"/>
      <c r="I163" s="140"/>
      <c r="J163" s="140" t="s">
        <v>361</v>
      </c>
      <c r="K163" s="140"/>
      <c r="L163" s="140"/>
      <c r="M163" s="140" t="s">
        <v>422</v>
      </c>
      <c r="N163" s="140"/>
      <c r="O163" s="142">
        <v>14</v>
      </c>
      <c r="P163" s="144">
        <v>0.375</v>
      </c>
      <c r="Q163" s="142">
        <v>14</v>
      </c>
      <c r="R163" s="142">
        <v>0.375</v>
      </c>
      <c r="S163" s="141"/>
      <c r="T163" s="140"/>
      <c r="U163" s="140"/>
      <c r="V163" s="140"/>
      <c r="W163" s="140"/>
      <c r="X163" s="140"/>
      <c r="Y163" s="140"/>
      <c r="Z163" s="140"/>
      <c r="AA163" s="145" t="s">
        <v>465</v>
      </c>
      <c r="AJ163" s="2">
        <f>AJ162/4753</f>
        <v>1.1550704818009679E-2</v>
      </c>
      <c r="AK163" s="92">
        <v>5570</v>
      </c>
      <c r="AL163" s="2">
        <v>5570</v>
      </c>
      <c r="AM163" s="2" t="s">
        <v>529</v>
      </c>
      <c r="AV163" s="73">
        <v>15</v>
      </c>
    </row>
    <row r="164" spans="5:48" ht="18.75">
      <c r="E164" s="140"/>
      <c r="F164" s="140" t="s">
        <v>532</v>
      </c>
      <c r="G164" s="140"/>
      <c r="H164" s="140"/>
      <c r="I164" s="140"/>
      <c r="J164" s="140" t="s">
        <v>423</v>
      </c>
      <c r="K164" s="140"/>
      <c r="L164" s="140"/>
      <c r="M164" s="140" t="s">
        <v>396</v>
      </c>
      <c r="N164" s="140"/>
      <c r="O164" s="142">
        <v>15</v>
      </c>
      <c r="P164" s="144">
        <v>0.5</v>
      </c>
      <c r="Q164" s="142">
        <v>15</v>
      </c>
      <c r="R164" s="142">
        <v>0.5</v>
      </c>
      <c r="S164" s="141"/>
      <c r="T164" s="140"/>
      <c r="U164" s="140"/>
      <c r="V164" s="140"/>
      <c r="W164" s="140"/>
      <c r="X164" s="140"/>
      <c r="Y164" s="140"/>
      <c r="Z164" s="140"/>
      <c r="AA164" s="145" t="s">
        <v>467</v>
      </c>
      <c r="AJ164" s="25" t="s">
        <v>510</v>
      </c>
      <c r="AK164" s="127"/>
      <c r="AL164" s="25"/>
      <c r="AV164" t="s">
        <v>421</v>
      </c>
    </row>
    <row r="165" spans="5:48" ht="18.75">
      <c r="E165" s="140"/>
      <c r="F165" s="140" t="s">
        <v>533</v>
      </c>
      <c r="G165" s="140"/>
      <c r="H165" s="140"/>
      <c r="I165" s="140"/>
      <c r="J165" s="140"/>
      <c r="K165" s="140"/>
      <c r="L165" s="140"/>
      <c r="M165" s="140" t="s">
        <v>423</v>
      </c>
      <c r="N165" s="140"/>
      <c r="O165" s="142">
        <v>16</v>
      </c>
      <c r="P165" s="144">
        <v>0.625</v>
      </c>
      <c r="Q165" s="142">
        <v>16</v>
      </c>
      <c r="R165" s="142">
        <v>0.625</v>
      </c>
      <c r="S165" s="141"/>
      <c r="T165" s="140"/>
      <c r="U165" s="140"/>
      <c r="V165" s="140"/>
      <c r="W165" s="140"/>
      <c r="X165" s="140"/>
      <c r="Y165" s="140"/>
      <c r="Z165" s="140"/>
      <c r="AA165" s="140"/>
      <c r="AJ165" s="2">
        <f>Parts!M83</f>
        <v>68.307500000000005</v>
      </c>
      <c r="AK165" s="39"/>
      <c r="AL165" s="2"/>
      <c r="AM165" s="2" t="s">
        <v>531</v>
      </c>
      <c r="AN165" s="2" t="s">
        <v>531</v>
      </c>
      <c r="AO165" s="2" t="s">
        <v>531</v>
      </c>
      <c r="AV165" s="73">
        <v>25</v>
      </c>
    </row>
    <row r="166" spans="5:48" ht="18.75">
      <c r="E166" s="140"/>
      <c r="F166" s="140"/>
      <c r="G166" s="141"/>
      <c r="H166" s="141"/>
      <c r="I166" s="141"/>
      <c r="J166" s="140"/>
      <c r="K166" s="140"/>
      <c r="L166" s="141"/>
      <c r="M166" s="140"/>
      <c r="N166" s="141"/>
      <c r="O166" s="142">
        <v>17</v>
      </c>
      <c r="P166" s="144">
        <v>0.75</v>
      </c>
      <c r="Q166" s="142">
        <v>17</v>
      </c>
      <c r="R166" s="142">
        <v>0.75</v>
      </c>
      <c r="S166" s="141"/>
      <c r="T166" s="140"/>
      <c r="U166" s="140"/>
      <c r="V166" s="140"/>
      <c r="W166" s="140"/>
      <c r="X166" s="140"/>
      <c r="Y166" s="140"/>
      <c r="Z166" s="140"/>
      <c r="AA166" s="140"/>
      <c r="AJ166" s="2">
        <f>AJ165/4753</f>
        <v>1.4371449610772144E-2</v>
      </c>
      <c r="AK166" s="39"/>
      <c r="AL166" s="2"/>
      <c r="AM166">
        <v>1.156215E-2</v>
      </c>
      <c r="AN166">
        <v>4.1089999999999998E-3</v>
      </c>
      <c r="AO166">
        <v>3.9771109999999998E-2</v>
      </c>
      <c r="AV166" t="s">
        <v>422</v>
      </c>
    </row>
    <row r="167" spans="5:48" ht="18.75">
      <c r="E167" s="140"/>
      <c r="F167" s="140"/>
      <c r="G167" s="141"/>
      <c r="H167" s="141"/>
      <c r="I167" s="141"/>
      <c r="J167" s="140"/>
      <c r="K167" s="140"/>
      <c r="L167" s="141"/>
      <c r="M167" s="140"/>
      <c r="N167" s="141"/>
      <c r="O167" s="142">
        <v>18</v>
      </c>
      <c r="P167" s="144">
        <v>0.875</v>
      </c>
      <c r="Q167" s="142">
        <v>18</v>
      </c>
      <c r="R167" s="142">
        <v>0.875</v>
      </c>
      <c r="S167" s="141"/>
      <c r="T167" s="140"/>
      <c r="U167" s="140"/>
      <c r="V167" s="140"/>
      <c r="W167" s="140"/>
      <c r="X167" s="140"/>
      <c r="Y167" s="140"/>
      <c r="Z167" s="140"/>
      <c r="AA167" s="140"/>
      <c r="AJ167" s="25" t="s">
        <v>537</v>
      </c>
      <c r="AK167" s="127"/>
      <c r="AL167" s="25"/>
      <c r="AV167" s="73">
        <v>15</v>
      </c>
    </row>
    <row r="168" spans="5:48" ht="18.75">
      <c r="E168" s="140"/>
      <c r="F168" s="140"/>
      <c r="G168" s="141"/>
      <c r="H168" s="141"/>
      <c r="I168" s="141"/>
      <c r="J168" s="140"/>
      <c r="K168" s="140"/>
      <c r="L168" s="141"/>
      <c r="M168" s="140"/>
      <c r="N168" s="141"/>
      <c r="O168" s="142">
        <v>19</v>
      </c>
      <c r="P168" s="142"/>
      <c r="Q168" s="142">
        <v>19</v>
      </c>
      <c r="R168" s="142"/>
      <c r="S168" s="141"/>
      <c r="T168" s="140"/>
      <c r="U168" s="140"/>
      <c r="V168" s="140"/>
      <c r="W168" s="140"/>
      <c r="X168" s="140"/>
      <c r="Y168" s="140"/>
      <c r="Z168" s="140"/>
      <c r="AA168" s="140"/>
      <c r="AJ168" s="2">
        <f>Parts!M82</f>
        <v>83.360400000000013</v>
      </c>
      <c r="AK168" s="39"/>
      <c r="AL168" s="2"/>
      <c r="AV168" t="s">
        <v>396</v>
      </c>
    </row>
    <row r="169" spans="5:48" ht="18.75">
      <c r="E169" s="140"/>
      <c r="F169" s="140"/>
      <c r="G169" s="141"/>
      <c r="H169" s="141"/>
      <c r="I169" s="141"/>
      <c r="J169" s="140"/>
      <c r="K169" s="140"/>
      <c r="L169" s="141"/>
      <c r="M169" s="140"/>
      <c r="N169" s="141"/>
      <c r="O169" s="142">
        <v>20</v>
      </c>
      <c r="P169" s="142"/>
      <c r="Q169" s="142">
        <v>20</v>
      </c>
      <c r="R169" s="142"/>
      <c r="S169" s="141"/>
      <c r="T169" s="140"/>
      <c r="U169" s="140"/>
      <c r="V169" s="140"/>
      <c r="W169" s="140"/>
      <c r="X169" s="140"/>
      <c r="Y169" s="140"/>
      <c r="Z169" s="140"/>
      <c r="AA169" s="140"/>
      <c r="AJ169" s="2">
        <f>AJ168/4753</f>
        <v>1.753848095939407E-2</v>
      </c>
      <c r="AK169" s="39"/>
      <c r="AL169" s="2"/>
      <c r="AV169" s="73">
        <v>15</v>
      </c>
    </row>
    <row r="170" spans="5:48" ht="18.75">
      <c r="E170" s="140"/>
      <c r="F170" s="140"/>
      <c r="G170" s="141"/>
      <c r="H170" s="141"/>
      <c r="I170" s="141"/>
      <c r="J170" s="140"/>
      <c r="K170" s="140"/>
      <c r="L170" s="141"/>
      <c r="M170" s="140"/>
      <c r="N170" s="141"/>
      <c r="O170" s="142">
        <v>21</v>
      </c>
      <c r="P170" s="142"/>
      <c r="Q170" s="142">
        <v>21</v>
      </c>
      <c r="R170" s="142"/>
      <c r="S170" s="141"/>
      <c r="T170" s="140"/>
      <c r="U170" s="140"/>
      <c r="V170" s="140"/>
      <c r="W170" s="140"/>
      <c r="X170" s="140"/>
      <c r="Y170" s="140"/>
      <c r="Z170" s="140"/>
      <c r="AA170" s="140"/>
      <c r="AJ170" s="2"/>
      <c r="AK170" s="39"/>
      <c r="AL170" s="2"/>
      <c r="AV170" t="s">
        <v>423</v>
      </c>
    </row>
    <row r="171" spans="5:48" ht="18.75">
      <c r="E171" s="140"/>
      <c r="F171" s="140"/>
      <c r="G171" s="141"/>
      <c r="H171" s="141"/>
      <c r="I171" s="141"/>
      <c r="J171" s="140"/>
      <c r="K171" s="140"/>
      <c r="L171" s="141"/>
      <c r="M171" s="140"/>
      <c r="N171" s="141"/>
      <c r="O171" s="142">
        <v>22</v>
      </c>
      <c r="P171" s="142"/>
      <c r="Q171" s="142">
        <v>22</v>
      </c>
      <c r="R171" s="142"/>
      <c r="S171" s="141"/>
      <c r="T171" s="140"/>
      <c r="U171" s="140"/>
      <c r="V171" s="140"/>
      <c r="W171" s="140"/>
      <c r="X171" s="140"/>
      <c r="Y171" s="140"/>
      <c r="Z171" s="140"/>
      <c r="AA171" s="140"/>
      <c r="AJ171" s="2" t="s">
        <v>531</v>
      </c>
      <c r="AV171" s="73">
        <v>5</v>
      </c>
    </row>
    <row r="172" spans="5:48" ht="18.75">
      <c r="E172" s="140"/>
      <c r="F172" s="140"/>
      <c r="G172" s="141"/>
      <c r="H172" s="141"/>
      <c r="I172" s="141"/>
      <c r="J172" s="140"/>
      <c r="K172" s="140"/>
      <c r="L172" s="141"/>
      <c r="M172" s="140"/>
      <c r="N172" s="141"/>
      <c r="O172" s="142">
        <v>23</v>
      </c>
      <c r="P172" s="142"/>
      <c r="Q172" s="142">
        <v>23</v>
      </c>
      <c r="R172" s="142"/>
      <c r="S172" s="141"/>
      <c r="T172" s="140"/>
      <c r="U172" s="140"/>
      <c r="V172" s="140"/>
      <c r="W172" s="140"/>
      <c r="X172" s="140"/>
      <c r="Y172" s="140"/>
      <c r="Z172" s="140"/>
      <c r="AA172" s="140"/>
      <c r="AJ172" s="113" t="s">
        <v>510</v>
      </c>
      <c r="AK172" s="39"/>
      <c r="AL172" s="2"/>
    </row>
    <row r="173" spans="5:48" ht="18.75">
      <c r="E173" s="140"/>
      <c r="F173" s="140"/>
      <c r="G173" s="141"/>
      <c r="H173" s="141"/>
      <c r="I173" s="141"/>
      <c r="J173" s="140"/>
      <c r="K173" s="140"/>
      <c r="L173" s="141"/>
      <c r="M173" s="140"/>
      <c r="N173" s="141"/>
      <c r="O173" s="142">
        <v>24</v>
      </c>
      <c r="P173" s="142"/>
      <c r="Q173" s="142">
        <v>24</v>
      </c>
      <c r="R173" s="142"/>
      <c r="S173" s="141"/>
      <c r="T173" s="140"/>
      <c r="U173" s="140"/>
      <c r="V173" s="140"/>
      <c r="W173" s="140"/>
      <c r="X173" s="140"/>
      <c r="Y173" s="140"/>
      <c r="Z173" s="140"/>
      <c r="AA173" s="140"/>
    </row>
    <row r="174" spans="5:48" ht="18.75">
      <c r="E174" s="140"/>
      <c r="F174" s="140"/>
      <c r="G174" s="141"/>
      <c r="H174" s="141"/>
      <c r="I174" s="141"/>
      <c r="J174" s="140"/>
      <c r="K174" s="140"/>
      <c r="L174" s="141"/>
      <c r="M174" s="140"/>
      <c r="N174" s="141"/>
      <c r="O174" s="142">
        <v>25</v>
      </c>
      <c r="P174" s="142"/>
      <c r="Q174" s="142">
        <v>25</v>
      </c>
      <c r="R174" s="142"/>
      <c r="S174" s="141"/>
      <c r="T174" s="140"/>
      <c r="U174" s="140"/>
      <c r="V174" s="140"/>
      <c r="W174" s="140"/>
      <c r="X174" s="140"/>
      <c r="Y174" s="140"/>
      <c r="Z174" s="140"/>
      <c r="AA174" s="140"/>
      <c r="AJ174" s="25" t="s">
        <v>537</v>
      </c>
    </row>
    <row r="175" spans="5:48" ht="18.75">
      <c r="E175" s="140"/>
      <c r="F175" s="140"/>
      <c r="G175" s="141"/>
      <c r="H175" s="141"/>
      <c r="I175" s="141"/>
      <c r="J175" s="140"/>
      <c r="K175" s="140"/>
      <c r="L175" s="141"/>
      <c r="M175" s="140"/>
      <c r="N175" s="141"/>
      <c r="O175" s="142">
        <v>26</v>
      </c>
      <c r="P175" s="142"/>
      <c r="Q175" s="142">
        <v>26</v>
      </c>
      <c r="R175" s="142"/>
      <c r="S175" s="141"/>
      <c r="T175" s="140"/>
      <c r="U175" s="140"/>
      <c r="V175" s="140"/>
      <c r="W175" s="140"/>
      <c r="X175" s="140"/>
      <c r="Y175" s="140"/>
      <c r="Z175" s="140"/>
      <c r="AA175" s="140"/>
    </row>
    <row r="176" spans="5:48" ht="18.75">
      <c r="E176" s="140"/>
      <c r="F176" s="140"/>
      <c r="G176" s="141"/>
      <c r="H176" s="141"/>
      <c r="I176" s="141"/>
      <c r="J176" s="140"/>
      <c r="K176" s="140"/>
      <c r="L176" s="141"/>
      <c r="M176" s="140"/>
      <c r="N176" s="141"/>
      <c r="O176" s="142">
        <v>27</v>
      </c>
      <c r="P176" s="142"/>
      <c r="Q176" s="142">
        <v>27</v>
      </c>
      <c r="R176" s="142"/>
      <c r="S176" s="141"/>
      <c r="T176" s="140"/>
      <c r="U176" s="140"/>
      <c r="V176" s="140"/>
      <c r="W176" s="140"/>
      <c r="X176" s="140"/>
      <c r="Y176" s="140"/>
      <c r="Z176" s="140"/>
      <c r="AA176" s="140"/>
    </row>
    <row r="177" spans="5:27" ht="18.75">
      <c r="E177" s="140"/>
      <c r="F177" s="140"/>
      <c r="G177" s="141"/>
      <c r="H177" s="141"/>
      <c r="I177" s="141"/>
      <c r="J177" s="140"/>
      <c r="K177" s="140"/>
      <c r="L177" s="141"/>
      <c r="M177" s="140"/>
      <c r="N177" s="141"/>
      <c r="O177" s="142">
        <v>28</v>
      </c>
      <c r="P177" s="142"/>
      <c r="Q177" s="142">
        <v>28</v>
      </c>
      <c r="R177" s="142"/>
      <c r="S177" s="141"/>
      <c r="T177" s="140"/>
      <c r="U177" s="140"/>
      <c r="V177" s="140"/>
      <c r="W177" s="140"/>
      <c r="X177" s="140"/>
      <c r="Y177" s="140"/>
      <c r="Z177" s="140"/>
      <c r="AA177" s="140"/>
    </row>
    <row r="178" spans="5:27" ht="18.75">
      <c r="E178" s="140"/>
      <c r="F178" s="140"/>
      <c r="G178" s="141"/>
      <c r="H178" s="141"/>
      <c r="I178" s="141"/>
      <c r="J178" s="140"/>
      <c r="K178" s="140"/>
      <c r="L178" s="141"/>
      <c r="M178" s="140"/>
      <c r="N178" s="141"/>
      <c r="O178" s="142">
        <v>29</v>
      </c>
      <c r="P178" s="142"/>
      <c r="Q178" s="142">
        <v>29</v>
      </c>
      <c r="R178" s="142"/>
      <c r="S178" s="141"/>
      <c r="T178" s="140"/>
      <c r="U178" s="140"/>
      <c r="V178" s="140"/>
      <c r="W178" s="140"/>
      <c r="X178" s="140"/>
      <c r="Y178" s="140"/>
      <c r="Z178" s="140"/>
      <c r="AA178" s="140"/>
    </row>
    <row r="179" spans="5:27" ht="18.75">
      <c r="E179" s="140"/>
      <c r="F179" s="140"/>
      <c r="G179" s="141"/>
      <c r="H179" s="141"/>
      <c r="I179" s="141"/>
      <c r="J179" s="140"/>
      <c r="K179" s="140"/>
      <c r="L179" s="141"/>
      <c r="M179" s="140"/>
      <c r="N179" s="141"/>
      <c r="O179" s="142">
        <v>30</v>
      </c>
      <c r="P179" s="142"/>
      <c r="Q179" s="142">
        <v>30</v>
      </c>
      <c r="R179" s="142"/>
      <c r="S179" s="141"/>
      <c r="T179" s="140"/>
      <c r="U179" s="140"/>
      <c r="V179" s="140"/>
      <c r="W179" s="140"/>
      <c r="X179" s="140"/>
      <c r="Y179" s="140"/>
      <c r="Z179" s="140"/>
      <c r="AA179" s="140"/>
    </row>
    <row r="180" spans="5:27" ht="18.75">
      <c r="E180" s="140"/>
      <c r="F180" s="140"/>
      <c r="G180" s="141"/>
      <c r="H180" s="141"/>
      <c r="I180" s="141"/>
      <c r="J180" s="140"/>
      <c r="K180" s="140"/>
      <c r="L180" s="141"/>
      <c r="M180" s="140"/>
      <c r="N180" s="141"/>
      <c r="O180" s="140">
        <v>31</v>
      </c>
      <c r="P180" s="142"/>
      <c r="Q180" s="142">
        <v>31</v>
      </c>
      <c r="R180" s="142"/>
      <c r="S180" s="141"/>
      <c r="T180" s="140"/>
      <c r="U180" s="140"/>
      <c r="V180" s="140"/>
      <c r="W180" s="140"/>
      <c r="X180" s="140"/>
      <c r="Y180" s="140"/>
      <c r="Z180" s="140"/>
      <c r="AA180" s="140"/>
    </row>
    <row r="181" spans="5:27" ht="18.75">
      <c r="E181" s="140"/>
      <c r="F181" s="140"/>
      <c r="G181" s="141"/>
      <c r="H181" s="141"/>
      <c r="I181" s="141"/>
      <c r="J181" s="140"/>
      <c r="K181" s="140"/>
      <c r="L181" s="141"/>
      <c r="M181" s="140"/>
      <c r="N181" s="141"/>
      <c r="O181" s="140">
        <v>32</v>
      </c>
      <c r="P181" s="142"/>
      <c r="Q181" s="142">
        <v>32</v>
      </c>
      <c r="R181" s="142"/>
      <c r="S181" s="141"/>
      <c r="T181" s="140"/>
      <c r="U181" s="140"/>
      <c r="V181" s="140"/>
      <c r="W181" s="140"/>
      <c r="X181" s="140"/>
      <c r="Y181" s="140"/>
      <c r="Z181" s="140"/>
      <c r="AA181" s="140"/>
    </row>
    <row r="182" spans="5:27" ht="18.75">
      <c r="E182" s="140"/>
      <c r="F182" s="140"/>
      <c r="G182" s="141"/>
      <c r="H182" s="141"/>
      <c r="I182" s="141"/>
      <c r="J182" s="140"/>
      <c r="K182" s="140"/>
      <c r="L182" s="141"/>
      <c r="M182" s="140"/>
      <c r="N182" s="141"/>
      <c r="O182" s="140">
        <v>33</v>
      </c>
      <c r="P182" s="142"/>
      <c r="Q182" s="142">
        <v>33</v>
      </c>
      <c r="R182" s="142"/>
      <c r="S182" s="141"/>
      <c r="T182" s="140"/>
      <c r="U182" s="140"/>
      <c r="V182" s="140"/>
      <c r="W182" s="140"/>
      <c r="X182" s="140"/>
      <c r="Y182" s="140"/>
      <c r="Z182" s="140"/>
      <c r="AA182" s="140"/>
    </row>
    <row r="183" spans="5:27" ht="18.75">
      <c r="E183" s="140"/>
      <c r="F183" s="140"/>
      <c r="G183" s="141"/>
      <c r="H183" s="141"/>
      <c r="I183" s="141"/>
      <c r="J183" s="140"/>
      <c r="K183" s="140"/>
      <c r="L183" s="141"/>
      <c r="M183" s="140"/>
      <c r="N183" s="141"/>
      <c r="O183" s="140">
        <v>34</v>
      </c>
      <c r="P183" s="142"/>
      <c r="Q183" s="142">
        <v>34</v>
      </c>
      <c r="R183" s="142"/>
      <c r="S183" s="141"/>
      <c r="T183" s="140"/>
      <c r="U183" s="140"/>
      <c r="V183" s="140"/>
      <c r="W183" s="140"/>
      <c r="X183" s="140"/>
      <c r="Y183" s="140"/>
      <c r="Z183" s="140"/>
      <c r="AA183" s="140"/>
    </row>
    <row r="184" spans="5:27" ht="18.75">
      <c r="E184" s="140"/>
      <c r="F184" s="140"/>
      <c r="G184" s="141"/>
      <c r="H184" s="141"/>
      <c r="I184" s="141"/>
      <c r="J184" s="140"/>
      <c r="K184" s="140"/>
      <c r="L184" s="141"/>
      <c r="M184" s="140"/>
      <c r="N184" s="141"/>
      <c r="O184" s="140">
        <v>35</v>
      </c>
      <c r="P184" s="142"/>
      <c r="Q184" s="142">
        <v>35</v>
      </c>
      <c r="R184" s="142"/>
      <c r="S184" s="141"/>
      <c r="T184" s="140"/>
      <c r="U184" s="140"/>
      <c r="V184" s="140"/>
      <c r="W184" s="140"/>
      <c r="X184" s="140"/>
      <c r="Y184" s="140"/>
      <c r="Z184" s="140"/>
      <c r="AA184" s="140"/>
    </row>
    <row r="185" spans="5:27" ht="18.75">
      <c r="E185" s="140"/>
      <c r="F185" s="140"/>
      <c r="G185" s="141"/>
      <c r="H185" s="141"/>
      <c r="I185" s="141"/>
      <c r="J185" s="140"/>
      <c r="K185" s="140"/>
      <c r="L185" s="141"/>
      <c r="M185" s="140"/>
      <c r="N185" s="141"/>
      <c r="O185" s="140">
        <v>36</v>
      </c>
      <c r="P185" s="142"/>
      <c r="Q185" s="142">
        <v>36</v>
      </c>
      <c r="R185" s="142"/>
      <c r="S185" s="141"/>
      <c r="T185" s="140"/>
      <c r="U185" s="140"/>
      <c r="V185" s="140"/>
      <c r="W185" s="140"/>
      <c r="X185" s="140"/>
      <c r="Y185" s="140"/>
      <c r="Z185" s="140"/>
      <c r="AA185" s="140"/>
    </row>
    <row r="186" spans="5:27" ht="18.75">
      <c r="E186" s="140"/>
      <c r="F186" s="140"/>
      <c r="G186" s="141"/>
      <c r="H186" s="141"/>
      <c r="I186" s="141"/>
      <c r="J186" s="140"/>
      <c r="K186" s="140"/>
      <c r="L186" s="141"/>
      <c r="M186" s="140"/>
      <c r="N186" s="141"/>
      <c r="O186" s="140">
        <v>37</v>
      </c>
      <c r="P186" s="142"/>
      <c r="Q186" s="142">
        <v>37</v>
      </c>
      <c r="R186" s="142"/>
      <c r="S186" s="141"/>
      <c r="T186" s="140"/>
      <c r="U186" s="140"/>
      <c r="V186" s="140"/>
      <c r="W186" s="140"/>
      <c r="X186" s="140"/>
      <c r="Y186" s="140"/>
      <c r="Z186" s="140"/>
      <c r="AA186" s="140"/>
    </row>
    <row r="187" spans="5:27" ht="18.75">
      <c r="E187" s="140"/>
      <c r="F187" s="140"/>
      <c r="G187" s="141"/>
      <c r="H187" s="141"/>
      <c r="I187" s="141"/>
      <c r="J187" s="140"/>
      <c r="K187" s="140"/>
      <c r="L187" s="141"/>
      <c r="M187" s="140"/>
      <c r="N187" s="141"/>
      <c r="O187" s="140">
        <v>38</v>
      </c>
      <c r="P187" s="142"/>
      <c r="Q187" s="142">
        <v>38</v>
      </c>
      <c r="R187" s="142"/>
      <c r="S187" s="141"/>
      <c r="T187" s="140"/>
      <c r="U187" s="140"/>
      <c r="V187" s="140"/>
      <c r="W187" s="140"/>
      <c r="X187" s="140"/>
      <c r="Y187" s="140"/>
      <c r="Z187" s="140"/>
      <c r="AA187" s="140"/>
    </row>
    <row r="188" spans="5:27" ht="18.75">
      <c r="E188" s="140"/>
      <c r="F188" s="140"/>
      <c r="G188" s="141"/>
      <c r="H188" s="141"/>
      <c r="I188" s="141"/>
      <c r="J188" s="140"/>
      <c r="K188" s="140"/>
      <c r="L188" s="141"/>
      <c r="M188" s="140"/>
      <c r="N188" s="141"/>
      <c r="O188" s="140">
        <v>39</v>
      </c>
      <c r="P188" s="142"/>
      <c r="Q188" s="142">
        <v>39</v>
      </c>
      <c r="R188" s="142"/>
      <c r="S188" s="141"/>
      <c r="T188" s="140"/>
      <c r="U188" s="140"/>
      <c r="V188" s="140"/>
      <c r="W188" s="140"/>
      <c r="X188" s="140"/>
      <c r="Y188" s="140"/>
      <c r="Z188" s="140"/>
      <c r="AA188" s="140"/>
    </row>
    <row r="189" spans="5:27" ht="18.75">
      <c r="E189" s="140"/>
      <c r="F189" s="140"/>
      <c r="G189" s="141"/>
      <c r="H189" s="141"/>
      <c r="I189" s="141"/>
      <c r="J189" s="140"/>
      <c r="K189" s="140"/>
      <c r="L189" s="141"/>
      <c r="M189" s="140"/>
      <c r="N189" s="141"/>
      <c r="O189" s="140">
        <v>40</v>
      </c>
      <c r="P189" s="142"/>
      <c r="Q189" s="142">
        <v>40</v>
      </c>
      <c r="R189" s="142"/>
      <c r="S189" s="141"/>
      <c r="T189" s="140"/>
      <c r="U189" s="140"/>
      <c r="V189" s="140"/>
      <c r="W189" s="140"/>
      <c r="X189" s="140"/>
      <c r="Y189" s="140"/>
      <c r="Z189" s="140"/>
      <c r="AA189" s="140"/>
    </row>
    <row r="190" spans="5:27" ht="18.75">
      <c r="E190" s="140"/>
      <c r="F190" s="140"/>
      <c r="G190" s="141"/>
      <c r="H190" s="141"/>
      <c r="I190" s="141"/>
      <c r="J190" s="140"/>
      <c r="K190" s="140"/>
      <c r="L190" s="141"/>
      <c r="M190" s="140"/>
      <c r="N190" s="141"/>
      <c r="O190" s="140">
        <v>41</v>
      </c>
      <c r="P190" s="142"/>
      <c r="Q190" s="142">
        <v>41</v>
      </c>
      <c r="R190" s="142"/>
      <c r="S190" s="141"/>
      <c r="T190" s="140"/>
      <c r="U190" s="140"/>
      <c r="V190" s="140"/>
      <c r="W190" s="140"/>
      <c r="X190" s="140"/>
      <c r="Y190" s="140"/>
      <c r="Z190" s="140"/>
      <c r="AA190" s="140"/>
    </row>
    <row r="191" spans="5:27" ht="18.75">
      <c r="E191" s="140"/>
      <c r="F191" s="140"/>
      <c r="G191" s="141"/>
      <c r="H191" s="141"/>
      <c r="I191" s="141"/>
      <c r="J191" s="140"/>
      <c r="K191" s="140"/>
      <c r="L191" s="141"/>
      <c r="M191" s="140"/>
      <c r="N191" s="141"/>
      <c r="O191" s="140">
        <v>42</v>
      </c>
      <c r="P191" s="142"/>
      <c r="Q191" s="142">
        <v>42</v>
      </c>
      <c r="R191" s="142"/>
      <c r="S191" s="141"/>
      <c r="T191" s="140"/>
      <c r="U191" s="140"/>
      <c r="V191" s="140"/>
      <c r="W191" s="140"/>
      <c r="X191" s="140"/>
      <c r="Y191" s="140"/>
      <c r="Z191" s="140"/>
      <c r="AA191" s="140"/>
    </row>
    <row r="192" spans="5:27" ht="18.75">
      <c r="E192" s="140"/>
      <c r="F192" s="140"/>
      <c r="G192" s="141"/>
      <c r="H192" s="141"/>
      <c r="I192" s="141"/>
      <c r="J192" s="140"/>
      <c r="K192" s="140"/>
      <c r="L192" s="141"/>
      <c r="M192" s="140"/>
      <c r="N192" s="141"/>
      <c r="O192" s="140">
        <v>43</v>
      </c>
      <c r="P192" s="142"/>
      <c r="Q192" s="142">
        <v>43</v>
      </c>
      <c r="R192" s="142"/>
      <c r="S192" s="141"/>
      <c r="T192" s="140"/>
      <c r="U192" s="140"/>
      <c r="V192" s="140"/>
      <c r="W192" s="140"/>
      <c r="X192" s="140"/>
      <c r="Y192" s="140"/>
      <c r="Z192" s="140"/>
      <c r="AA192" s="140"/>
    </row>
    <row r="193" spans="5:27" ht="18.75">
      <c r="E193" s="140"/>
      <c r="F193" s="140"/>
      <c r="G193" s="141"/>
      <c r="H193" s="141"/>
      <c r="I193" s="141"/>
      <c r="J193" s="140"/>
      <c r="K193" s="140"/>
      <c r="L193" s="141"/>
      <c r="M193" s="140"/>
      <c r="N193" s="141"/>
      <c r="O193" s="140">
        <v>44</v>
      </c>
      <c r="P193" s="142"/>
      <c r="Q193" s="142">
        <v>44</v>
      </c>
      <c r="R193" s="142"/>
      <c r="S193" s="141"/>
      <c r="T193" s="140"/>
      <c r="U193" s="140"/>
      <c r="V193" s="140"/>
      <c r="W193" s="140"/>
      <c r="X193" s="140"/>
      <c r="Y193" s="140"/>
      <c r="Z193" s="140"/>
      <c r="AA193" s="140"/>
    </row>
    <row r="194" spans="5:27" ht="18.75">
      <c r="E194" s="140"/>
      <c r="F194" s="140"/>
      <c r="G194" s="141"/>
      <c r="H194" s="141"/>
      <c r="I194" s="141"/>
      <c r="J194" s="140"/>
      <c r="K194" s="140"/>
      <c r="L194" s="141"/>
      <c r="M194" s="140"/>
      <c r="N194" s="141"/>
      <c r="O194" s="140">
        <v>45</v>
      </c>
      <c r="P194" s="142"/>
      <c r="Q194" s="142">
        <v>45</v>
      </c>
      <c r="R194" s="142"/>
      <c r="S194" s="141"/>
      <c r="T194" s="140"/>
      <c r="U194" s="140"/>
      <c r="V194" s="140"/>
      <c r="W194" s="140"/>
      <c r="X194" s="140"/>
      <c r="Y194" s="140"/>
      <c r="Z194" s="140"/>
      <c r="AA194" s="140"/>
    </row>
    <row r="195" spans="5:27" ht="18.75">
      <c r="E195" s="140"/>
      <c r="F195" s="140"/>
      <c r="G195" s="141"/>
      <c r="H195" s="141"/>
      <c r="I195" s="141"/>
      <c r="J195" s="140"/>
      <c r="K195" s="140"/>
      <c r="L195" s="141"/>
      <c r="M195" s="140"/>
      <c r="N195" s="141"/>
      <c r="O195" s="140">
        <v>46</v>
      </c>
      <c r="P195" s="142"/>
      <c r="Q195" s="142">
        <v>46</v>
      </c>
      <c r="R195" s="142"/>
      <c r="S195" s="141"/>
      <c r="T195" s="140"/>
      <c r="U195" s="140"/>
      <c r="V195" s="140"/>
      <c r="W195" s="140"/>
      <c r="X195" s="140"/>
      <c r="Y195" s="140"/>
      <c r="Z195" s="140"/>
      <c r="AA195" s="140"/>
    </row>
    <row r="196" spans="5:27" ht="18.75">
      <c r="E196" s="140"/>
      <c r="F196" s="140"/>
      <c r="G196" s="141"/>
      <c r="H196" s="141"/>
      <c r="I196" s="141"/>
      <c r="J196" s="140"/>
      <c r="K196" s="140"/>
      <c r="L196" s="141"/>
      <c r="M196" s="140"/>
      <c r="N196" s="141"/>
      <c r="O196" s="140">
        <v>47</v>
      </c>
      <c r="P196" s="142"/>
      <c r="Q196" s="142">
        <v>47</v>
      </c>
      <c r="R196" s="142"/>
      <c r="S196" s="141"/>
      <c r="T196" s="140"/>
      <c r="U196" s="140"/>
      <c r="V196" s="140"/>
      <c r="W196" s="140"/>
      <c r="X196" s="140"/>
      <c r="Y196" s="140"/>
      <c r="Z196" s="140"/>
      <c r="AA196" s="140"/>
    </row>
    <row r="197" spans="5:27" ht="18.75">
      <c r="E197" s="140"/>
      <c r="F197" s="140"/>
      <c r="G197" s="141"/>
      <c r="H197" s="141"/>
      <c r="I197" s="141"/>
      <c r="J197" s="140"/>
      <c r="K197" s="140"/>
      <c r="L197" s="141"/>
      <c r="M197" s="140"/>
      <c r="N197" s="141"/>
      <c r="O197" s="140">
        <v>48</v>
      </c>
      <c r="P197" s="142"/>
      <c r="Q197" s="142">
        <v>48</v>
      </c>
      <c r="R197" s="142"/>
      <c r="S197" s="141"/>
      <c r="T197" s="140"/>
      <c r="U197" s="140"/>
      <c r="V197" s="140"/>
      <c r="W197" s="140"/>
      <c r="X197" s="140"/>
      <c r="Y197" s="140"/>
      <c r="Z197" s="140"/>
      <c r="AA197" s="140"/>
    </row>
    <row r="198" spans="5:27" ht="18.75">
      <c r="E198" s="140"/>
      <c r="F198" s="140"/>
      <c r="G198" s="141"/>
      <c r="H198" s="141"/>
      <c r="I198" s="141"/>
      <c r="J198" s="140"/>
      <c r="K198" s="140"/>
      <c r="L198" s="141"/>
      <c r="M198" s="140"/>
      <c r="N198" s="141"/>
      <c r="O198" s="142"/>
      <c r="P198" s="142"/>
      <c r="Q198" s="142">
        <v>49</v>
      </c>
      <c r="R198" s="142"/>
      <c r="S198" s="141"/>
      <c r="T198" s="140"/>
      <c r="U198" s="140"/>
      <c r="V198" s="140"/>
      <c r="W198" s="140"/>
      <c r="X198" s="140"/>
      <c r="Y198" s="140"/>
      <c r="Z198" s="140"/>
      <c r="AA198" s="140"/>
    </row>
    <row r="199" spans="5:27" ht="18.75">
      <c r="E199" s="140"/>
      <c r="F199" s="140"/>
      <c r="G199" s="141"/>
      <c r="H199" s="141"/>
      <c r="I199" s="141"/>
      <c r="J199" s="140"/>
      <c r="K199" s="140"/>
      <c r="L199" s="141"/>
      <c r="M199" s="140"/>
      <c r="N199" s="141"/>
      <c r="O199" s="142"/>
      <c r="P199" s="142"/>
      <c r="Q199" s="142">
        <v>50</v>
      </c>
      <c r="R199" s="142"/>
      <c r="S199" s="141"/>
      <c r="T199" s="140"/>
      <c r="U199" s="140"/>
      <c r="V199" s="140"/>
      <c r="W199" s="140"/>
      <c r="X199" s="140"/>
      <c r="Y199" s="140"/>
      <c r="Z199" s="140"/>
      <c r="AA199" s="140"/>
    </row>
    <row r="200" spans="5:27" ht="18.75">
      <c r="E200" s="140"/>
      <c r="F200" s="140"/>
      <c r="G200" s="141"/>
      <c r="H200" s="141"/>
      <c r="I200" s="141"/>
      <c r="J200" s="140"/>
      <c r="K200" s="140"/>
      <c r="L200" s="141"/>
      <c r="M200" s="140"/>
      <c r="N200" s="141"/>
      <c r="O200" s="142"/>
      <c r="P200" s="142"/>
      <c r="Q200" s="142">
        <v>51</v>
      </c>
      <c r="R200" s="142"/>
      <c r="S200" s="141"/>
      <c r="T200" s="140"/>
      <c r="U200" s="140"/>
      <c r="V200" s="140"/>
      <c r="W200" s="140"/>
      <c r="X200" s="140"/>
      <c r="Y200" s="140"/>
      <c r="Z200" s="140"/>
      <c r="AA200" s="140"/>
    </row>
    <row r="201" spans="5:27" ht="18.75">
      <c r="E201" s="140"/>
      <c r="F201" s="140"/>
      <c r="G201" s="141"/>
      <c r="H201" s="141"/>
      <c r="I201" s="141"/>
      <c r="J201" s="140"/>
      <c r="K201" s="140"/>
      <c r="L201" s="141"/>
      <c r="M201" s="140"/>
      <c r="N201" s="141"/>
      <c r="O201" s="142"/>
      <c r="P201" s="142"/>
      <c r="Q201" s="142">
        <v>52</v>
      </c>
      <c r="R201" s="142"/>
      <c r="S201" s="141"/>
      <c r="T201" s="140"/>
      <c r="U201" s="140"/>
      <c r="V201" s="140"/>
      <c r="W201" s="140"/>
      <c r="X201" s="140"/>
      <c r="Y201" s="140"/>
      <c r="Z201" s="140"/>
      <c r="AA201" s="140"/>
    </row>
    <row r="202" spans="5:27" ht="18.75">
      <c r="E202" s="140"/>
      <c r="F202" s="140"/>
      <c r="G202" s="141"/>
      <c r="H202" s="141"/>
      <c r="I202" s="141"/>
      <c r="J202" s="140"/>
      <c r="K202" s="140"/>
      <c r="L202" s="141"/>
      <c r="M202" s="140"/>
      <c r="N202" s="141"/>
      <c r="O202" s="142"/>
      <c r="P202" s="142"/>
      <c r="Q202" s="142">
        <v>53</v>
      </c>
      <c r="R202" s="142"/>
      <c r="S202" s="141"/>
      <c r="T202" s="140"/>
      <c r="U202" s="140"/>
      <c r="V202" s="140"/>
      <c r="W202" s="140"/>
      <c r="X202" s="140"/>
      <c r="Y202" s="140"/>
      <c r="Z202" s="140"/>
      <c r="AA202" s="140"/>
    </row>
    <row r="203" spans="5:27" ht="18.75">
      <c r="E203" s="140"/>
      <c r="F203" s="140"/>
      <c r="G203" s="141"/>
      <c r="H203" s="141"/>
      <c r="I203" s="141"/>
      <c r="J203" s="140"/>
      <c r="K203" s="140"/>
      <c r="L203" s="141"/>
      <c r="M203" s="140"/>
      <c r="N203" s="141"/>
      <c r="O203" s="142"/>
      <c r="P203" s="142"/>
      <c r="Q203" s="142">
        <v>54</v>
      </c>
      <c r="R203" s="142"/>
      <c r="S203" s="141"/>
      <c r="T203" s="140"/>
      <c r="U203" s="140"/>
      <c r="V203" s="140"/>
      <c r="W203" s="140"/>
      <c r="X203" s="140"/>
      <c r="Y203" s="140"/>
      <c r="Z203" s="140"/>
      <c r="AA203" s="140"/>
    </row>
    <row r="204" spans="5:27" ht="18.75">
      <c r="E204" s="140"/>
      <c r="F204" s="140"/>
      <c r="G204" s="141"/>
      <c r="H204" s="141"/>
      <c r="I204" s="141"/>
      <c r="J204" s="140"/>
      <c r="K204" s="140"/>
      <c r="L204" s="141"/>
      <c r="M204" s="140"/>
      <c r="N204" s="141"/>
      <c r="O204" s="142"/>
      <c r="P204" s="142"/>
      <c r="Q204" s="142">
        <v>55</v>
      </c>
      <c r="R204" s="142"/>
      <c r="S204" s="141"/>
      <c r="T204" s="140"/>
      <c r="U204" s="140"/>
      <c r="V204" s="140"/>
      <c r="W204" s="140"/>
      <c r="X204" s="140"/>
      <c r="Y204" s="140"/>
      <c r="Z204" s="140"/>
      <c r="AA204" s="140"/>
    </row>
    <row r="205" spans="5:27" ht="18.75">
      <c r="E205" s="140"/>
      <c r="F205" s="140"/>
      <c r="G205" s="141"/>
      <c r="H205" s="141"/>
      <c r="I205" s="141"/>
      <c r="J205" s="140"/>
      <c r="K205" s="140"/>
      <c r="L205" s="141"/>
      <c r="M205" s="140"/>
      <c r="N205" s="141"/>
      <c r="O205" s="142"/>
      <c r="P205" s="142"/>
      <c r="Q205" s="142">
        <v>56</v>
      </c>
      <c r="R205" s="142"/>
      <c r="S205" s="141"/>
      <c r="T205" s="140"/>
      <c r="U205" s="140"/>
      <c r="V205" s="140"/>
      <c r="W205" s="140"/>
      <c r="X205" s="140"/>
      <c r="Y205" s="140"/>
      <c r="Z205" s="140"/>
      <c r="AA205" s="140"/>
    </row>
    <row r="206" spans="5:27" ht="18.75">
      <c r="E206" s="140"/>
      <c r="F206" s="140"/>
      <c r="G206" s="141"/>
      <c r="H206" s="141"/>
      <c r="I206" s="141"/>
      <c r="J206" s="140"/>
      <c r="K206" s="140"/>
      <c r="L206" s="141"/>
      <c r="M206" s="140"/>
      <c r="N206" s="141"/>
      <c r="O206" s="142"/>
      <c r="P206" s="142"/>
      <c r="Q206" s="142">
        <v>57</v>
      </c>
      <c r="R206" s="142"/>
      <c r="S206" s="141"/>
      <c r="T206" s="140"/>
      <c r="U206" s="140"/>
      <c r="V206" s="140"/>
      <c r="W206" s="140"/>
      <c r="X206" s="140"/>
      <c r="Y206" s="140"/>
      <c r="Z206" s="140"/>
      <c r="AA206" s="140"/>
    </row>
    <row r="207" spans="5:27" ht="18.75">
      <c r="E207" s="140"/>
      <c r="F207" s="140"/>
      <c r="G207" s="141"/>
      <c r="H207" s="141"/>
      <c r="I207" s="141"/>
      <c r="J207" s="140"/>
      <c r="K207" s="140"/>
      <c r="L207" s="141"/>
      <c r="M207" s="140"/>
      <c r="N207" s="141"/>
      <c r="O207" s="142"/>
      <c r="P207" s="142"/>
      <c r="Q207" s="142">
        <v>58</v>
      </c>
      <c r="R207" s="142"/>
      <c r="S207" s="141"/>
      <c r="T207" s="140"/>
      <c r="U207" s="140"/>
      <c r="V207" s="140"/>
      <c r="W207" s="140"/>
      <c r="X207" s="140"/>
      <c r="Y207" s="140"/>
      <c r="Z207" s="140"/>
      <c r="AA207" s="140"/>
    </row>
    <row r="208" spans="5:27" ht="18.75">
      <c r="E208" s="140"/>
      <c r="F208" s="140"/>
      <c r="G208" s="141"/>
      <c r="H208" s="141"/>
      <c r="I208" s="141"/>
      <c r="J208" s="140"/>
      <c r="K208" s="140"/>
      <c r="L208" s="141"/>
      <c r="M208" s="140"/>
      <c r="N208" s="141"/>
      <c r="O208" s="142"/>
      <c r="P208" s="142"/>
      <c r="Q208" s="142">
        <v>59</v>
      </c>
      <c r="R208" s="142"/>
      <c r="S208" s="141"/>
      <c r="T208" s="140"/>
      <c r="U208" s="140"/>
      <c r="V208" s="140"/>
      <c r="W208" s="140"/>
      <c r="X208" s="140"/>
      <c r="Y208" s="140"/>
      <c r="Z208" s="140"/>
      <c r="AA208" s="140"/>
    </row>
    <row r="209" spans="5:27" ht="18.75">
      <c r="E209" s="140"/>
      <c r="F209" s="140"/>
      <c r="G209" s="141"/>
      <c r="H209" s="141"/>
      <c r="I209" s="141"/>
      <c r="J209" s="140"/>
      <c r="K209" s="140"/>
      <c r="L209" s="141"/>
      <c r="M209" s="140"/>
      <c r="N209" s="141"/>
      <c r="O209" s="142"/>
      <c r="P209" s="142"/>
      <c r="Q209" s="142">
        <v>60</v>
      </c>
      <c r="R209" s="142"/>
      <c r="S209" s="141"/>
      <c r="T209" s="140"/>
      <c r="U209" s="140"/>
      <c r="V209" s="140"/>
      <c r="W209" s="140"/>
      <c r="X209" s="140"/>
      <c r="Y209" s="140"/>
      <c r="Z209" s="140"/>
      <c r="AA209" s="140"/>
    </row>
    <row r="210" spans="5:27" ht="18.75">
      <c r="E210" s="140"/>
      <c r="F210" s="140"/>
      <c r="G210" s="141"/>
      <c r="H210" s="141"/>
      <c r="I210" s="141"/>
      <c r="J210" s="140"/>
      <c r="K210" s="140"/>
      <c r="L210" s="141"/>
      <c r="M210" s="140"/>
      <c r="N210" s="141"/>
      <c r="O210" s="142"/>
      <c r="P210" s="142"/>
      <c r="Q210" s="142">
        <v>61</v>
      </c>
      <c r="R210" s="142"/>
      <c r="S210" s="141"/>
      <c r="T210" s="140"/>
      <c r="U210" s="140"/>
      <c r="V210" s="140"/>
      <c r="W210" s="140"/>
      <c r="X210" s="140"/>
      <c r="Y210" s="140"/>
      <c r="Z210" s="140"/>
      <c r="AA210" s="140"/>
    </row>
    <row r="211" spans="5:27" ht="18.75">
      <c r="E211" s="140"/>
      <c r="F211" s="140"/>
      <c r="G211" s="141"/>
      <c r="H211" s="141"/>
      <c r="I211" s="141"/>
      <c r="J211" s="140"/>
      <c r="K211" s="140"/>
      <c r="L211" s="141"/>
      <c r="M211" s="140"/>
      <c r="N211" s="141"/>
      <c r="O211" s="142"/>
      <c r="P211" s="142"/>
      <c r="Q211" s="142">
        <v>62</v>
      </c>
      <c r="R211" s="142"/>
      <c r="S211" s="141"/>
      <c r="T211" s="140"/>
      <c r="U211" s="140"/>
      <c r="V211" s="140"/>
      <c r="W211" s="140"/>
      <c r="X211" s="140"/>
      <c r="Y211" s="140"/>
      <c r="Z211" s="140"/>
      <c r="AA211" s="140"/>
    </row>
    <row r="212" spans="5:27" ht="18.75">
      <c r="E212" s="140"/>
      <c r="F212" s="140"/>
      <c r="G212" s="141"/>
      <c r="H212" s="141"/>
      <c r="I212" s="141"/>
      <c r="J212" s="140"/>
      <c r="K212" s="140"/>
      <c r="L212" s="141"/>
      <c r="M212" s="140"/>
      <c r="N212" s="141"/>
      <c r="O212" s="142"/>
      <c r="P212" s="142"/>
      <c r="Q212" s="142">
        <v>63</v>
      </c>
      <c r="R212" s="142"/>
      <c r="S212" s="141"/>
      <c r="T212" s="140"/>
      <c r="U212" s="140"/>
      <c r="V212" s="140"/>
      <c r="W212" s="140"/>
      <c r="X212" s="140"/>
      <c r="Y212" s="140"/>
      <c r="Z212" s="140"/>
      <c r="AA212" s="140"/>
    </row>
    <row r="213" spans="5:27" ht="18.75">
      <c r="E213" s="140"/>
      <c r="F213" s="140"/>
      <c r="G213" s="141"/>
      <c r="H213" s="141"/>
      <c r="I213" s="141"/>
      <c r="J213" s="140"/>
      <c r="K213" s="140"/>
      <c r="L213" s="141"/>
      <c r="M213" s="140"/>
      <c r="N213" s="141"/>
      <c r="O213" s="142"/>
      <c r="P213" s="142"/>
      <c r="Q213" s="142">
        <v>64</v>
      </c>
      <c r="R213" s="142"/>
      <c r="S213" s="141"/>
      <c r="T213" s="140"/>
      <c r="U213" s="140"/>
      <c r="V213" s="140"/>
      <c r="W213" s="140"/>
      <c r="X213" s="140"/>
      <c r="Y213" s="140"/>
      <c r="Z213" s="140"/>
      <c r="AA213" s="140"/>
    </row>
    <row r="214" spans="5:27" ht="18.75">
      <c r="E214" s="140"/>
      <c r="F214" s="140"/>
      <c r="G214" s="141"/>
      <c r="H214" s="141"/>
      <c r="I214" s="141"/>
      <c r="J214" s="140"/>
      <c r="K214" s="140"/>
      <c r="L214" s="141"/>
      <c r="M214" s="140"/>
      <c r="N214" s="141"/>
      <c r="O214" s="142"/>
      <c r="P214" s="142"/>
      <c r="Q214" s="142">
        <v>65</v>
      </c>
      <c r="R214" s="142"/>
      <c r="S214" s="141"/>
      <c r="T214" s="140"/>
      <c r="U214" s="140"/>
      <c r="V214" s="140"/>
      <c r="W214" s="140"/>
      <c r="X214" s="140"/>
      <c r="Y214" s="140"/>
      <c r="Z214" s="140"/>
      <c r="AA214" s="140"/>
    </row>
    <row r="215" spans="5:27" ht="18.75">
      <c r="E215" s="140"/>
      <c r="F215" s="140"/>
      <c r="G215" s="141"/>
      <c r="H215" s="141"/>
      <c r="I215" s="141"/>
      <c r="J215" s="140"/>
      <c r="K215" s="140"/>
      <c r="L215" s="141"/>
      <c r="M215" s="140"/>
      <c r="N215" s="141"/>
      <c r="O215" s="142"/>
      <c r="P215" s="142"/>
      <c r="Q215" s="142">
        <v>66</v>
      </c>
      <c r="R215" s="142"/>
      <c r="S215" s="141"/>
      <c r="T215" s="140"/>
      <c r="U215" s="140"/>
      <c r="V215" s="140"/>
      <c r="W215" s="140"/>
      <c r="X215" s="140"/>
      <c r="Y215" s="140"/>
      <c r="Z215" s="140"/>
      <c r="AA215" s="140"/>
    </row>
    <row r="216" spans="5:27" ht="18.75">
      <c r="E216" s="140"/>
      <c r="F216" s="140"/>
      <c r="G216" s="141"/>
      <c r="H216" s="141"/>
      <c r="I216" s="141"/>
      <c r="J216" s="140"/>
      <c r="K216" s="140"/>
      <c r="L216" s="141"/>
      <c r="M216" s="140"/>
      <c r="N216" s="141"/>
      <c r="O216" s="142"/>
      <c r="P216" s="142"/>
      <c r="Q216" s="142">
        <v>67</v>
      </c>
      <c r="R216" s="142"/>
      <c r="S216" s="141"/>
      <c r="T216" s="140"/>
      <c r="U216" s="140"/>
      <c r="V216" s="140"/>
      <c r="W216" s="140"/>
      <c r="X216" s="140"/>
      <c r="Y216" s="140"/>
      <c r="Z216" s="140"/>
      <c r="AA216" s="140"/>
    </row>
    <row r="217" spans="5:27" ht="18.75">
      <c r="E217" s="140"/>
      <c r="F217" s="140"/>
      <c r="G217" s="141"/>
      <c r="H217" s="141"/>
      <c r="I217" s="141"/>
      <c r="J217" s="140"/>
      <c r="K217" s="140"/>
      <c r="L217" s="141"/>
      <c r="M217" s="140"/>
      <c r="N217" s="141"/>
      <c r="O217" s="142"/>
      <c r="P217" s="142"/>
      <c r="Q217" s="142">
        <v>68</v>
      </c>
      <c r="R217" s="142"/>
      <c r="S217" s="141"/>
      <c r="T217" s="140"/>
      <c r="U217" s="140"/>
      <c r="V217" s="140"/>
      <c r="W217" s="140"/>
      <c r="X217" s="140"/>
      <c r="Y217" s="140"/>
      <c r="Z217" s="140"/>
      <c r="AA217" s="140"/>
    </row>
    <row r="218" spans="5:27" ht="18.75">
      <c r="E218" s="140"/>
      <c r="F218" s="140"/>
      <c r="G218" s="141"/>
      <c r="H218" s="141"/>
      <c r="I218" s="141"/>
      <c r="J218" s="140"/>
      <c r="K218" s="140"/>
      <c r="L218" s="141"/>
      <c r="M218" s="140"/>
      <c r="N218" s="141"/>
      <c r="O218" s="142"/>
      <c r="P218" s="142"/>
      <c r="Q218" s="142">
        <v>69</v>
      </c>
      <c r="R218" s="142"/>
      <c r="S218" s="141"/>
      <c r="T218" s="140"/>
      <c r="U218" s="140"/>
      <c r="V218" s="140"/>
      <c r="W218" s="140"/>
      <c r="X218" s="140"/>
      <c r="Y218" s="140"/>
      <c r="Z218" s="140"/>
      <c r="AA218" s="140"/>
    </row>
    <row r="219" spans="5:27" ht="18.75">
      <c r="E219" s="140"/>
      <c r="F219" s="140"/>
      <c r="G219" s="141"/>
      <c r="H219" s="141"/>
      <c r="I219" s="141"/>
      <c r="J219" s="140"/>
      <c r="K219" s="140"/>
      <c r="L219" s="141"/>
      <c r="M219" s="140"/>
      <c r="N219" s="141"/>
      <c r="O219" s="142"/>
      <c r="P219" s="142"/>
      <c r="Q219" s="142">
        <v>70</v>
      </c>
      <c r="R219" s="142"/>
      <c r="S219" s="141"/>
      <c r="T219" s="140"/>
      <c r="U219" s="140"/>
      <c r="V219" s="140"/>
      <c r="W219" s="140"/>
      <c r="X219" s="140"/>
      <c r="Y219" s="140"/>
      <c r="Z219" s="140"/>
      <c r="AA219" s="140"/>
    </row>
    <row r="220" spans="5:27" ht="18.75">
      <c r="E220" s="140"/>
      <c r="F220" s="140"/>
      <c r="G220" s="141"/>
      <c r="H220" s="141"/>
      <c r="I220" s="141"/>
      <c r="J220" s="140"/>
      <c r="K220" s="140"/>
      <c r="L220" s="141"/>
      <c r="M220" s="140"/>
      <c r="N220" s="141"/>
      <c r="O220" s="142"/>
      <c r="P220" s="142"/>
      <c r="Q220" s="142">
        <v>71</v>
      </c>
      <c r="R220" s="142"/>
      <c r="S220" s="141"/>
      <c r="T220" s="140"/>
      <c r="U220" s="140"/>
      <c r="V220" s="140"/>
      <c r="W220" s="140"/>
      <c r="X220" s="140"/>
      <c r="Y220" s="140"/>
      <c r="Z220" s="140"/>
      <c r="AA220" s="140"/>
    </row>
    <row r="221" spans="5:27" ht="18.75">
      <c r="E221" s="140"/>
      <c r="F221" s="140"/>
      <c r="G221" s="141"/>
      <c r="H221" s="141"/>
      <c r="I221" s="141"/>
      <c r="J221" s="140"/>
      <c r="K221" s="140"/>
      <c r="L221" s="141"/>
      <c r="M221" s="140"/>
      <c r="N221" s="141"/>
      <c r="O221" s="142"/>
      <c r="P221" s="142"/>
      <c r="Q221" s="142">
        <v>72</v>
      </c>
      <c r="R221" s="142"/>
      <c r="S221" s="141"/>
      <c r="T221" s="140"/>
      <c r="U221" s="140"/>
      <c r="V221" s="140"/>
      <c r="W221" s="140"/>
      <c r="X221" s="140"/>
      <c r="Y221" s="140"/>
      <c r="Z221" s="140"/>
      <c r="AA221" s="140"/>
    </row>
    <row r="222" spans="5:27" ht="18.75">
      <c r="E222" s="140"/>
      <c r="F222" s="140"/>
      <c r="G222" s="141"/>
      <c r="H222" s="141"/>
      <c r="I222" s="141"/>
      <c r="J222" s="140"/>
      <c r="K222" s="140"/>
      <c r="L222" s="141"/>
      <c r="M222" s="140"/>
      <c r="N222" s="141"/>
      <c r="O222" s="142"/>
      <c r="P222" s="142"/>
      <c r="Q222" s="142">
        <v>73</v>
      </c>
      <c r="R222" s="142"/>
      <c r="S222" s="141"/>
      <c r="T222" s="140"/>
      <c r="U222" s="140"/>
      <c r="V222" s="140"/>
      <c r="W222" s="140"/>
      <c r="X222" s="140"/>
      <c r="Y222" s="140"/>
      <c r="Z222" s="140"/>
      <c r="AA222" s="140"/>
    </row>
    <row r="223" spans="5:27" ht="18.75">
      <c r="E223" s="140"/>
      <c r="F223" s="140"/>
      <c r="G223" s="141"/>
      <c r="H223" s="141"/>
      <c r="I223" s="141"/>
      <c r="J223" s="140"/>
      <c r="K223" s="140"/>
      <c r="L223" s="141"/>
      <c r="M223" s="140"/>
      <c r="N223" s="141"/>
      <c r="O223" s="142"/>
      <c r="P223" s="142"/>
      <c r="Q223" s="142">
        <v>74</v>
      </c>
      <c r="R223" s="142"/>
      <c r="S223" s="141"/>
      <c r="T223" s="140"/>
      <c r="U223" s="140"/>
      <c r="V223" s="140"/>
      <c r="W223" s="140"/>
      <c r="X223" s="140"/>
      <c r="Y223" s="140"/>
      <c r="Z223" s="140"/>
      <c r="AA223" s="140"/>
    </row>
    <row r="224" spans="5:27" ht="18.75">
      <c r="E224" s="140"/>
      <c r="F224" s="140"/>
      <c r="G224" s="141"/>
      <c r="H224" s="141"/>
      <c r="I224" s="141"/>
      <c r="J224" s="140"/>
      <c r="K224" s="140"/>
      <c r="L224" s="141"/>
      <c r="M224" s="140"/>
      <c r="N224" s="141"/>
      <c r="O224" s="142"/>
      <c r="P224" s="142"/>
      <c r="Q224" s="142">
        <v>75</v>
      </c>
      <c r="R224" s="142"/>
      <c r="S224" s="141"/>
      <c r="T224" s="140"/>
      <c r="U224" s="140"/>
      <c r="V224" s="140"/>
      <c r="W224" s="140"/>
      <c r="X224" s="140"/>
      <c r="Y224" s="140"/>
      <c r="Z224" s="140"/>
      <c r="AA224" s="140"/>
    </row>
    <row r="225" spans="5:27" ht="18.75">
      <c r="E225" s="140"/>
      <c r="F225" s="140"/>
      <c r="G225" s="141"/>
      <c r="H225" s="141"/>
      <c r="I225" s="141"/>
      <c r="J225" s="140"/>
      <c r="K225" s="140"/>
      <c r="L225" s="141"/>
      <c r="M225" s="140"/>
      <c r="N225" s="141"/>
      <c r="O225" s="142"/>
      <c r="P225" s="142"/>
      <c r="Q225" s="142">
        <v>76</v>
      </c>
      <c r="R225" s="142"/>
      <c r="S225" s="141"/>
      <c r="T225" s="140"/>
      <c r="U225" s="140"/>
      <c r="V225" s="140"/>
      <c r="W225" s="140"/>
      <c r="X225" s="140"/>
      <c r="Y225" s="140"/>
      <c r="Z225" s="140"/>
      <c r="AA225" s="140"/>
    </row>
    <row r="226" spans="5:27" ht="18.75">
      <c r="E226" s="140"/>
      <c r="F226" s="140"/>
      <c r="G226" s="141"/>
      <c r="H226" s="141"/>
      <c r="I226" s="141"/>
      <c r="J226" s="140"/>
      <c r="K226" s="140"/>
      <c r="L226" s="141"/>
      <c r="M226" s="140"/>
      <c r="N226" s="141"/>
      <c r="O226" s="142"/>
      <c r="P226" s="142"/>
      <c r="Q226" s="142">
        <v>77</v>
      </c>
      <c r="R226" s="142"/>
      <c r="S226" s="141"/>
      <c r="T226" s="140"/>
      <c r="U226" s="140"/>
      <c r="V226" s="140"/>
      <c r="W226" s="140"/>
      <c r="X226" s="140"/>
      <c r="Y226" s="140"/>
      <c r="Z226" s="140"/>
      <c r="AA226" s="140"/>
    </row>
    <row r="227" spans="5:27" ht="18.75">
      <c r="E227" s="140"/>
      <c r="F227" s="140"/>
      <c r="G227" s="141"/>
      <c r="H227" s="141"/>
      <c r="I227" s="141"/>
      <c r="J227" s="140"/>
      <c r="K227" s="140"/>
      <c r="L227" s="141"/>
      <c r="M227" s="140"/>
      <c r="N227" s="141"/>
      <c r="O227" s="142"/>
      <c r="P227" s="142"/>
      <c r="Q227" s="142">
        <v>78</v>
      </c>
      <c r="R227" s="142"/>
      <c r="S227" s="141"/>
      <c r="T227" s="140"/>
      <c r="U227" s="140"/>
      <c r="V227" s="140"/>
      <c r="W227" s="140"/>
      <c r="X227" s="140"/>
      <c r="Y227" s="140"/>
      <c r="Z227" s="140"/>
      <c r="AA227" s="140"/>
    </row>
    <row r="228" spans="5:27" ht="18.75">
      <c r="E228" s="140"/>
      <c r="F228" s="140"/>
      <c r="G228" s="141"/>
      <c r="H228" s="141"/>
      <c r="I228" s="141"/>
      <c r="J228" s="140"/>
      <c r="K228" s="140"/>
      <c r="L228" s="141"/>
      <c r="M228" s="140"/>
      <c r="N228" s="141"/>
      <c r="O228" s="142"/>
      <c r="P228" s="142"/>
      <c r="Q228" s="142">
        <v>79</v>
      </c>
      <c r="R228" s="142"/>
      <c r="S228" s="141"/>
      <c r="T228" s="140"/>
      <c r="U228" s="140"/>
      <c r="V228" s="140"/>
      <c r="W228" s="140"/>
      <c r="X228" s="140"/>
      <c r="Y228" s="140"/>
      <c r="Z228" s="140"/>
      <c r="AA228" s="140"/>
    </row>
    <row r="229" spans="5:27" ht="18.75">
      <c r="E229" s="140"/>
      <c r="F229" s="140"/>
      <c r="G229" s="141"/>
      <c r="H229" s="141"/>
      <c r="I229" s="141"/>
      <c r="J229" s="140"/>
      <c r="K229" s="140"/>
      <c r="L229" s="141"/>
      <c r="M229" s="140"/>
      <c r="N229" s="141"/>
      <c r="O229" s="142"/>
      <c r="P229" s="142"/>
      <c r="Q229" s="142">
        <v>80</v>
      </c>
      <c r="R229" s="142"/>
      <c r="S229" s="141"/>
      <c r="T229" s="140"/>
      <c r="U229" s="140"/>
      <c r="V229" s="140"/>
      <c r="W229" s="140"/>
      <c r="X229" s="140"/>
      <c r="Y229" s="140"/>
      <c r="Z229" s="140"/>
      <c r="AA229" s="140"/>
    </row>
    <row r="230" spans="5:27" ht="18.75">
      <c r="E230" s="140"/>
      <c r="F230" s="140"/>
      <c r="G230" s="141"/>
      <c r="H230" s="141"/>
      <c r="I230" s="141"/>
      <c r="J230" s="140"/>
      <c r="K230" s="140"/>
      <c r="L230" s="141"/>
      <c r="M230" s="140"/>
      <c r="N230" s="141"/>
      <c r="O230" s="142"/>
      <c r="P230" s="142"/>
      <c r="Q230" s="142">
        <v>81</v>
      </c>
      <c r="R230" s="142"/>
      <c r="S230" s="141"/>
      <c r="T230" s="140"/>
      <c r="U230" s="140"/>
      <c r="V230" s="140"/>
      <c r="W230" s="140"/>
      <c r="X230" s="140"/>
      <c r="Y230" s="140"/>
      <c r="Z230" s="140"/>
      <c r="AA230" s="140"/>
    </row>
    <row r="231" spans="5:27" ht="18.75">
      <c r="E231" s="140"/>
      <c r="F231" s="140"/>
      <c r="G231" s="141"/>
      <c r="H231" s="141"/>
      <c r="I231" s="141"/>
      <c r="J231" s="140"/>
      <c r="K231" s="140"/>
      <c r="L231" s="141"/>
      <c r="M231" s="140"/>
      <c r="N231" s="141"/>
      <c r="O231" s="142"/>
      <c r="P231" s="142"/>
      <c r="Q231" s="142">
        <v>82</v>
      </c>
      <c r="R231" s="142"/>
      <c r="S231" s="141"/>
      <c r="T231" s="140"/>
      <c r="U231" s="140"/>
      <c r="V231" s="140"/>
      <c r="W231" s="140"/>
      <c r="X231" s="140"/>
      <c r="Y231" s="140"/>
      <c r="Z231" s="140"/>
      <c r="AA231" s="140"/>
    </row>
    <row r="232" spans="5:27" ht="18.75">
      <c r="E232" s="140"/>
      <c r="F232" s="140"/>
      <c r="G232" s="141"/>
      <c r="H232" s="141"/>
      <c r="I232" s="141"/>
      <c r="J232" s="140"/>
      <c r="K232" s="140"/>
      <c r="L232" s="141"/>
      <c r="M232" s="140"/>
      <c r="N232" s="141"/>
      <c r="O232" s="142"/>
      <c r="P232" s="142"/>
      <c r="Q232" s="142">
        <v>83</v>
      </c>
      <c r="R232" s="142"/>
      <c r="S232" s="141"/>
      <c r="T232" s="140"/>
      <c r="U232" s="140"/>
      <c r="V232" s="140"/>
      <c r="W232" s="140"/>
      <c r="X232" s="140"/>
      <c r="Y232" s="140"/>
      <c r="Z232" s="140"/>
      <c r="AA232" s="140"/>
    </row>
    <row r="233" spans="5:27" ht="18.75">
      <c r="E233" s="140"/>
      <c r="F233" s="140"/>
      <c r="G233" s="141"/>
      <c r="H233" s="141"/>
      <c r="I233" s="141"/>
      <c r="J233" s="140"/>
      <c r="K233" s="140"/>
      <c r="L233" s="141"/>
      <c r="M233" s="140"/>
      <c r="N233" s="141"/>
      <c r="O233" s="142"/>
      <c r="P233" s="142"/>
      <c r="Q233" s="142">
        <v>84</v>
      </c>
      <c r="R233" s="142"/>
      <c r="S233" s="141"/>
      <c r="T233" s="140"/>
      <c r="U233" s="140"/>
      <c r="V233" s="140"/>
      <c r="W233" s="140"/>
      <c r="X233" s="140"/>
      <c r="Y233" s="140"/>
      <c r="Z233" s="140"/>
      <c r="AA233" s="140"/>
    </row>
    <row r="234" spans="5:27" ht="18.75">
      <c r="E234" s="140"/>
      <c r="F234" s="140"/>
      <c r="G234" s="141"/>
      <c r="H234" s="141"/>
      <c r="I234" s="141"/>
      <c r="J234" s="140"/>
      <c r="K234" s="140"/>
      <c r="L234" s="141"/>
      <c r="M234" s="140"/>
      <c r="N234" s="141"/>
      <c r="O234" s="142"/>
      <c r="P234" s="142"/>
      <c r="Q234" s="142">
        <v>85</v>
      </c>
      <c r="R234" s="142"/>
      <c r="S234" s="141"/>
      <c r="T234" s="140"/>
      <c r="U234" s="140"/>
      <c r="V234" s="140"/>
      <c r="W234" s="140"/>
      <c r="X234" s="140"/>
      <c r="Y234" s="140"/>
      <c r="Z234" s="140"/>
      <c r="AA234" s="140"/>
    </row>
    <row r="235" spans="5:27" ht="18.75">
      <c r="E235" s="140"/>
      <c r="F235" s="140"/>
      <c r="G235" s="141"/>
      <c r="H235" s="141"/>
      <c r="I235" s="141"/>
      <c r="J235" s="140"/>
      <c r="K235" s="140"/>
      <c r="L235" s="141"/>
      <c r="M235" s="140"/>
      <c r="N235" s="141"/>
      <c r="O235" s="142"/>
      <c r="P235" s="142"/>
      <c r="Q235" s="142">
        <v>86</v>
      </c>
      <c r="R235" s="142"/>
      <c r="S235" s="141"/>
      <c r="T235" s="140"/>
      <c r="U235" s="140"/>
      <c r="V235" s="140"/>
      <c r="W235" s="140"/>
      <c r="X235" s="140"/>
      <c r="Y235" s="140"/>
      <c r="Z235" s="140"/>
      <c r="AA235" s="140"/>
    </row>
    <row r="236" spans="5:27" ht="18.75">
      <c r="E236" s="140"/>
      <c r="F236" s="140"/>
      <c r="G236" s="141"/>
      <c r="H236" s="141"/>
      <c r="I236" s="141"/>
      <c r="J236" s="140"/>
      <c r="K236" s="140"/>
      <c r="L236" s="141"/>
      <c r="M236" s="140"/>
      <c r="N236" s="141"/>
      <c r="O236" s="142"/>
      <c r="P236" s="142"/>
      <c r="Q236" s="142">
        <v>87</v>
      </c>
      <c r="R236" s="142"/>
      <c r="S236" s="141"/>
      <c r="T236" s="140"/>
      <c r="U236" s="140"/>
      <c r="V236" s="140"/>
      <c r="W236" s="140"/>
      <c r="X236" s="140"/>
      <c r="Y236" s="140"/>
      <c r="Z236" s="140"/>
      <c r="AA236" s="140"/>
    </row>
    <row r="237" spans="5:27" ht="18.75">
      <c r="E237" s="140"/>
      <c r="F237" s="140"/>
      <c r="G237" s="141"/>
      <c r="H237" s="141"/>
      <c r="I237" s="141"/>
      <c r="J237" s="140"/>
      <c r="K237" s="140"/>
      <c r="L237" s="141"/>
      <c r="M237" s="140"/>
      <c r="N237" s="141"/>
      <c r="O237" s="142"/>
      <c r="P237" s="142"/>
      <c r="Q237" s="142">
        <v>88</v>
      </c>
      <c r="R237" s="142"/>
      <c r="S237" s="141"/>
      <c r="T237" s="140"/>
      <c r="U237" s="140"/>
      <c r="V237" s="140"/>
      <c r="W237" s="140"/>
      <c r="X237" s="140"/>
      <c r="Y237" s="140"/>
      <c r="Z237" s="140"/>
      <c r="AA237" s="140"/>
    </row>
    <row r="238" spans="5:27" ht="18.75">
      <c r="E238" s="140"/>
      <c r="F238" s="140"/>
      <c r="G238" s="141"/>
      <c r="H238" s="141"/>
      <c r="I238" s="141"/>
      <c r="J238" s="140"/>
      <c r="K238" s="140"/>
      <c r="L238" s="141"/>
      <c r="M238" s="140"/>
      <c r="N238" s="141"/>
      <c r="O238" s="142"/>
      <c r="P238" s="142"/>
      <c r="Q238" s="142">
        <v>89</v>
      </c>
      <c r="R238" s="142"/>
      <c r="S238" s="141"/>
      <c r="T238" s="140"/>
      <c r="U238" s="140"/>
      <c r="V238" s="140"/>
      <c r="W238" s="140"/>
      <c r="X238" s="140"/>
      <c r="Y238" s="140"/>
      <c r="Z238" s="140"/>
      <c r="AA238" s="140"/>
    </row>
    <row r="239" spans="5:27" ht="18.75">
      <c r="E239" s="140"/>
      <c r="F239" s="140"/>
      <c r="G239" s="141"/>
      <c r="H239" s="141"/>
      <c r="I239" s="141"/>
      <c r="J239" s="140"/>
      <c r="K239" s="140"/>
      <c r="L239" s="141"/>
      <c r="M239" s="140"/>
      <c r="N239" s="141"/>
      <c r="O239" s="142"/>
      <c r="P239" s="142"/>
      <c r="Q239" s="142">
        <v>90</v>
      </c>
      <c r="R239" s="142"/>
      <c r="S239" s="141"/>
      <c r="T239" s="140"/>
      <c r="U239" s="140"/>
      <c r="V239" s="140"/>
      <c r="W239" s="140"/>
      <c r="X239" s="140"/>
      <c r="Y239" s="140"/>
      <c r="Z239" s="140"/>
      <c r="AA239" s="140"/>
    </row>
    <row r="240" spans="5:27" ht="18.75">
      <c r="E240" s="140"/>
      <c r="F240" s="140"/>
      <c r="G240" s="141"/>
      <c r="H240" s="141"/>
      <c r="I240" s="141"/>
      <c r="J240" s="140"/>
      <c r="K240" s="140"/>
      <c r="L240" s="141"/>
      <c r="M240" s="140"/>
      <c r="N240" s="141"/>
      <c r="O240" s="142"/>
      <c r="P240" s="142"/>
      <c r="Q240" s="142">
        <v>91</v>
      </c>
      <c r="R240" s="142"/>
      <c r="S240" s="141"/>
      <c r="T240" s="140"/>
      <c r="U240" s="140"/>
      <c r="V240" s="140"/>
      <c r="W240" s="140"/>
      <c r="X240" s="140"/>
      <c r="Y240" s="140"/>
      <c r="Z240" s="140"/>
      <c r="AA240" s="140"/>
    </row>
    <row r="241" spans="5:27" ht="18.75">
      <c r="E241" s="140"/>
      <c r="F241" s="140"/>
      <c r="G241" s="141"/>
      <c r="H241" s="141"/>
      <c r="I241" s="141"/>
      <c r="J241" s="140"/>
      <c r="K241" s="140"/>
      <c r="L241" s="141"/>
      <c r="M241" s="140"/>
      <c r="N241" s="141"/>
      <c r="O241" s="142"/>
      <c r="P241" s="142"/>
      <c r="Q241" s="142">
        <v>92</v>
      </c>
      <c r="R241" s="142"/>
      <c r="S241" s="141"/>
      <c r="T241" s="140"/>
      <c r="U241" s="140"/>
      <c r="V241" s="140"/>
      <c r="W241" s="140"/>
      <c r="X241" s="140"/>
      <c r="Y241" s="140"/>
      <c r="Z241" s="140"/>
      <c r="AA241" s="140"/>
    </row>
    <row r="242" spans="5:27" ht="18.75">
      <c r="E242" s="140"/>
      <c r="F242" s="140"/>
      <c r="G242" s="141"/>
      <c r="H242" s="141"/>
      <c r="I242" s="141"/>
      <c r="J242" s="140"/>
      <c r="K242" s="140"/>
      <c r="L242" s="141"/>
      <c r="M242" s="140"/>
      <c r="N242" s="141"/>
      <c r="O242" s="142"/>
      <c r="P242" s="142"/>
      <c r="Q242" s="142">
        <v>93</v>
      </c>
      <c r="R242" s="142"/>
      <c r="S242" s="141"/>
      <c r="T242" s="140"/>
      <c r="U242" s="140"/>
      <c r="V242" s="140"/>
      <c r="W242" s="140"/>
      <c r="X242" s="140"/>
      <c r="Y242" s="140"/>
      <c r="Z242" s="140"/>
      <c r="AA242" s="140"/>
    </row>
    <row r="243" spans="5:27" ht="18.75">
      <c r="E243" s="140"/>
      <c r="F243" s="140"/>
      <c r="G243" s="141"/>
      <c r="H243" s="141"/>
      <c r="I243" s="141"/>
      <c r="J243" s="140"/>
      <c r="K243" s="140"/>
      <c r="L243" s="141"/>
      <c r="M243" s="140"/>
      <c r="N243" s="141"/>
      <c r="O243" s="142"/>
      <c r="P243" s="142"/>
      <c r="Q243" s="142">
        <v>94</v>
      </c>
      <c r="R243" s="142"/>
      <c r="S243" s="141"/>
      <c r="T243" s="140"/>
      <c r="U243" s="140"/>
      <c r="V243" s="140"/>
      <c r="W243" s="140"/>
      <c r="X243" s="140"/>
      <c r="Y243" s="140"/>
      <c r="Z243" s="140"/>
      <c r="AA243" s="140"/>
    </row>
    <row r="244" spans="5:27" ht="18.75">
      <c r="E244" s="140"/>
      <c r="F244" s="140"/>
      <c r="G244" s="141"/>
      <c r="H244" s="141"/>
      <c r="I244" s="141"/>
      <c r="J244" s="140"/>
      <c r="K244" s="140"/>
      <c r="L244" s="141"/>
      <c r="M244" s="140"/>
      <c r="N244" s="141"/>
      <c r="O244" s="142"/>
      <c r="P244" s="142"/>
      <c r="Q244" s="142">
        <v>95</v>
      </c>
      <c r="R244" s="142"/>
      <c r="S244" s="141"/>
      <c r="T244" s="140"/>
      <c r="U244" s="140"/>
      <c r="V244" s="140"/>
      <c r="W244" s="140"/>
      <c r="X244" s="140"/>
      <c r="Y244" s="140"/>
      <c r="Z244" s="140"/>
      <c r="AA244" s="140"/>
    </row>
    <row r="245" spans="5:27" ht="18.75">
      <c r="E245" s="140"/>
      <c r="F245" s="140"/>
      <c r="G245" s="141"/>
      <c r="H245" s="141"/>
      <c r="I245" s="141"/>
      <c r="J245" s="140"/>
      <c r="K245" s="140"/>
      <c r="L245" s="141"/>
      <c r="M245" s="140"/>
      <c r="N245" s="141"/>
      <c r="O245" s="142"/>
      <c r="P245" s="142"/>
      <c r="Q245" s="142">
        <v>96</v>
      </c>
      <c r="R245" s="142"/>
      <c r="S245" s="141"/>
      <c r="T245" s="140"/>
      <c r="U245" s="140"/>
      <c r="V245" s="140"/>
      <c r="W245" s="140"/>
      <c r="X245" s="140"/>
      <c r="Y245" s="140"/>
      <c r="Z245" s="140"/>
      <c r="AA245" s="140"/>
    </row>
  </sheetData>
  <sheetProtection algorithmName="SHA-512" hashValue="UyuTW8R/Chl1GP+DV2sb7dKhcIb/4u6AixwWw7tm0Ke9srOhYhQiNCgfjWuWbtStmV3KlpjeTDL2PsLqogv+8g==" saltValue="frm1eEhuL0AK5jon4VYJSA==" spinCount="100000" sheet="1" objects="1" scenarios="1"/>
  <mergeCells count="11">
    <mergeCell ref="O7:R7"/>
    <mergeCell ref="T7:AD7"/>
    <mergeCell ref="G8:H8"/>
    <mergeCell ref="O8:P8"/>
    <mergeCell ref="Q8:R8"/>
    <mergeCell ref="A3:D3"/>
    <mergeCell ref="F3:H3"/>
    <mergeCell ref="J3:K3"/>
    <mergeCell ref="A4:D4"/>
    <mergeCell ref="F4:H4"/>
    <mergeCell ref="J4:K4"/>
  </mergeCells>
  <conditionalFormatting sqref="B10:B109">
    <cfRule type="expression" dxfId="12" priority="1">
      <formula>$AJ$10=0</formula>
    </cfRule>
    <cfRule type="expression" dxfId="11" priority="2">
      <formula>$AJ$10&gt;0</formula>
    </cfRule>
  </conditionalFormatting>
  <dataValidations count="10">
    <dataValidation type="list" allowBlank="1" showInputMessage="1" showErrorMessage="1" sqref="O10:O109" xr:uid="{1CCBA40A-D0A3-45DA-97EA-06856E14E921}">
      <formula1>$O$160:$O$197</formula1>
    </dataValidation>
    <dataValidation type="list" allowBlank="1" showInputMessage="1" showErrorMessage="1" sqref="AA10:AA109 AC10:AC109" xr:uid="{536B4244-BC74-47A5-B322-91FDDE1D6EE4}">
      <formula1>$AA$161:$AA$164</formula1>
    </dataValidation>
    <dataValidation type="list" allowBlank="1" showInputMessage="1" showErrorMessage="1" sqref="AD10:AD109 AB10:AB109 T10:Z109" xr:uid="{D356A609-294B-4D59-AFF6-F34D9776CB4F}">
      <formula1>$T$161:$T$162</formula1>
    </dataValidation>
    <dataValidation type="list" allowBlank="1" showInputMessage="1" showErrorMessage="1" sqref="A4:D5" xr:uid="{2C2C2660-AE37-4436-A316-B5C1DFB5245E}">
      <formula1>$J$161:$J$164</formula1>
    </dataValidation>
    <dataValidation type="list" allowBlank="1" showInputMessage="1" showErrorMessage="1" sqref="M10:M109" xr:uid="{A6701F54-2DB9-453E-9476-947E593AC8B1}">
      <formula1>$M$161:$M$165</formula1>
    </dataValidation>
    <dataValidation type="list" allowBlank="1" showInputMessage="1" showErrorMessage="1" sqref="G10:I109" xr:uid="{CBB5380F-DD0A-4D00-8151-95BEE1F74E86}">
      <formula1>$F$161:$F$164</formula1>
    </dataValidation>
    <dataValidation type="list" allowBlank="1" showInputMessage="1" showErrorMessage="1" sqref="F10:F109" xr:uid="{1D269BA5-D80B-48BC-9DC3-1F7CE29CA263}">
      <formula1>$F$161:$F$165</formula1>
    </dataValidation>
    <dataValidation type="list" allowBlank="1" showInputMessage="1" showErrorMessage="1" sqref="Q10:Q109" xr:uid="{2538EC02-6929-46C0-9E5F-C1BF3A3BD02B}">
      <formula1>$Q$160:$Q$245</formula1>
    </dataValidation>
    <dataValidation type="list" allowBlank="1" showInputMessage="1" showErrorMessage="1" sqref="R10:R109 P10:P109" xr:uid="{D1AAF09C-EBA7-4694-B0B5-32F641D1801C}">
      <formula1>$P$160:$P$167</formula1>
    </dataValidation>
    <dataValidation type="list" allowBlank="1" showInputMessage="1" showErrorMessage="1" sqref="E10:E109" xr:uid="{069F2796-732F-45BA-AA36-4DB570F32195}">
      <formula1>$E$161:$E$162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0F21C6-1332-4258-A573-BDE4C39164CD}">
          <x14:formula1>
            <xm:f>'PAINT LABOR COSTS'!$B$60:$B$61</xm:f>
          </x14:formula1>
          <xm:sqref>J10:J109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CEE5E-93B3-4685-9B94-E6FAFB04C672}">
  <sheetPr codeName="Sheet2">
    <tabColor rgb="FFFF0000"/>
    <pageSetUpPr fitToPage="1"/>
  </sheetPr>
  <dimension ref="A1:AB28"/>
  <sheetViews>
    <sheetView workbookViewId="0">
      <selection activeCell="P34" sqref="P34"/>
    </sheetView>
  </sheetViews>
  <sheetFormatPr defaultRowHeight="15"/>
  <cols>
    <col min="1" max="1" width="13" customWidth="1"/>
    <col min="2" max="2" width="13.5703125" customWidth="1"/>
    <col min="3" max="3" width="11.85546875" customWidth="1"/>
    <col min="4" max="4" width="9.140625" style="2"/>
    <col min="6" max="7" width="10.140625" customWidth="1"/>
    <col min="14" max="14" width="10.85546875" customWidth="1"/>
    <col min="19" max="19" width="29.7109375" customWidth="1"/>
    <col min="21" max="21" width="9.140625" style="30"/>
    <col min="22" max="22" width="2.5703125" customWidth="1"/>
    <col min="23" max="23" width="7" customWidth="1"/>
  </cols>
  <sheetData>
    <row r="1" spans="1:28">
      <c r="A1" s="2" t="s">
        <v>361</v>
      </c>
      <c r="B1" s="2" t="s">
        <v>195</v>
      </c>
      <c r="C1" s="2" t="s">
        <v>196</v>
      </c>
      <c r="E1" s="103" t="s">
        <v>981</v>
      </c>
    </row>
    <row r="2" spans="1:28">
      <c r="A2" s="2">
        <v>2</v>
      </c>
      <c r="B2" s="2">
        <v>2.5</v>
      </c>
      <c r="C2" s="2">
        <v>3</v>
      </c>
    </row>
    <row r="3" spans="1:28">
      <c r="A3" s="96">
        <v>0.01</v>
      </c>
      <c r="B3" s="96">
        <v>0.03</v>
      </c>
      <c r="C3" s="96">
        <v>0.08</v>
      </c>
      <c r="E3" s="303" t="s">
        <v>364</v>
      </c>
      <c r="F3" s="303"/>
      <c r="H3" s="2">
        <v>1</v>
      </c>
      <c r="I3" s="2">
        <v>1</v>
      </c>
      <c r="J3" s="2">
        <v>1</v>
      </c>
      <c r="K3" s="2">
        <v>1</v>
      </c>
      <c r="L3" s="303" t="s">
        <v>366</v>
      </c>
      <c r="M3" s="303"/>
    </row>
    <row r="4" spans="1:28">
      <c r="E4" s="254" t="s">
        <v>349</v>
      </c>
      <c r="F4" s="254" t="s">
        <v>350</v>
      </c>
      <c r="G4" s="254" t="s">
        <v>369</v>
      </c>
      <c r="H4" s="254" t="s">
        <v>373</v>
      </c>
      <c r="I4" s="254" t="s">
        <v>375</v>
      </c>
      <c r="J4" s="254" t="s">
        <v>376</v>
      </c>
      <c r="K4" s="254" t="s">
        <v>377</v>
      </c>
      <c r="L4" s="254" t="s">
        <v>379</v>
      </c>
      <c r="M4" s="254" t="s">
        <v>369</v>
      </c>
      <c r="N4" s="254" t="s">
        <v>982</v>
      </c>
      <c r="O4" s="254" t="s">
        <v>983</v>
      </c>
      <c r="P4" s="2"/>
      <c r="Q4" s="2"/>
      <c r="S4" t="s">
        <v>737</v>
      </c>
      <c r="T4">
        <v>8658021</v>
      </c>
      <c r="U4" s="30">
        <f>Parts!M99</f>
        <v>1.0137</v>
      </c>
      <c r="W4">
        <v>2</v>
      </c>
      <c r="Z4" t="s">
        <v>984</v>
      </c>
    </row>
    <row r="5" spans="1:28">
      <c r="A5" s="73">
        <f>(E19+G19)*$A$2</f>
        <v>0</v>
      </c>
      <c r="B5" s="73">
        <f>(E19+G19)*$B$2</f>
        <v>0</v>
      </c>
      <c r="C5" s="73">
        <f>(E19+G19)*$C$2</f>
        <v>0</v>
      </c>
      <c r="D5" s="2">
        <v>1</v>
      </c>
      <c r="E5" s="97"/>
      <c r="F5" s="97"/>
      <c r="G5" s="97"/>
      <c r="H5" s="42">
        <f>E5</f>
        <v>0</v>
      </c>
      <c r="I5" s="42">
        <f>E5</f>
        <v>0</v>
      </c>
      <c r="J5" s="95">
        <f>F5-0.18</f>
        <v>-0.18</v>
      </c>
      <c r="K5" s="95">
        <f>F5-0.18</f>
        <v>-0.18</v>
      </c>
      <c r="L5" s="95">
        <f>E5-(1.796*2)</f>
        <v>-3.5920000000000001</v>
      </c>
      <c r="M5" s="2">
        <f>ROUNDUP((F5-(1.771*2))/2+1,0)*G5</f>
        <v>0</v>
      </c>
      <c r="N5" s="2">
        <f>M5*2</f>
        <v>0</v>
      </c>
      <c r="O5" s="2">
        <f>8*G5</f>
        <v>0</v>
      </c>
      <c r="S5" t="s">
        <v>738</v>
      </c>
      <c r="T5">
        <v>8657021</v>
      </c>
      <c r="U5" s="30">
        <f>Parts!M100</f>
        <v>3.8182700000000005</v>
      </c>
      <c r="W5">
        <v>2</v>
      </c>
      <c r="Z5" t="s">
        <v>985</v>
      </c>
    </row>
    <row r="6" spans="1:28">
      <c r="A6" s="73">
        <f t="shared" ref="A6:A14" si="0">(E20+G20)*$A$2</f>
        <v>0</v>
      </c>
      <c r="B6" s="73">
        <f t="shared" ref="B6:B14" si="1">(E20+G20)*$B$2</f>
        <v>0</v>
      </c>
      <c r="C6" s="73">
        <f t="shared" ref="C6:C14" si="2">(E20+G20)*$C$2</f>
        <v>0</v>
      </c>
      <c r="D6" s="2">
        <v>2</v>
      </c>
      <c r="E6" s="97"/>
      <c r="F6" s="97"/>
      <c r="G6" s="97"/>
      <c r="H6" s="42">
        <f t="shared" ref="H6:H14" si="3">E6</f>
        <v>0</v>
      </c>
      <c r="I6" s="42">
        <f t="shared" ref="I6:I14" si="4">E6</f>
        <v>0</v>
      </c>
      <c r="J6" s="95">
        <f t="shared" ref="J6:J14" si="5">F6-0.18</f>
        <v>-0.18</v>
      </c>
      <c r="K6" s="95">
        <f t="shared" ref="K6:K14" si="6">F6-0.18</f>
        <v>-0.18</v>
      </c>
      <c r="L6" s="95">
        <f t="shared" ref="L6:L14" si="7">E6-(1.796*2)</f>
        <v>-3.5920000000000001</v>
      </c>
      <c r="M6" s="2">
        <f>ROUNDUP((F6-(1.771*2))/2+1,0)*G6</f>
        <v>0</v>
      </c>
      <c r="N6" s="2">
        <f t="shared" ref="N6:N14" si="8">M6*2</f>
        <v>0</v>
      </c>
      <c r="O6" s="2">
        <f t="shared" ref="O6:O14" si="9">8*G6</f>
        <v>0</v>
      </c>
      <c r="S6" t="s">
        <v>739</v>
      </c>
      <c r="T6">
        <v>8670012</v>
      </c>
      <c r="U6" s="30">
        <f>Parts!M101</f>
        <v>1.6033900000000003</v>
      </c>
      <c r="Z6" t="s">
        <v>986</v>
      </c>
      <c r="AB6" t="s">
        <v>987</v>
      </c>
    </row>
    <row r="7" spans="1:28">
      <c r="A7" s="73">
        <f t="shared" si="0"/>
        <v>0</v>
      </c>
      <c r="B7" s="73">
        <f t="shared" si="1"/>
        <v>0</v>
      </c>
      <c r="C7" s="73">
        <f t="shared" si="2"/>
        <v>0</v>
      </c>
      <c r="D7" s="2">
        <v>3</v>
      </c>
      <c r="E7" s="97"/>
      <c r="F7" s="97"/>
      <c r="G7" s="97"/>
      <c r="H7" s="42">
        <f t="shared" si="3"/>
        <v>0</v>
      </c>
      <c r="I7" s="42">
        <f t="shared" si="4"/>
        <v>0</v>
      </c>
      <c r="J7" s="95">
        <f t="shared" si="5"/>
        <v>-0.18</v>
      </c>
      <c r="K7" s="95">
        <f t="shared" si="6"/>
        <v>-0.18</v>
      </c>
      <c r="L7" s="95">
        <f t="shared" si="7"/>
        <v>-3.5920000000000001</v>
      </c>
      <c r="M7" s="2">
        <f t="shared" ref="M7:M14" si="10">ROUNDUP((F7-(1.771*2))/2+1,0)*G7</f>
        <v>0</v>
      </c>
      <c r="N7" s="2">
        <f t="shared" si="8"/>
        <v>0</v>
      </c>
      <c r="O7" s="2">
        <f t="shared" si="9"/>
        <v>0</v>
      </c>
      <c r="S7" t="s">
        <v>740</v>
      </c>
      <c r="T7">
        <v>8671012</v>
      </c>
      <c r="U7" s="30">
        <f>Parts!M102</f>
        <v>5.0586900000000004</v>
      </c>
      <c r="W7" t="s">
        <v>524</v>
      </c>
      <c r="Z7" t="s">
        <v>988</v>
      </c>
    </row>
    <row r="8" spans="1:28">
      <c r="A8" s="73">
        <f t="shared" si="0"/>
        <v>0</v>
      </c>
      <c r="B8" s="73">
        <f t="shared" si="1"/>
        <v>0</v>
      </c>
      <c r="C8" s="73">
        <f t="shared" si="2"/>
        <v>0</v>
      </c>
      <c r="D8" s="2">
        <v>4</v>
      </c>
      <c r="E8" s="97"/>
      <c r="F8" s="97"/>
      <c r="G8" s="97"/>
      <c r="H8" s="42">
        <f t="shared" si="3"/>
        <v>0</v>
      </c>
      <c r="I8" s="42">
        <f t="shared" si="4"/>
        <v>0</v>
      </c>
      <c r="J8" s="95">
        <f t="shared" si="5"/>
        <v>-0.18</v>
      </c>
      <c r="K8" s="95">
        <f t="shared" si="6"/>
        <v>-0.18</v>
      </c>
      <c r="L8" s="95">
        <f t="shared" si="7"/>
        <v>-3.5920000000000001</v>
      </c>
      <c r="M8" s="2">
        <f t="shared" si="10"/>
        <v>0</v>
      </c>
      <c r="N8" s="2">
        <f t="shared" si="8"/>
        <v>0</v>
      </c>
      <c r="O8" s="2">
        <f t="shared" si="9"/>
        <v>0</v>
      </c>
      <c r="S8" t="s">
        <v>741</v>
      </c>
      <c r="T8">
        <v>8663021</v>
      </c>
      <c r="U8" s="30">
        <f>Parts!M103</f>
        <v>3.4945400000000002</v>
      </c>
      <c r="W8" t="s">
        <v>989</v>
      </c>
      <c r="X8">
        <v>1</v>
      </c>
      <c r="Z8" t="s">
        <v>990</v>
      </c>
    </row>
    <row r="9" spans="1:28">
      <c r="A9" s="73">
        <f t="shared" si="0"/>
        <v>0</v>
      </c>
      <c r="B9" s="73">
        <f t="shared" si="1"/>
        <v>0</v>
      </c>
      <c r="C9" s="73">
        <f t="shared" si="2"/>
        <v>0</v>
      </c>
      <c r="D9" s="2">
        <v>5</v>
      </c>
      <c r="E9" s="97"/>
      <c r="F9" s="97"/>
      <c r="G9" s="97"/>
      <c r="H9" s="42">
        <f t="shared" si="3"/>
        <v>0</v>
      </c>
      <c r="I9" s="42">
        <f t="shared" si="4"/>
        <v>0</v>
      </c>
      <c r="J9" s="95">
        <f t="shared" si="5"/>
        <v>-0.18</v>
      </c>
      <c r="K9" s="95">
        <f t="shared" si="6"/>
        <v>-0.18</v>
      </c>
      <c r="L9" s="95">
        <f t="shared" si="7"/>
        <v>-3.5920000000000001</v>
      </c>
      <c r="M9" s="2">
        <f t="shared" si="10"/>
        <v>0</v>
      </c>
      <c r="N9" s="2">
        <f t="shared" si="8"/>
        <v>0</v>
      </c>
      <c r="O9" s="2">
        <f t="shared" si="9"/>
        <v>0</v>
      </c>
      <c r="S9" t="s">
        <v>742</v>
      </c>
      <c r="T9">
        <v>8665021</v>
      </c>
      <c r="U9" s="30">
        <f>Parts!M104</f>
        <v>2.6890300000000003</v>
      </c>
      <c r="W9" t="s">
        <v>989</v>
      </c>
      <c r="X9">
        <v>1</v>
      </c>
      <c r="Z9" t="s">
        <v>990</v>
      </c>
    </row>
    <row r="10" spans="1:28">
      <c r="A10" s="73">
        <f t="shared" si="0"/>
        <v>0</v>
      </c>
      <c r="B10" s="73">
        <f t="shared" si="1"/>
        <v>0</v>
      </c>
      <c r="C10" s="73">
        <f t="shared" si="2"/>
        <v>0</v>
      </c>
      <c r="D10" s="2">
        <v>6</v>
      </c>
      <c r="E10" s="97"/>
      <c r="F10" s="97"/>
      <c r="G10" s="97"/>
      <c r="H10" s="42">
        <f t="shared" si="3"/>
        <v>0</v>
      </c>
      <c r="I10" s="42">
        <f t="shared" si="4"/>
        <v>0</v>
      </c>
      <c r="J10" s="95">
        <f t="shared" si="5"/>
        <v>-0.18</v>
      </c>
      <c r="K10" s="95">
        <f t="shared" si="6"/>
        <v>-0.18</v>
      </c>
      <c r="L10" s="95">
        <f t="shared" si="7"/>
        <v>-3.5920000000000001</v>
      </c>
      <c r="M10" s="2">
        <f t="shared" si="10"/>
        <v>0</v>
      </c>
      <c r="N10" s="2">
        <f t="shared" si="8"/>
        <v>0</v>
      </c>
      <c r="O10" s="2">
        <f t="shared" si="9"/>
        <v>0</v>
      </c>
      <c r="S10" t="s">
        <v>743</v>
      </c>
      <c r="T10">
        <v>8660021</v>
      </c>
      <c r="U10" s="30">
        <f>Parts!M105</f>
        <v>3.6754800000000003</v>
      </c>
      <c r="Z10" t="s">
        <v>393</v>
      </c>
    </row>
    <row r="11" spans="1:28">
      <c r="A11" s="73">
        <f t="shared" si="0"/>
        <v>0</v>
      </c>
      <c r="B11" s="73">
        <f t="shared" si="1"/>
        <v>0</v>
      </c>
      <c r="C11" s="73">
        <f t="shared" si="2"/>
        <v>0</v>
      </c>
      <c r="D11" s="2">
        <v>7</v>
      </c>
      <c r="E11" s="97"/>
      <c r="F11" s="97"/>
      <c r="G11" s="97"/>
      <c r="H11" s="42">
        <f t="shared" si="3"/>
        <v>0</v>
      </c>
      <c r="I11" s="42">
        <f t="shared" si="4"/>
        <v>0</v>
      </c>
      <c r="J11" s="95">
        <f t="shared" si="5"/>
        <v>-0.18</v>
      </c>
      <c r="K11" s="95">
        <f t="shared" si="6"/>
        <v>-0.18</v>
      </c>
      <c r="L11" s="95">
        <f t="shared" si="7"/>
        <v>-3.5920000000000001</v>
      </c>
      <c r="M11" s="2">
        <f t="shared" si="10"/>
        <v>0</v>
      </c>
      <c r="N11" s="2">
        <f t="shared" si="8"/>
        <v>0</v>
      </c>
      <c r="O11" s="2">
        <f t="shared" si="9"/>
        <v>0</v>
      </c>
      <c r="S11" t="s">
        <v>991</v>
      </c>
      <c r="T11">
        <v>8654021</v>
      </c>
      <c r="U11" s="30">
        <f>Parts!M106</f>
        <v>4.22593</v>
      </c>
      <c r="Z11" t="s">
        <v>393</v>
      </c>
    </row>
    <row r="12" spans="1:28">
      <c r="A12" s="73">
        <f t="shared" si="0"/>
        <v>0</v>
      </c>
      <c r="B12" s="73">
        <f t="shared" si="1"/>
        <v>0</v>
      </c>
      <c r="C12" s="73">
        <f t="shared" si="2"/>
        <v>0</v>
      </c>
      <c r="D12" s="2">
        <v>8</v>
      </c>
      <c r="E12" s="97"/>
      <c r="F12" s="97"/>
      <c r="G12" s="97"/>
      <c r="H12" s="42">
        <f t="shared" si="3"/>
        <v>0</v>
      </c>
      <c r="I12" s="42">
        <f t="shared" si="4"/>
        <v>0</v>
      </c>
      <c r="J12" s="95">
        <f t="shared" si="5"/>
        <v>-0.18</v>
      </c>
      <c r="K12" s="95">
        <f t="shared" si="6"/>
        <v>-0.18</v>
      </c>
      <c r="L12" s="95">
        <f t="shared" si="7"/>
        <v>-3.5920000000000001</v>
      </c>
      <c r="M12" s="2">
        <f t="shared" si="10"/>
        <v>0</v>
      </c>
      <c r="N12" s="2">
        <f t="shared" si="8"/>
        <v>0</v>
      </c>
      <c r="O12" s="2">
        <f t="shared" si="9"/>
        <v>0</v>
      </c>
      <c r="S12" t="s">
        <v>745</v>
      </c>
      <c r="T12">
        <v>8680000</v>
      </c>
      <c r="U12" s="30">
        <f>Parts!M107</f>
        <v>8.1859000000000002</v>
      </c>
    </row>
    <row r="13" spans="1:28">
      <c r="A13" s="73">
        <f t="shared" si="0"/>
        <v>0</v>
      </c>
      <c r="B13" s="73">
        <f t="shared" si="1"/>
        <v>0</v>
      </c>
      <c r="C13" s="73">
        <f t="shared" si="2"/>
        <v>0</v>
      </c>
      <c r="D13" s="2">
        <v>9</v>
      </c>
      <c r="E13" s="97"/>
      <c r="F13" s="97"/>
      <c r="G13" s="97"/>
      <c r="H13" s="42">
        <f t="shared" si="3"/>
        <v>0</v>
      </c>
      <c r="I13" s="42">
        <f t="shared" si="4"/>
        <v>0</v>
      </c>
      <c r="J13" s="95">
        <f t="shared" si="5"/>
        <v>-0.18</v>
      </c>
      <c r="K13" s="95">
        <f t="shared" si="6"/>
        <v>-0.18</v>
      </c>
      <c r="L13" s="95">
        <f t="shared" si="7"/>
        <v>-3.5920000000000001</v>
      </c>
      <c r="M13" s="2">
        <f t="shared" si="10"/>
        <v>0</v>
      </c>
      <c r="N13" s="2">
        <f t="shared" si="8"/>
        <v>0</v>
      </c>
      <c r="O13" s="2">
        <f t="shared" si="9"/>
        <v>0</v>
      </c>
      <c r="S13" t="s">
        <v>746</v>
      </c>
      <c r="T13">
        <v>8685000</v>
      </c>
      <c r="U13" s="30">
        <f>Parts!M108</f>
        <v>0.12535000000000002</v>
      </c>
      <c r="Z13" t="s">
        <v>416</v>
      </c>
    </row>
    <row r="14" spans="1:28">
      <c r="A14" s="73">
        <f t="shared" si="0"/>
        <v>0</v>
      </c>
      <c r="B14" s="73">
        <f t="shared" si="1"/>
        <v>0</v>
      </c>
      <c r="C14" s="73">
        <f t="shared" si="2"/>
        <v>0</v>
      </c>
      <c r="D14" s="2">
        <v>10</v>
      </c>
      <c r="E14" s="97"/>
      <c r="F14" s="97"/>
      <c r="G14" s="97"/>
      <c r="H14" s="42">
        <f t="shared" si="3"/>
        <v>0</v>
      </c>
      <c r="I14" s="42">
        <f t="shared" si="4"/>
        <v>0</v>
      </c>
      <c r="J14" s="95">
        <f t="shared" si="5"/>
        <v>-0.18</v>
      </c>
      <c r="K14" s="95">
        <f t="shared" si="6"/>
        <v>-0.18</v>
      </c>
      <c r="L14" s="95">
        <f t="shared" si="7"/>
        <v>-3.5920000000000001</v>
      </c>
      <c r="M14" s="2">
        <f t="shared" si="10"/>
        <v>0</v>
      </c>
      <c r="N14" s="2">
        <f t="shared" si="8"/>
        <v>0</v>
      </c>
      <c r="O14" s="2">
        <f t="shared" si="9"/>
        <v>0</v>
      </c>
      <c r="S14" t="s">
        <v>747</v>
      </c>
      <c r="U14" s="30">
        <f>Parts!M109</f>
        <v>0.11663000000000001</v>
      </c>
      <c r="W14">
        <v>8</v>
      </c>
    </row>
    <row r="15" spans="1:28">
      <c r="O15" t="s">
        <v>992</v>
      </c>
    </row>
    <row r="18" spans="4:16">
      <c r="E18" s="2"/>
      <c r="F18" s="2" t="s">
        <v>418</v>
      </c>
      <c r="G18" s="2" t="s">
        <v>177</v>
      </c>
    </row>
    <row r="19" spans="4:16">
      <c r="D19" s="2">
        <v>1</v>
      </c>
      <c r="F19" s="30">
        <f>(E5*F5/144)*G5</f>
        <v>0</v>
      </c>
      <c r="G19" s="30">
        <f>SUM(H19:O19)</f>
        <v>0</v>
      </c>
      <c r="H19" s="30">
        <f>G5*H5*($U$11/12)</f>
        <v>0</v>
      </c>
      <c r="I19" s="30">
        <f>G5*I5*($U$10/12)</f>
        <v>0</v>
      </c>
      <c r="J19" s="30">
        <f>G5*J5*($U$4+$U$5/12)</f>
        <v>0</v>
      </c>
      <c r="K19" s="30">
        <f>G5*K5*($U$4+$U$5/12)</f>
        <v>0</v>
      </c>
      <c r="L19" s="30">
        <f t="shared" ref="L19" si="11">(L5*M5)/12*$U$6</f>
        <v>0</v>
      </c>
      <c r="M19" s="31" t="s">
        <v>113</v>
      </c>
      <c r="N19" s="30">
        <f>N5*$U$13</f>
        <v>0</v>
      </c>
      <c r="O19" s="30">
        <f t="shared" ref="O19:O28" si="12">G5*O5*$U$14</f>
        <v>0</v>
      </c>
      <c r="P19" s="30"/>
    </row>
    <row r="20" spans="4:16">
      <c r="D20" s="2">
        <v>2</v>
      </c>
      <c r="F20" s="30">
        <f>(E6*F6/144)*G6</f>
        <v>0</v>
      </c>
      <c r="G20" s="30">
        <f>SUM(H20:O20)</f>
        <v>0</v>
      </c>
      <c r="H20" s="30">
        <f t="shared" ref="H20:H28" si="13">G6*H6*($U$11/12)</f>
        <v>0</v>
      </c>
      <c r="I20" s="30">
        <f t="shared" ref="I20:I28" si="14">G6*I6*($U$10/12)</f>
        <v>0</v>
      </c>
      <c r="J20" s="30">
        <f t="shared" ref="J20:J28" si="15">G6*J6*($U$4+$U$5/12)</f>
        <v>0</v>
      </c>
      <c r="K20" s="30">
        <f t="shared" ref="K20:K28" si="16">G6*K6*($U$4+$U$5/12)</f>
        <v>0</v>
      </c>
      <c r="L20" s="30">
        <f>(L6*M6)/12*$U$6</f>
        <v>0</v>
      </c>
      <c r="M20" s="30"/>
      <c r="N20" s="30">
        <f t="shared" ref="N20:N28" si="17">N6*$U$13</f>
        <v>0</v>
      </c>
      <c r="O20" s="30">
        <f t="shared" si="12"/>
        <v>0</v>
      </c>
      <c r="P20" s="30"/>
    </row>
    <row r="21" spans="4:16">
      <c r="D21" s="2">
        <v>3</v>
      </c>
      <c r="F21" s="30">
        <f t="shared" ref="F21:F28" si="18">(E7*F7/144)*G7</f>
        <v>0</v>
      </c>
      <c r="G21" s="30">
        <f t="shared" ref="G21:G28" si="19">SUM(H21:O21)</f>
        <v>0</v>
      </c>
      <c r="H21" s="30">
        <f t="shared" si="13"/>
        <v>0</v>
      </c>
      <c r="I21" s="30">
        <f t="shared" si="14"/>
        <v>0</v>
      </c>
      <c r="J21" s="30">
        <f t="shared" si="15"/>
        <v>0</v>
      </c>
      <c r="K21" s="30">
        <f t="shared" si="16"/>
        <v>0</v>
      </c>
      <c r="L21" s="30">
        <f t="shared" ref="L21:L28" si="20">(L7*M7)/12*$U$6</f>
        <v>0</v>
      </c>
      <c r="M21" s="30"/>
      <c r="N21" s="30">
        <f t="shared" si="17"/>
        <v>0</v>
      </c>
      <c r="O21" s="30">
        <f t="shared" si="12"/>
        <v>0</v>
      </c>
      <c r="P21" s="30"/>
    </row>
    <row r="22" spans="4:16">
      <c r="D22" s="2">
        <v>4</v>
      </c>
      <c r="F22" s="30">
        <f t="shared" si="18"/>
        <v>0</v>
      </c>
      <c r="G22" s="30">
        <f t="shared" si="19"/>
        <v>0</v>
      </c>
      <c r="H22" s="30">
        <f t="shared" si="13"/>
        <v>0</v>
      </c>
      <c r="I22" s="30">
        <f t="shared" si="14"/>
        <v>0</v>
      </c>
      <c r="J22" s="30">
        <f t="shared" si="15"/>
        <v>0</v>
      </c>
      <c r="K22" s="30">
        <f t="shared" si="16"/>
        <v>0</v>
      </c>
      <c r="L22" s="30">
        <f t="shared" si="20"/>
        <v>0</v>
      </c>
      <c r="M22" s="30"/>
      <c r="N22" s="30">
        <f t="shared" si="17"/>
        <v>0</v>
      </c>
      <c r="O22" s="30">
        <f t="shared" si="12"/>
        <v>0</v>
      </c>
      <c r="P22" s="30"/>
    </row>
    <row r="23" spans="4:16">
      <c r="D23" s="2">
        <v>5</v>
      </c>
      <c r="F23" s="30">
        <f t="shared" si="18"/>
        <v>0</v>
      </c>
      <c r="G23" s="30">
        <f t="shared" si="19"/>
        <v>0</v>
      </c>
      <c r="H23" s="30">
        <f t="shared" si="13"/>
        <v>0</v>
      </c>
      <c r="I23" s="30">
        <f t="shared" si="14"/>
        <v>0</v>
      </c>
      <c r="J23" s="30">
        <f t="shared" si="15"/>
        <v>0</v>
      </c>
      <c r="K23" s="30">
        <f t="shared" si="16"/>
        <v>0</v>
      </c>
      <c r="L23" s="30">
        <f t="shared" si="20"/>
        <v>0</v>
      </c>
      <c r="M23" s="30"/>
      <c r="N23" s="30">
        <f t="shared" si="17"/>
        <v>0</v>
      </c>
      <c r="O23" s="30">
        <f t="shared" si="12"/>
        <v>0</v>
      </c>
      <c r="P23" s="30"/>
    </row>
    <row r="24" spans="4:16">
      <c r="D24" s="2">
        <v>6</v>
      </c>
      <c r="F24" s="30">
        <f t="shared" si="18"/>
        <v>0</v>
      </c>
      <c r="G24" s="30">
        <f t="shared" si="19"/>
        <v>0</v>
      </c>
      <c r="H24" s="30">
        <f t="shared" si="13"/>
        <v>0</v>
      </c>
      <c r="I24" s="30">
        <f t="shared" si="14"/>
        <v>0</v>
      </c>
      <c r="J24" s="30">
        <f t="shared" si="15"/>
        <v>0</v>
      </c>
      <c r="K24" s="30">
        <f t="shared" si="16"/>
        <v>0</v>
      </c>
      <c r="L24" s="30">
        <f t="shared" si="20"/>
        <v>0</v>
      </c>
      <c r="M24" s="30"/>
      <c r="N24" s="30">
        <f t="shared" si="17"/>
        <v>0</v>
      </c>
      <c r="O24" s="30">
        <f t="shared" si="12"/>
        <v>0</v>
      </c>
      <c r="P24" s="30"/>
    </row>
    <row r="25" spans="4:16">
      <c r="D25" s="2">
        <v>7</v>
      </c>
      <c r="F25" s="30">
        <f t="shared" si="18"/>
        <v>0</v>
      </c>
      <c r="G25" s="30">
        <f t="shared" si="19"/>
        <v>0</v>
      </c>
      <c r="H25" s="30">
        <f t="shared" si="13"/>
        <v>0</v>
      </c>
      <c r="I25" s="30">
        <f t="shared" si="14"/>
        <v>0</v>
      </c>
      <c r="J25" s="30">
        <f t="shared" si="15"/>
        <v>0</v>
      </c>
      <c r="K25" s="30">
        <f t="shared" si="16"/>
        <v>0</v>
      </c>
      <c r="L25" s="30">
        <f t="shared" si="20"/>
        <v>0</v>
      </c>
      <c r="M25" s="30"/>
      <c r="N25" s="30">
        <f t="shared" si="17"/>
        <v>0</v>
      </c>
      <c r="O25" s="30">
        <f t="shared" si="12"/>
        <v>0</v>
      </c>
      <c r="P25" s="30"/>
    </row>
    <row r="26" spans="4:16">
      <c r="D26" s="2">
        <v>8</v>
      </c>
      <c r="F26" s="30">
        <f t="shared" si="18"/>
        <v>0</v>
      </c>
      <c r="G26" s="30">
        <f t="shared" si="19"/>
        <v>0</v>
      </c>
      <c r="H26" s="30">
        <f t="shared" si="13"/>
        <v>0</v>
      </c>
      <c r="I26" s="30">
        <f t="shared" si="14"/>
        <v>0</v>
      </c>
      <c r="J26" s="30">
        <f t="shared" si="15"/>
        <v>0</v>
      </c>
      <c r="K26" s="30">
        <f t="shared" si="16"/>
        <v>0</v>
      </c>
      <c r="L26" s="30">
        <f t="shared" si="20"/>
        <v>0</v>
      </c>
      <c r="M26" s="30"/>
      <c r="N26" s="30">
        <f t="shared" si="17"/>
        <v>0</v>
      </c>
      <c r="O26" s="30">
        <f t="shared" si="12"/>
        <v>0</v>
      </c>
      <c r="P26" s="30"/>
    </row>
    <row r="27" spans="4:16">
      <c r="D27" s="2">
        <v>9</v>
      </c>
      <c r="F27" s="30">
        <f t="shared" si="18"/>
        <v>0</v>
      </c>
      <c r="G27" s="30">
        <f t="shared" si="19"/>
        <v>0</v>
      </c>
      <c r="H27" s="30">
        <f t="shared" si="13"/>
        <v>0</v>
      </c>
      <c r="I27" s="30">
        <f t="shared" si="14"/>
        <v>0</v>
      </c>
      <c r="J27" s="30">
        <f t="shared" si="15"/>
        <v>0</v>
      </c>
      <c r="K27" s="30">
        <f t="shared" si="16"/>
        <v>0</v>
      </c>
      <c r="L27" s="30">
        <f t="shared" si="20"/>
        <v>0</v>
      </c>
      <c r="M27" s="30"/>
      <c r="N27" s="30">
        <f t="shared" si="17"/>
        <v>0</v>
      </c>
      <c r="O27" s="30">
        <f t="shared" si="12"/>
        <v>0</v>
      </c>
      <c r="P27" s="30"/>
    </row>
    <row r="28" spans="4:16">
      <c r="D28" s="2">
        <v>10</v>
      </c>
      <c r="F28" s="30">
        <f t="shared" si="18"/>
        <v>0</v>
      </c>
      <c r="G28" s="30">
        <f t="shared" si="19"/>
        <v>0</v>
      </c>
      <c r="H28" s="30">
        <f t="shared" si="13"/>
        <v>0</v>
      </c>
      <c r="I28" s="30">
        <f t="shared" si="14"/>
        <v>0</v>
      </c>
      <c r="J28" s="30">
        <f t="shared" si="15"/>
        <v>0</v>
      </c>
      <c r="K28" s="30">
        <f t="shared" si="16"/>
        <v>0</v>
      </c>
      <c r="L28" s="30">
        <f t="shared" si="20"/>
        <v>0</v>
      </c>
      <c r="M28" s="30"/>
      <c r="N28" s="30">
        <f t="shared" si="17"/>
        <v>0</v>
      </c>
      <c r="O28" s="30">
        <f t="shared" si="12"/>
        <v>0</v>
      </c>
      <c r="P28" s="30"/>
    </row>
  </sheetData>
  <sheetProtection algorithmName="SHA-512" hashValue="dZLuDA4UR9DyGPphuyXwFP06n7y/q+TEsX9EF0eny4zRdjY/rYtbc4TF7HANMSpKbhR4oi8ON5TKG+Q5U00pnA==" saltValue="lfHB11aSozSXA2DjSD/mAg==" spinCount="100000" sheet="1" objects="1" scenarios="1"/>
  <mergeCells count="2">
    <mergeCell ref="L3:M3"/>
    <mergeCell ref="E3:F3"/>
  </mergeCells>
  <pageMargins left="0.7" right="0.7" top="0.75" bottom="0.75" header="0.3" footer="0.3"/>
  <pageSetup scale="80" orientation="landscape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5933C-0D73-4B88-977F-CD28FBE217E3}">
  <sheetPr codeName="Sheet8">
    <tabColor rgb="FFFF0000"/>
    <pageSetUpPr fitToPage="1"/>
  </sheetPr>
  <dimension ref="A2:V381"/>
  <sheetViews>
    <sheetView topLeftCell="A325" workbookViewId="0">
      <selection activeCell="C377" sqref="C377"/>
    </sheetView>
  </sheetViews>
  <sheetFormatPr defaultRowHeight="15"/>
  <cols>
    <col min="1" max="1" width="22.140625" style="2" customWidth="1"/>
    <col min="2" max="2" width="16.7109375" style="2" customWidth="1"/>
    <col min="3" max="3" width="16.140625" style="39" customWidth="1"/>
    <col min="4" max="4" width="21.7109375" style="39" customWidth="1"/>
    <col min="5" max="5" width="23.42578125" style="39" customWidth="1"/>
    <col min="6" max="6" width="11.5703125" customWidth="1"/>
    <col min="7" max="7" width="13.85546875" style="2" customWidth="1"/>
    <col min="8" max="8" width="16.140625" style="2" customWidth="1"/>
    <col min="9" max="9" width="14.85546875" style="2" customWidth="1"/>
    <col min="10" max="10" width="17.85546875" style="2" customWidth="1"/>
    <col min="11" max="11" width="11" style="2" customWidth="1"/>
    <col min="12" max="12" width="7.42578125" style="2" customWidth="1"/>
    <col min="13" max="15" width="16.7109375" style="2" customWidth="1"/>
  </cols>
  <sheetData>
    <row r="2" spans="1:12">
      <c r="A2" s="2" t="s">
        <v>993</v>
      </c>
      <c r="B2" s="2" t="s">
        <v>994</v>
      </c>
      <c r="D2" s="2" t="s">
        <v>995</v>
      </c>
      <c r="E2" s="2" t="s">
        <v>107</v>
      </c>
      <c r="F2" s="2" t="s">
        <v>541</v>
      </c>
      <c r="G2" s="2" t="s">
        <v>542</v>
      </c>
      <c r="H2" s="2" t="s">
        <v>543</v>
      </c>
      <c r="I2" s="2" t="s">
        <v>544</v>
      </c>
      <c r="J2" s="2" t="s">
        <v>545</v>
      </c>
      <c r="K2"/>
      <c r="L2"/>
    </row>
    <row r="3" spans="1:12">
      <c r="A3" s="72">
        <v>44483</v>
      </c>
      <c r="B3" t="s">
        <v>550</v>
      </c>
      <c r="D3" s="2">
        <v>3006</v>
      </c>
      <c r="E3" s="30">
        <v>20</v>
      </c>
      <c r="F3" s="73">
        <v>21</v>
      </c>
      <c r="G3" s="73">
        <f t="shared" ref="G3:G13" si="0">F3*1.2</f>
        <v>25.2</v>
      </c>
      <c r="H3" s="73">
        <f t="shared" ref="H3:H13" si="1">G3/E3</f>
        <v>1.26</v>
      </c>
      <c r="I3" s="73">
        <f>IF(E3&gt;1,H3/12,"")</f>
        <v>0.105</v>
      </c>
      <c r="J3" s="73" t="str">
        <f t="shared" ref="J3:J9" si="2">IF(E3=1,G3,"")</f>
        <v/>
      </c>
      <c r="K3"/>
      <c r="L3" t="s">
        <v>996</v>
      </c>
    </row>
    <row r="4" spans="1:12">
      <c r="A4" s="72">
        <v>44483</v>
      </c>
      <c r="B4" t="s">
        <v>552</v>
      </c>
      <c r="D4" s="2">
        <v>3006</v>
      </c>
      <c r="E4" s="30">
        <v>20</v>
      </c>
      <c r="F4" s="73">
        <v>21</v>
      </c>
      <c r="G4" s="73">
        <f t="shared" si="0"/>
        <v>25.2</v>
      </c>
      <c r="H4" s="73">
        <f t="shared" si="1"/>
        <v>1.26</v>
      </c>
      <c r="I4" s="73">
        <f t="shared" ref="I4:I13" si="3">IF(E4&gt;1,H4/12,"")</f>
        <v>0.105</v>
      </c>
      <c r="J4" s="73" t="str">
        <f t="shared" si="2"/>
        <v/>
      </c>
      <c r="K4"/>
      <c r="L4" t="s">
        <v>997</v>
      </c>
    </row>
    <row r="5" spans="1:12">
      <c r="A5" s="72">
        <v>44483</v>
      </c>
      <c r="B5" t="s">
        <v>553</v>
      </c>
      <c r="D5" s="2">
        <v>3013</v>
      </c>
      <c r="E5" s="30">
        <v>20</v>
      </c>
      <c r="F5" s="73">
        <v>19.079999999999998</v>
      </c>
      <c r="G5" s="73">
        <f t="shared" si="0"/>
        <v>22.895999999999997</v>
      </c>
      <c r="H5" s="73">
        <f t="shared" si="1"/>
        <v>1.1447999999999998</v>
      </c>
      <c r="I5" s="73">
        <f t="shared" si="3"/>
        <v>9.5399999999999985E-2</v>
      </c>
      <c r="J5" s="73" t="str">
        <f t="shared" si="2"/>
        <v/>
      </c>
      <c r="K5"/>
      <c r="L5" t="s">
        <v>998</v>
      </c>
    </row>
    <row r="6" spans="1:12">
      <c r="A6" s="72">
        <v>44483</v>
      </c>
      <c r="B6" t="s">
        <v>554</v>
      </c>
      <c r="D6" s="2">
        <v>3053</v>
      </c>
      <c r="E6" s="30">
        <v>19</v>
      </c>
      <c r="F6" s="73">
        <v>12.3</v>
      </c>
      <c r="G6" s="73">
        <f t="shared" si="0"/>
        <v>14.76</v>
      </c>
      <c r="H6" s="73">
        <f t="shared" si="1"/>
        <v>0.77684210526315789</v>
      </c>
      <c r="I6" s="73">
        <f t="shared" si="3"/>
        <v>6.4736842105263162E-2</v>
      </c>
      <c r="J6" s="73" t="str">
        <f t="shared" si="2"/>
        <v/>
      </c>
      <c r="K6"/>
      <c r="L6" t="s">
        <v>999</v>
      </c>
    </row>
    <row r="7" spans="1:12">
      <c r="A7" s="72">
        <v>44483</v>
      </c>
      <c r="B7" t="s">
        <v>555</v>
      </c>
      <c r="D7" s="2">
        <v>3009</v>
      </c>
      <c r="E7" s="30">
        <v>20</v>
      </c>
      <c r="F7" s="73">
        <v>39.1</v>
      </c>
      <c r="G7" s="73">
        <f t="shared" si="0"/>
        <v>46.92</v>
      </c>
      <c r="H7" s="73">
        <f t="shared" si="1"/>
        <v>2.3460000000000001</v>
      </c>
      <c r="I7" s="73">
        <f t="shared" si="3"/>
        <v>0.19550000000000001</v>
      </c>
      <c r="J7" s="73" t="str">
        <f t="shared" si="2"/>
        <v/>
      </c>
      <c r="K7"/>
      <c r="L7" t="s">
        <v>1000</v>
      </c>
    </row>
    <row r="8" spans="1:12">
      <c r="A8" s="72">
        <v>44483</v>
      </c>
      <c r="B8" t="s">
        <v>1001</v>
      </c>
      <c r="D8" s="2" t="s">
        <v>1002</v>
      </c>
      <c r="E8" s="30">
        <v>20</v>
      </c>
      <c r="F8" s="73">
        <v>49.2</v>
      </c>
      <c r="G8" s="73">
        <f t="shared" si="0"/>
        <v>59.04</v>
      </c>
      <c r="H8" s="73">
        <f t="shared" si="1"/>
        <v>2.952</v>
      </c>
      <c r="I8" s="73">
        <f t="shared" si="3"/>
        <v>0.246</v>
      </c>
      <c r="J8" s="73" t="str">
        <f t="shared" si="2"/>
        <v/>
      </c>
      <c r="K8"/>
      <c r="L8" t="s">
        <v>1003</v>
      </c>
    </row>
    <row r="9" spans="1:12">
      <c r="A9" s="72">
        <v>44483</v>
      </c>
      <c r="B9" t="s">
        <v>1004</v>
      </c>
      <c r="D9" s="2">
        <v>3385</v>
      </c>
      <c r="E9" s="30">
        <v>20</v>
      </c>
      <c r="F9" s="73">
        <v>34.200000000000003</v>
      </c>
      <c r="G9" s="73">
        <f t="shared" si="0"/>
        <v>41.04</v>
      </c>
      <c r="H9" s="73">
        <f t="shared" si="1"/>
        <v>2.052</v>
      </c>
      <c r="I9" s="73">
        <f t="shared" si="3"/>
        <v>0.17100000000000001</v>
      </c>
      <c r="J9" s="73" t="str">
        <f t="shared" si="2"/>
        <v/>
      </c>
      <c r="K9"/>
      <c r="L9" t="s">
        <v>460</v>
      </c>
    </row>
    <row r="10" spans="1:12">
      <c r="A10"/>
      <c r="B10" t="s">
        <v>557</v>
      </c>
      <c r="D10" s="2">
        <v>5001</v>
      </c>
      <c r="E10" s="30">
        <v>1</v>
      </c>
      <c r="F10" s="73">
        <v>1.5</v>
      </c>
      <c r="G10" s="73">
        <f t="shared" si="0"/>
        <v>1.7999999999999998</v>
      </c>
      <c r="H10" s="73">
        <f t="shared" si="1"/>
        <v>1.7999999999999998</v>
      </c>
      <c r="I10" s="73" t="str">
        <f t="shared" si="3"/>
        <v/>
      </c>
      <c r="J10" s="73">
        <f>IF(E10=1,G10,"")</f>
        <v>1.7999999999999998</v>
      </c>
      <c r="K10"/>
      <c r="L10">
        <v>4</v>
      </c>
    </row>
    <row r="11" spans="1:12">
      <c r="A11"/>
      <c r="B11" t="s">
        <v>558</v>
      </c>
      <c r="D11" s="2" t="s">
        <v>559</v>
      </c>
      <c r="E11" s="30">
        <v>1</v>
      </c>
      <c r="F11" s="73">
        <v>1.99</v>
      </c>
      <c r="G11" s="73">
        <f t="shared" si="0"/>
        <v>2.3879999999999999</v>
      </c>
      <c r="H11" s="73">
        <f t="shared" si="1"/>
        <v>2.3879999999999999</v>
      </c>
      <c r="I11" s="73" t="str">
        <f t="shared" si="3"/>
        <v/>
      </c>
      <c r="J11" s="73">
        <f>IF(E11=1,G11,"")</f>
        <v>2.3879999999999999</v>
      </c>
      <c r="K11"/>
      <c r="L11"/>
    </row>
    <row r="12" spans="1:12">
      <c r="A12"/>
      <c r="B12" t="s">
        <v>560</v>
      </c>
      <c r="D12" s="2" t="s">
        <v>561</v>
      </c>
      <c r="E12" s="30">
        <v>1</v>
      </c>
      <c r="F12" s="73">
        <v>1.91</v>
      </c>
      <c r="G12" s="73">
        <f t="shared" si="0"/>
        <v>2.2919999999999998</v>
      </c>
      <c r="H12" s="73">
        <f t="shared" si="1"/>
        <v>2.2919999999999998</v>
      </c>
      <c r="I12" s="73" t="str">
        <f t="shared" si="3"/>
        <v/>
      </c>
      <c r="J12" s="73">
        <f>IF(E12=1,G12,"")</f>
        <v>2.2919999999999998</v>
      </c>
      <c r="K12"/>
      <c r="L12"/>
    </row>
    <row r="13" spans="1:12">
      <c r="A13"/>
      <c r="B13" t="s">
        <v>1005</v>
      </c>
      <c r="D13" s="2">
        <v>5002</v>
      </c>
      <c r="E13" s="30">
        <v>1</v>
      </c>
      <c r="F13" s="73">
        <v>0.75</v>
      </c>
      <c r="G13" s="73">
        <f t="shared" si="0"/>
        <v>0.89999999999999991</v>
      </c>
      <c r="H13" s="73">
        <f t="shared" si="1"/>
        <v>0.89999999999999991</v>
      </c>
      <c r="I13" s="73" t="str">
        <f t="shared" si="3"/>
        <v/>
      </c>
      <c r="J13" s="73">
        <f>IF(E13=1,G13,"")</f>
        <v>0.89999999999999991</v>
      </c>
      <c r="K13"/>
      <c r="L13">
        <v>4</v>
      </c>
    </row>
    <row r="14" spans="1:12">
      <c r="A14"/>
      <c r="B14"/>
      <c r="D14" s="2"/>
      <c r="E14" s="30"/>
      <c r="F14" s="73"/>
      <c r="G14" s="73"/>
      <c r="H14" s="73"/>
      <c r="I14" s="73"/>
      <c r="J14" s="73"/>
      <c r="K14"/>
      <c r="L14"/>
    </row>
    <row r="15" spans="1:12">
      <c r="A15"/>
      <c r="B15"/>
      <c r="D15" s="2"/>
      <c r="E15" s="30"/>
      <c r="F15" s="73"/>
      <c r="G15" s="73"/>
      <c r="H15" s="73"/>
      <c r="I15" s="73"/>
      <c r="J15" s="73"/>
      <c r="K15"/>
      <c r="L15"/>
    </row>
    <row r="16" spans="1:12">
      <c r="A16"/>
      <c r="B16"/>
      <c r="D16" s="2"/>
      <c r="E16" s="30"/>
      <c r="F16" s="73"/>
      <c r="G16" s="73"/>
      <c r="H16" s="73"/>
      <c r="I16" s="73"/>
      <c r="J16" s="73"/>
      <c r="K16"/>
      <c r="L16"/>
    </row>
    <row r="17" spans="1:22">
      <c r="A17"/>
      <c r="B17"/>
      <c r="D17" s="2"/>
      <c r="E17" s="30"/>
      <c r="F17" s="73"/>
      <c r="G17" s="73"/>
      <c r="H17" s="73"/>
      <c r="I17" s="73"/>
      <c r="J17" s="73"/>
      <c r="K17"/>
      <c r="L17"/>
    </row>
    <row r="18" spans="1:22">
      <c r="A18"/>
      <c r="B18"/>
      <c r="D18" s="2"/>
      <c r="E18"/>
      <c r="G18"/>
      <c r="H18"/>
      <c r="I18"/>
      <c r="J18"/>
      <c r="K18"/>
      <c r="L18"/>
    </row>
    <row r="19" spans="1:22">
      <c r="A19"/>
      <c r="B19"/>
      <c r="D19" s="2" t="s">
        <v>1006</v>
      </c>
      <c r="E19" s="2" t="s">
        <v>1007</v>
      </c>
      <c r="F19" s="2" t="s">
        <v>1008</v>
      </c>
      <c r="G19" s="2" t="s">
        <v>1009</v>
      </c>
      <c r="J19"/>
      <c r="K19"/>
      <c r="L19"/>
    </row>
    <row r="20" spans="1:22">
      <c r="A20"/>
      <c r="B20" s="2" t="s">
        <v>1010</v>
      </c>
      <c r="C20" s="39" t="s">
        <v>995</v>
      </c>
      <c r="D20" s="2">
        <v>19</v>
      </c>
      <c r="E20" s="31">
        <v>72</v>
      </c>
      <c r="F20" s="2">
        <f>IF(AND(D20&lt;=19.25),0,IF(AND(D20&gt;19.25, D20&lt;38.6),1,IF(AND(D20&gt;38.75, D20&lt;57.1),2,IF(AND(D20&gt;57,D20&lt;76.1),3,IF(AND(D20&gt;76,D20&lt;96.1),4,"")))))</f>
        <v>0</v>
      </c>
      <c r="J20"/>
      <c r="K20"/>
      <c r="L20"/>
    </row>
    <row r="26" spans="1:22">
      <c r="A26" s="29" t="s">
        <v>1011</v>
      </c>
    </row>
    <row r="28" spans="1:22">
      <c r="A28" s="2" t="s">
        <v>1012</v>
      </c>
    </row>
    <row r="29" spans="1:22">
      <c r="K29" s="409" t="s">
        <v>1013</v>
      </c>
      <c r="L29" s="409"/>
      <c r="M29" s="409"/>
      <c r="N29" s="409"/>
      <c r="O29" s="409"/>
    </row>
    <row r="30" spans="1:22">
      <c r="A30" s="410" t="s">
        <v>393</v>
      </c>
      <c r="B30" s="410"/>
      <c r="C30" s="410"/>
      <c r="D30" s="410"/>
      <c r="E30" s="293"/>
      <c r="F30" s="74"/>
      <c r="G30" s="75"/>
      <c r="H30" s="75"/>
      <c r="I30" s="75" t="s">
        <v>1014</v>
      </c>
      <c r="J30" s="76"/>
      <c r="K30" s="76" t="s">
        <v>1015</v>
      </c>
      <c r="L30" s="76" t="s">
        <v>1016</v>
      </c>
      <c r="M30" s="76" t="s">
        <v>1017</v>
      </c>
      <c r="N30" s="76" t="s">
        <v>1018</v>
      </c>
      <c r="O30" s="75" t="s">
        <v>1019</v>
      </c>
    </row>
    <row r="31" spans="1:22">
      <c r="A31" s="75"/>
      <c r="B31" s="349" t="s">
        <v>1020</v>
      </c>
      <c r="C31" s="411"/>
      <c r="D31" s="77" t="s">
        <v>1021</v>
      </c>
      <c r="E31" s="77"/>
      <c r="F31" s="74"/>
      <c r="G31" s="293"/>
      <c r="H31" s="293" t="s">
        <v>1022</v>
      </c>
      <c r="I31" s="78" t="s">
        <v>1023</v>
      </c>
      <c r="J31" s="75" t="s">
        <v>1024</v>
      </c>
      <c r="K31" s="75" t="s">
        <v>1025</v>
      </c>
      <c r="L31" s="75" t="s">
        <v>1026</v>
      </c>
      <c r="M31" s="75" t="s">
        <v>1027</v>
      </c>
      <c r="N31" s="75" t="s">
        <v>1028</v>
      </c>
      <c r="O31" s="75" t="s">
        <v>1029</v>
      </c>
    </row>
    <row r="32" spans="1:22">
      <c r="A32" s="78" t="s">
        <v>1030</v>
      </c>
      <c r="B32" s="79" t="s">
        <v>1025</v>
      </c>
      <c r="C32" s="80" t="s">
        <v>1031</v>
      </c>
      <c r="D32" s="80" t="s">
        <v>1032</v>
      </c>
      <c r="E32" s="80" t="s">
        <v>1033</v>
      </c>
      <c r="F32" s="74"/>
      <c r="G32" s="293" t="s">
        <v>1034</v>
      </c>
      <c r="H32" s="293" t="s">
        <v>1035</v>
      </c>
      <c r="I32" s="78" t="s">
        <v>127</v>
      </c>
      <c r="J32" s="293" t="s">
        <v>1036</v>
      </c>
      <c r="K32" s="349" t="s">
        <v>1037</v>
      </c>
      <c r="L32" s="412"/>
      <c r="M32" s="412"/>
      <c r="N32" s="412"/>
      <c r="O32" s="411"/>
      <c r="U32">
        <v>1.375</v>
      </c>
      <c r="V32" t="s">
        <v>1038</v>
      </c>
    </row>
    <row r="33" spans="1:22">
      <c r="A33" s="81">
        <v>10</v>
      </c>
      <c r="B33" s="82">
        <f>A33-3</f>
        <v>7</v>
      </c>
      <c r="C33" s="77"/>
      <c r="D33" s="77">
        <f>A33</f>
        <v>10</v>
      </c>
      <c r="E33" s="77">
        <f>A33-4</f>
        <v>6</v>
      </c>
      <c r="F33" s="74"/>
      <c r="G33" s="75"/>
      <c r="H33" s="83">
        <v>1.375</v>
      </c>
      <c r="I33" s="75"/>
      <c r="J33" s="75"/>
      <c r="K33" s="75" t="s">
        <v>113</v>
      </c>
      <c r="L33" s="75">
        <v>2</v>
      </c>
      <c r="M33" s="75">
        <v>3</v>
      </c>
      <c r="N33" s="75">
        <v>4</v>
      </c>
      <c r="O33" s="75">
        <v>5</v>
      </c>
      <c r="T33">
        <v>1</v>
      </c>
      <c r="U33">
        <f>T33*$U$32</f>
        <v>1.375</v>
      </c>
      <c r="V33">
        <f>U33+4</f>
        <v>5.375</v>
      </c>
    </row>
    <row r="34" spans="1:22">
      <c r="A34" s="81">
        <v>10.25</v>
      </c>
      <c r="B34" s="82">
        <f t="shared" ref="B34:B69" si="4">A34-3</f>
        <v>7.25</v>
      </c>
      <c r="C34" s="77"/>
      <c r="D34" s="77">
        <f t="shared" ref="D34:D98" si="5">A34</f>
        <v>10.25</v>
      </c>
      <c r="E34" s="77">
        <f t="shared" ref="E34:E69" si="6">A34-4</f>
        <v>6.25</v>
      </c>
      <c r="F34" s="74"/>
      <c r="G34" s="75">
        <v>1</v>
      </c>
      <c r="H34" s="75">
        <f t="shared" ref="H34:H94" si="7">G34*$U$32</f>
        <v>1.375</v>
      </c>
      <c r="I34" s="84">
        <f>H34+4</f>
        <v>5.375</v>
      </c>
      <c r="J34" s="75">
        <f>I34</f>
        <v>5.375</v>
      </c>
      <c r="K34" s="75">
        <f>H34/1.375</f>
        <v>1</v>
      </c>
      <c r="L34" s="75">
        <f>K34*$L$33</f>
        <v>2</v>
      </c>
      <c r="M34" s="75">
        <f>K34*$M$33</f>
        <v>3</v>
      </c>
      <c r="N34" s="75">
        <f>K34*$N$33</f>
        <v>4</v>
      </c>
      <c r="O34" s="75">
        <f>K34*$O$33</f>
        <v>5</v>
      </c>
      <c r="T34">
        <v>2</v>
      </c>
      <c r="U34">
        <f t="shared" ref="U34:U97" si="8">T34*$U$32</f>
        <v>2.75</v>
      </c>
      <c r="V34">
        <f t="shared" ref="V34:V97" si="9">U34+4</f>
        <v>6.75</v>
      </c>
    </row>
    <row r="35" spans="1:22">
      <c r="A35" s="81">
        <v>10.5</v>
      </c>
      <c r="B35" s="82">
        <f t="shared" si="4"/>
        <v>7.5</v>
      </c>
      <c r="C35" s="77"/>
      <c r="D35" s="77">
        <f t="shared" si="5"/>
        <v>10.5</v>
      </c>
      <c r="E35" s="77">
        <f t="shared" si="6"/>
        <v>6.5</v>
      </c>
      <c r="F35" s="74"/>
      <c r="G35" s="75">
        <v>2</v>
      </c>
      <c r="H35" s="75">
        <f t="shared" si="7"/>
        <v>2.75</v>
      </c>
      <c r="I35" s="84">
        <f t="shared" ref="I35:I94" si="10">H35+4</f>
        <v>6.75</v>
      </c>
      <c r="J35" s="75">
        <f t="shared" ref="J35:J94" si="11">I35</f>
        <v>6.75</v>
      </c>
      <c r="K35" s="75">
        <f t="shared" ref="K35:K94" si="12">H35/1.375</f>
        <v>2</v>
      </c>
      <c r="L35" s="75">
        <f t="shared" ref="L35:L94" si="13">K35*$L$33</f>
        <v>4</v>
      </c>
      <c r="M35" s="75">
        <f t="shared" ref="M35:M94" si="14">K35*$M$33</f>
        <v>6</v>
      </c>
      <c r="N35" s="75">
        <f t="shared" ref="N35:N94" si="15">K35*$N$33</f>
        <v>8</v>
      </c>
      <c r="O35" s="75">
        <f t="shared" ref="O35:O94" si="16">K35*$O$33</f>
        <v>10</v>
      </c>
      <c r="T35">
        <v>3</v>
      </c>
      <c r="U35">
        <f t="shared" si="8"/>
        <v>4.125</v>
      </c>
      <c r="V35">
        <f t="shared" si="9"/>
        <v>8.125</v>
      </c>
    </row>
    <row r="36" spans="1:22">
      <c r="A36" s="81">
        <v>10.75</v>
      </c>
      <c r="B36" s="82">
        <f t="shared" si="4"/>
        <v>7.75</v>
      </c>
      <c r="C36" s="77"/>
      <c r="D36" s="77">
        <f t="shared" si="5"/>
        <v>10.75</v>
      </c>
      <c r="E36" s="77">
        <f t="shared" si="6"/>
        <v>6.75</v>
      </c>
      <c r="F36" s="74"/>
      <c r="G36" s="75">
        <v>3</v>
      </c>
      <c r="H36" s="75">
        <f t="shared" si="7"/>
        <v>4.125</v>
      </c>
      <c r="I36" s="84">
        <f t="shared" si="10"/>
        <v>8.125</v>
      </c>
      <c r="J36" s="75">
        <f t="shared" si="11"/>
        <v>8.125</v>
      </c>
      <c r="K36" s="75">
        <f t="shared" si="12"/>
        <v>3</v>
      </c>
      <c r="L36" s="75">
        <f t="shared" si="13"/>
        <v>6</v>
      </c>
      <c r="M36" s="75">
        <f t="shared" si="14"/>
        <v>9</v>
      </c>
      <c r="N36" s="75">
        <f t="shared" si="15"/>
        <v>12</v>
      </c>
      <c r="O36" s="75">
        <f t="shared" si="16"/>
        <v>15</v>
      </c>
      <c r="T36">
        <v>4</v>
      </c>
      <c r="U36">
        <f t="shared" si="8"/>
        <v>5.5</v>
      </c>
      <c r="V36">
        <f t="shared" si="9"/>
        <v>9.5</v>
      </c>
    </row>
    <row r="37" spans="1:22">
      <c r="A37" s="81">
        <v>11</v>
      </c>
      <c r="B37" s="82">
        <f t="shared" si="4"/>
        <v>8</v>
      </c>
      <c r="C37" s="77"/>
      <c r="D37" s="77">
        <f t="shared" si="5"/>
        <v>11</v>
      </c>
      <c r="E37" s="77">
        <f t="shared" si="6"/>
        <v>7</v>
      </c>
      <c r="F37" s="74"/>
      <c r="G37" s="75">
        <v>4</v>
      </c>
      <c r="H37" s="75">
        <f t="shared" si="7"/>
        <v>5.5</v>
      </c>
      <c r="I37" s="84">
        <f t="shared" si="10"/>
        <v>9.5</v>
      </c>
      <c r="J37" s="75">
        <f t="shared" si="11"/>
        <v>9.5</v>
      </c>
      <c r="K37" s="75">
        <f t="shared" si="12"/>
        <v>4</v>
      </c>
      <c r="L37" s="75">
        <f t="shared" si="13"/>
        <v>8</v>
      </c>
      <c r="M37" s="75">
        <f t="shared" si="14"/>
        <v>12</v>
      </c>
      <c r="N37" s="75">
        <f t="shared" si="15"/>
        <v>16</v>
      </c>
      <c r="O37" s="75">
        <f t="shared" si="16"/>
        <v>20</v>
      </c>
      <c r="T37">
        <v>5</v>
      </c>
      <c r="U37">
        <f>T37*$U$32</f>
        <v>6.875</v>
      </c>
      <c r="V37">
        <f t="shared" si="9"/>
        <v>10.875</v>
      </c>
    </row>
    <row r="38" spans="1:22">
      <c r="A38" s="81">
        <v>11.25</v>
      </c>
      <c r="B38" s="82">
        <f t="shared" si="4"/>
        <v>8.25</v>
      </c>
      <c r="C38" s="77"/>
      <c r="D38" s="77">
        <f t="shared" si="5"/>
        <v>11.25</v>
      </c>
      <c r="E38" s="77">
        <f t="shared" si="6"/>
        <v>7.25</v>
      </c>
      <c r="F38" s="74"/>
      <c r="G38" s="75">
        <v>5</v>
      </c>
      <c r="H38" s="75">
        <f t="shared" si="7"/>
        <v>6.875</v>
      </c>
      <c r="I38" s="84">
        <f t="shared" si="10"/>
        <v>10.875</v>
      </c>
      <c r="J38" s="75">
        <f t="shared" si="11"/>
        <v>10.875</v>
      </c>
      <c r="K38" s="75">
        <f t="shared" si="12"/>
        <v>5</v>
      </c>
      <c r="L38" s="75">
        <f t="shared" si="13"/>
        <v>10</v>
      </c>
      <c r="M38" s="75">
        <f t="shared" si="14"/>
        <v>15</v>
      </c>
      <c r="N38" s="75">
        <f t="shared" si="15"/>
        <v>20</v>
      </c>
      <c r="O38" s="75">
        <f t="shared" si="16"/>
        <v>25</v>
      </c>
      <c r="T38">
        <v>6</v>
      </c>
      <c r="U38">
        <f t="shared" si="8"/>
        <v>8.25</v>
      </c>
      <c r="V38">
        <f t="shared" si="9"/>
        <v>12.25</v>
      </c>
    </row>
    <row r="39" spans="1:22">
      <c r="A39" s="81">
        <v>11.5</v>
      </c>
      <c r="B39" s="82">
        <f t="shared" si="4"/>
        <v>8.5</v>
      </c>
      <c r="C39" s="77"/>
      <c r="D39" s="77">
        <f t="shared" si="5"/>
        <v>11.5</v>
      </c>
      <c r="E39" s="77">
        <f t="shared" si="6"/>
        <v>7.5</v>
      </c>
      <c r="F39" s="74"/>
      <c r="G39" s="75">
        <v>6</v>
      </c>
      <c r="H39" s="75">
        <f t="shared" si="7"/>
        <v>8.25</v>
      </c>
      <c r="I39" s="84">
        <f t="shared" si="10"/>
        <v>12.25</v>
      </c>
      <c r="J39" s="75">
        <f t="shared" si="11"/>
        <v>12.25</v>
      </c>
      <c r="K39" s="75">
        <f t="shared" si="12"/>
        <v>6</v>
      </c>
      <c r="L39" s="75">
        <f t="shared" si="13"/>
        <v>12</v>
      </c>
      <c r="M39" s="75">
        <f t="shared" si="14"/>
        <v>18</v>
      </c>
      <c r="N39" s="75">
        <f t="shared" si="15"/>
        <v>24</v>
      </c>
      <c r="O39" s="75">
        <f t="shared" si="16"/>
        <v>30</v>
      </c>
      <c r="T39">
        <v>7</v>
      </c>
      <c r="U39">
        <f t="shared" si="8"/>
        <v>9.625</v>
      </c>
      <c r="V39">
        <f t="shared" si="9"/>
        <v>13.625</v>
      </c>
    </row>
    <row r="40" spans="1:22">
      <c r="A40" s="81">
        <v>11.75</v>
      </c>
      <c r="B40" s="82">
        <f t="shared" si="4"/>
        <v>8.75</v>
      </c>
      <c r="C40" s="77"/>
      <c r="D40" s="77">
        <f t="shared" si="5"/>
        <v>11.75</v>
      </c>
      <c r="E40" s="77">
        <f t="shared" si="6"/>
        <v>7.75</v>
      </c>
      <c r="F40" s="74"/>
      <c r="G40" s="75">
        <v>7</v>
      </c>
      <c r="H40" s="75">
        <f t="shared" si="7"/>
        <v>9.625</v>
      </c>
      <c r="I40" s="84">
        <f t="shared" si="10"/>
        <v>13.625</v>
      </c>
      <c r="J40" s="75">
        <f t="shared" si="11"/>
        <v>13.625</v>
      </c>
      <c r="K40" s="75">
        <f t="shared" si="12"/>
        <v>7</v>
      </c>
      <c r="L40" s="75">
        <f t="shared" si="13"/>
        <v>14</v>
      </c>
      <c r="M40" s="75">
        <f t="shared" si="14"/>
        <v>21</v>
      </c>
      <c r="N40" s="75">
        <f t="shared" si="15"/>
        <v>28</v>
      </c>
      <c r="O40" s="75">
        <f t="shared" si="16"/>
        <v>35</v>
      </c>
      <c r="T40">
        <v>8</v>
      </c>
      <c r="U40">
        <f t="shared" si="8"/>
        <v>11</v>
      </c>
      <c r="V40">
        <f t="shared" si="9"/>
        <v>15</v>
      </c>
    </row>
    <row r="41" spans="1:22">
      <c r="A41" s="81">
        <v>12</v>
      </c>
      <c r="B41" s="82">
        <f t="shared" si="4"/>
        <v>9</v>
      </c>
      <c r="C41" s="77"/>
      <c r="D41" s="77">
        <f t="shared" si="5"/>
        <v>12</v>
      </c>
      <c r="E41" s="77">
        <f t="shared" si="6"/>
        <v>8</v>
      </c>
      <c r="F41" s="74"/>
      <c r="G41" s="75">
        <v>8</v>
      </c>
      <c r="H41" s="75">
        <f t="shared" si="7"/>
        <v>11</v>
      </c>
      <c r="I41" s="84">
        <f t="shared" si="10"/>
        <v>15</v>
      </c>
      <c r="J41" s="75">
        <f t="shared" si="11"/>
        <v>15</v>
      </c>
      <c r="K41" s="75">
        <f t="shared" si="12"/>
        <v>8</v>
      </c>
      <c r="L41" s="75">
        <f t="shared" si="13"/>
        <v>16</v>
      </c>
      <c r="M41" s="75">
        <f t="shared" si="14"/>
        <v>24</v>
      </c>
      <c r="N41" s="75">
        <f t="shared" si="15"/>
        <v>32</v>
      </c>
      <c r="O41" s="75">
        <f t="shared" si="16"/>
        <v>40</v>
      </c>
      <c r="T41">
        <v>9</v>
      </c>
      <c r="U41">
        <f t="shared" si="8"/>
        <v>12.375</v>
      </c>
      <c r="V41">
        <f t="shared" si="9"/>
        <v>16.375</v>
      </c>
    </row>
    <row r="42" spans="1:22">
      <c r="A42" s="81">
        <v>12.25</v>
      </c>
      <c r="B42" s="82">
        <f t="shared" si="4"/>
        <v>9.25</v>
      </c>
      <c r="C42" s="77"/>
      <c r="D42" s="77">
        <f t="shared" si="5"/>
        <v>12.25</v>
      </c>
      <c r="E42" s="77">
        <f t="shared" si="6"/>
        <v>8.25</v>
      </c>
      <c r="F42" s="74"/>
      <c r="G42" s="75">
        <v>9</v>
      </c>
      <c r="H42" s="75">
        <f t="shared" si="7"/>
        <v>12.375</v>
      </c>
      <c r="I42" s="84">
        <f t="shared" si="10"/>
        <v>16.375</v>
      </c>
      <c r="J42" s="75">
        <f t="shared" si="11"/>
        <v>16.375</v>
      </c>
      <c r="K42" s="75">
        <f t="shared" si="12"/>
        <v>9</v>
      </c>
      <c r="L42" s="75">
        <f t="shared" si="13"/>
        <v>18</v>
      </c>
      <c r="M42" s="75">
        <f t="shared" si="14"/>
        <v>27</v>
      </c>
      <c r="N42" s="75">
        <f t="shared" si="15"/>
        <v>36</v>
      </c>
      <c r="O42" s="75">
        <f t="shared" si="16"/>
        <v>45</v>
      </c>
      <c r="T42">
        <v>10</v>
      </c>
      <c r="U42">
        <f t="shared" si="8"/>
        <v>13.75</v>
      </c>
      <c r="V42">
        <f t="shared" si="9"/>
        <v>17.75</v>
      </c>
    </row>
    <row r="43" spans="1:22">
      <c r="A43" s="81">
        <v>12.5</v>
      </c>
      <c r="B43" s="82">
        <f t="shared" si="4"/>
        <v>9.5</v>
      </c>
      <c r="C43" s="77"/>
      <c r="D43" s="77">
        <f t="shared" si="5"/>
        <v>12.5</v>
      </c>
      <c r="E43" s="77">
        <f t="shared" si="6"/>
        <v>8.5</v>
      </c>
      <c r="F43" s="74"/>
      <c r="G43" s="75">
        <v>10</v>
      </c>
      <c r="H43" s="75">
        <f t="shared" si="7"/>
        <v>13.75</v>
      </c>
      <c r="I43" s="84">
        <f t="shared" si="10"/>
        <v>17.75</v>
      </c>
      <c r="J43" s="75">
        <f t="shared" si="11"/>
        <v>17.75</v>
      </c>
      <c r="K43" s="75">
        <f t="shared" si="12"/>
        <v>10</v>
      </c>
      <c r="L43" s="75">
        <f t="shared" si="13"/>
        <v>20</v>
      </c>
      <c r="M43" s="75">
        <f t="shared" si="14"/>
        <v>30</v>
      </c>
      <c r="N43" s="75">
        <f t="shared" si="15"/>
        <v>40</v>
      </c>
      <c r="O43" s="75">
        <f t="shared" si="16"/>
        <v>50</v>
      </c>
      <c r="T43">
        <v>11</v>
      </c>
      <c r="U43">
        <f t="shared" si="8"/>
        <v>15.125</v>
      </c>
      <c r="V43">
        <f t="shared" si="9"/>
        <v>19.125</v>
      </c>
    </row>
    <row r="44" spans="1:22">
      <c r="A44" s="81">
        <v>12.75</v>
      </c>
      <c r="B44" s="82">
        <f t="shared" si="4"/>
        <v>9.75</v>
      </c>
      <c r="C44" s="77"/>
      <c r="D44" s="77">
        <f t="shared" si="5"/>
        <v>12.75</v>
      </c>
      <c r="E44" s="77">
        <f t="shared" si="6"/>
        <v>8.75</v>
      </c>
      <c r="F44" s="74"/>
      <c r="G44" s="75">
        <v>11</v>
      </c>
      <c r="H44" s="75">
        <f t="shared" si="7"/>
        <v>15.125</v>
      </c>
      <c r="I44" s="84">
        <f t="shared" si="10"/>
        <v>19.125</v>
      </c>
      <c r="J44" s="75">
        <f t="shared" si="11"/>
        <v>19.125</v>
      </c>
      <c r="K44" s="75">
        <f t="shared" si="12"/>
        <v>11</v>
      </c>
      <c r="L44" s="75">
        <f t="shared" si="13"/>
        <v>22</v>
      </c>
      <c r="M44" s="75">
        <f t="shared" si="14"/>
        <v>33</v>
      </c>
      <c r="N44" s="75">
        <f t="shared" si="15"/>
        <v>44</v>
      </c>
      <c r="O44" s="75">
        <f t="shared" si="16"/>
        <v>55</v>
      </c>
      <c r="T44">
        <v>12</v>
      </c>
      <c r="U44">
        <f t="shared" si="8"/>
        <v>16.5</v>
      </c>
      <c r="V44">
        <f t="shared" si="9"/>
        <v>20.5</v>
      </c>
    </row>
    <row r="45" spans="1:22">
      <c r="A45" s="81">
        <v>13</v>
      </c>
      <c r="B45" s="82">
        <f t="shared" si="4"/>
        <v>10</v>
      </c>
      <c r="C45" s="77"/>
      <c r="D45" s="77">
        <f t="shared" si="5"/>
        <v>13</v>
      </c>
      <c r="E45" s="77">
        <f t="shared" si="6"/>
        <v>9</v>
      </c>
      <c r="F45" s="74"/>
      <c r="G45" s="75">
        <v>12</v>
      </c>
      <c r="H45" s="75">
        <f t="shared" si="7"/>
        <v>16.5</v>
      </c>
      <c r="I45" s="84">
        <f t="shared" si="10"/>
        <v>20.5</v>
      </c>
      <c r="J45" s="75">
        <f t="shared" si="11"/>
        <v>20.5</v>
      </c>
      <c r="K45" s="75">
        <f t="shared" si="12"/>
        <v>12</v>
      </c>
      <c r="L45" s="75">
        <f t="shared" si="13"/>
        <v>24</v>
      </c>
      <c r="M45" s="75">
        <f t="shared" si="14"/>
        <v>36</v>
      </c>
      <c r="N45" s="75">
        <f t="shared" si="15"/>
        <v>48</v>
      </c>
      <c r="O45" s="75">
        <f t="shared" si="16"/>
        <v>60</v>
      </c>
      <c r="T45">
        <v>13</v>
      </c>
      <c r="U45">
        <f t="shared" si="8"/>
        <v>17.875</v>
      </c>
      <c r="V45">
        <f t="shared" si="9"/>
        <v>21.875</v>
      </c>
    </row>
    <row r="46" spans="1:22">
      <c r="A46" s="81">
        <v>13.25</v>
      </c>
      <c r="B46" s="82">
        <f t="shared" si="4"/>
        <v>10.25</v>
      </c>
      <c r="C46" s="77"/>
      <c r="D46" s="77">
        <f t="shared" si="5"/>
        <v>13.25</v>
      </c>
      <c r="E46" s="77">
        <f t="shared" si="6"/>
        <v>9.25</v>
      </c>
      <c r="F46" s="74"/>
      <c r="G46" s="75">
        <v>13</v>
      </c>
      <c r="H46" s="75">
        <f t="shared" si="7"/>
        <v>17.875</v>
      </c>
      <c r="I46" s="84">
        <f t="shared" si="10"/>
        <v>21.875</v>
      </c>
      <c r="J46" s="75">
        <f t="shared" si="11"/>
        <v>21.875</v>
      </c>
      <c r="K46" s="75">
        <f t="shared" si="12"/>
        <v>13</v>
      </c>
      <c r="L46" s="75">
        <f t="shared" si="13"/>
        <v>26</v>
      </c>
      <c r="M46" s="75">
        <f t="shared" si="14"/>
        <v>39</v>
      </c>
      <c r="N46" s="75">
        <f t="shared" si="15"/>
        <v>52</v>
      </c>
      <c r="O46" s="75">
        <f t="shared" si="16"/>
        <v>65</v>
      </c>
      <c r="T46">
        <v>14</v>
      </c>
      <c r="U46">
        <f t="shared" si="8"/>
        <v>19.25</v>
      </c>
      <c r="V46">
        <f t="shared" si="9"/>
        <v>23.25</v>
      </c>
    </row>
    <row r="47" spans="1:22">
      <c r="A47" s="81">
        <v>13.5</v>
      </c>
      <c r="B47" s="82">
        <f t="shared" si="4"/>
        <v>10.5</v>
      </c>
      <c r="C47" s="77"/>
      <c r="D47" s="77">
        <f t="shared" si="5"/>
        <v>13.5</v>
      </c>
      <c r="E47" s="77">
        <f t="shared" si="6"/>
        <v>9.5</v>
      </c>
      <c r="F47" s="74"/>
      <c r="G47" s="75">
        <v>14</v>
      </c>
      <c r="H47" s="75">
        <f t="shared" si="7"/>
        <v>19.25</v>
      </c>
      <c r="I47" s="84">
        <f t="shared" si="10"/>
        <v>23.25</v>
      </c>
      <c r="J47" s="75">
        <f t="shared" si="11"/>
        <v>23.25</v>
      </c>
      <c r="K47" s="75">
        <f t="shared" si="12"/>
        <v>14</v>
      </c>
      <c r="L47" s="75">
        <f t="shared" si="13"/>
        <v>28</v>
      </c>
      <c r="M47" s="75">
        <f t="shared" si="14"/>
        <v>42</v>
      </c>
      <c r="N47" s="75">
        <f t="shared" si="15"/>
        <v>56</v>
      </c>
      <c r="O47" s="75">
        <f t="shared" si="16"/>
        <v>70</v>
      </c>
      <c r="T47">
        <v>15</v>
      </c>
      <c r="U47">
        <f t="shared" si="8"/>
        <v>20.625</v>
      </c>
      <c r="V47">
        <f t="shared" si="9"/>
        <v>24.625</v>
      </c>
    </row>
    <row r="48" spans="1:22">
      <c r="A48" s="81">
        <v>13.75</v>
      </c>
      <c r="B48" s="82">
        <f t="shared" si="4"/>
        <v>10.75</v>
      </c>
      <c r="C48" s="77"/>
      <c r="D48" s="77">
        <f t="shared" si="5"/>
        <v>13.75</v>
      </c>
      <c r="E48" s="77">
        <f t="shared" si="6"/>
        <v>9.75</v>
      </c>
      <c r="F48" s="74"/>
      <c r="G48" s="75">
        <v>15</v>
      </c>
      <c r="H48" s="75">
        <f t="shared" si="7"/>
        <v>20.625</v>
      </c>
      <c r="I48" s="84">
        <f t="shared" si="10"/>
        <v>24.625</v>
      </c>
      <c r="J48" s="75">
        <f t="shared" si="11"/>
        <v>24.625</v>
      </c>
      <c r="K48" s="75">
        <f t="shared" si="12"/>
        <v>15</v>
      </c>
      <c r="L48" s="75">
        <f t="shared" si="13"/>
        <v>30</v>
      </c>
      <c r="M48" s="75">
        <f t="shared" si="14"/>
        <v>45</v>
      </c>
      <c r="N48" s="75">
        <f t="shared" si="15"/>
        <v>60</v>
      </c>
      <c r="O48" s="75">
        <f t="shared" si="16"/>
        <v>75</v>
      </c>
      <c r="T48">
        <v>16</v>
      </c>
      <c r="U48">
        <f t="shared" si="8"/>
        <v>22</v>
      </c>
      <c r="V48">
        <f t="shared" si="9"/>
        <v>26</v>
      </c>
    </row>
    <row r="49" spans="1:22">
      <c r="A49" s="81">
        <v>14</v>
      </c>
      <c r="B49" s="82">
        <f t="shared" si="4"/>
        <v>11</v>
      </c>
      <c r="C49" s="77"/>
      <c r="D49" s="77">
        <f t="shared" si="5"/>
        <v>14</v>
      </c>
      <c r="E49" s="77">
        <f t="shared" si="6"/>
        <v>10</v>
      </c>
      <c r="F49" s="74"/>
      <c r="G49" s="75">
        <v>16</v>
      </c>
      <c r="H49" s="75">
        <f t="shared" si="7"/>
        <v>22</v>
      </c>
      <c r="I49" s="84">
        <f t="shared" si="10"/>
        <v>26</v>
      </c>
      <c r="J49" s="75">
        <f t="shared" si="11"/>
        <v>26</v>
      </c>
      <c r="K49" s="75">
        <f t="shared" si="12"/>
        <v>16</v>
      </c>
      <c r="L49" s="75">
        <f t="shared" si="13"/>
        <v>32</v>
      </c>
      <c r="M49" s="75">
        <f t="shared" si="14"/>
        <v>48</v>
      </c>
      <c r="N49" s="75">
        <f t="shared" si="15"/>
        <v>64</v>
      </c>
      <c r="O49" s="75">
        <f t="shared" si="16"/>
        <v>80</v>
      </c>
      <c r="T49">
        <v>17</v>
      </c>
      <c r="U49">
        <f t="shared" si="8"/>
        <v>23.375</v>
      </c>
      <c r="V49">
        <f t="shared" si="9"/>
        <v>27.375</v>
      </c>
    </row>
    <row r="50" spans="1:22">
      <c r="A50" s="81">
        <v>14.25</v>
      </c>
      <c r="B50" s="82">
        <f t="shared" si="4"/>
        <v>11.25</v>
      </c>
      <c r="C50" s="77"/>
      <c r="D50" s="77">
        <f t="shared" si="5"/>
        <v>14.25</v>
      </c>
      <c r="E50" s="77">
        <f t="shared" si="6"/>
        <v>10.25</v>
      </c>
      <c r="F50" s="74"/>
      <c r="G50" s="75">
        <v>17</v>
      </c>
      <c r="H50" s="75">
        <f t="shared" si="7"/>
        <v>23.375</v>
      </c>
      <c r="I50" s="84">
        <f t="shared" si="10"/>
        <v>27.375</v>
      </c>
      <c r="J50" s="75">
        <f t="shared" si="11"/>
        <v>27.375</v>
      </c>
      <c r="K50" s="75">
        <f t="shared" si="12"/>
        <v>17</v>
      </c>
      <c r="L50" s="75">
        <f t="shared" si="13"/>
        <v>34</v>
      </c>
      <c r="M50" s="75">
        <f t="shared" si="14"/>
        <v>51</v>
      </c>
      <c r="N50" s="75">
        <f t="shared" si="15"/>
        <v>68</v>
      </c>
      <c r="O50" s="75">
        <f t="shared" si="16"/>
        <v>85</v>
      </c>
      <c r="T50">
        <v>18</v>
      </c>
      <c r="U50">
        <f t="shared" si="8"/>
        <v>24.75</v>
      </c>
      <c r="V50">
        <f t="shared" si="9"/>
        <v>28.75</v>
      </c>
    </row>
    <row r="51" spans="1:22">
      <c r="A51" s="81">
        <v>14.5</v>
      </c>
      <c r="B51" s="82">
        <f t="shared" si="4"/>
        <v>11.5</v>
      </c>
      <c r="C51" s="77"/>
      <c r="D51" s="77">
        <f t="shared" si="5"/>
        <v>14.5</v>
      </c>
      <c r="E51" s="77">
        <f t="shared" si="6"/>
        <v>10.5</v>
      </c>
      <c r="F51" s="74"/>
      <c r="G51" s="75">
        <v>18</v>
      </c>
      <c r="H51" s="75">
        <f t="shared" si="7"/>
        <v>24.75</v>
      </c>
      <c r="I51" s="84">
        <f t="shared" si="10"/>
        <v>28.75</v>
      </c>
      <c r="J51" s="75">
        <f t="shared" si="11"/>
        <v>28.75</v>
      </c>
      <c r="K51" s="75">
        <f t="shared" si="12"/>
        <v>18</v>
      </c>
      <c r="L51" s="75">
        <f t="shared" si="13"/>
        <v>36</v>
      </c>
      <c r="M51" s="75">
        <f t="shared" si="14"/>
        <v>54</v>
      </c>
      <c r="N51" s="75">
        <f t="shared" si="15"/>
        <v>72</v>
      </c>
      <c r="O51" s="75">
        <f t="shared" si="16"/>
        <v>90</v>
      </c>
      <c r="T51">
        <v>19</v>
      </c>
      <c r="U51">
        <f t="shared" si="8"/>
        <v>26.125</v>
      </c>
      <c r="V51">
        <f t="shared" si="9"/>
        <v>30.125</v>
      </c>
    </row>
    <row r="52" spans="1:22">
      <c r="A52" s="81">
        <v>14.75</v>
      </c>
      <c r="B52" s="82">
        <f t="shared" si="4"/>
        <v>11.75</v>
      </c>
      <c r="C52" s="77"/>
      <c r="D52" s="77">
        <f t="shared" si="5"/>
        <v>14.75</v>
      </c>
      <c r="E52" s="77">
        <f t="shared" si="6"/>
        <v>10.75</v>
      </c>
      <c r="F52" s="74"/>
      <c r="G52" s="75">
        <v>19</v>
      </c>
      <c r="H52" s="75">
        <f t="shared" si="7"/>
        <v>26.125</v>
      </c>
      <c r="I52" s="84">
        <f t="shared" si="10"/>
        <v>30.125</v>
      </c>
      <c r="J52" s="75">
        <f t="shared" si="11"/>
        <v>30.125</v>
      </c>
      <c r="K52" s="75">
        <f t="shared" si="12"/>
        <v>19</v>
      </c>
      <c r="L52" s="75">
        <f t="shared" si="13"/>
        <v>38</v>
      </c>
      <c r="M52" s="75">
        <f t="shared" si="14"/>
        <v>57</v>
      </c>
      <c r="N52" s="75">
        <f t="shared" si="15"/>
        <v>76</v>
      </c>
      <c r="O52" s="75">
        <f t="shared" si="16"/>
        <v>95</v>
      </c>
      <c r="T52">
        <v>20</v>
      </c>
      <c r="U52">
        <f t="shared" si="8"/>
        <v>27.5</v>
      </c>
      <c r="V52">
        <f t="shared" si="9"/>
        <v>31.5</v>
      </c>
    </row>
    <row r="53" spans="1:22">
      <c r="A53" s="81">
        <v>15</v>
      </c>
      <c r="B53" s="82">
        <f t="shared" si="4"/>
        <v>12</v>
      </c>
      <c r="C53" s="77"/>
      <c r="D53" s="77">
        <f t="shared" si="5"/>
        <v>15</v>
      </c>
      <c r="E53" s="77">
        <f t="shared" si="6"/>
        <v>11</v>
      </c>
      <c r="F53" s="74"/>
      <c r="G53" s="75">
        <v>20</v>
      </c>
      <c r="H53" s="75">
        <f t="shared" si="7"/>
        <v>27.5</v>
      </c>
      <c r="I53" s="84">
        <f t="shared" si="10"/>
        <v>31.5</v>
      </c>
      <c r="J53" s="75">
        <f t="shared" si="11"/>
        <v>31.5</v>
      </c>
      <c r="K53" s="75">
        <f t="shared" si="12"/>
        <v>20</v>
      </c>
      <c r="L53" s="75">
        <f t="shared" si="13"/>
        <v>40</v>
      </c>
      <c r="M53" s="75">
        <f t="shared" si="14"/>
        <v>60</v>
      </c>
      <c r="N53" s="75">
        <f t="shared" si="15"/>
        <v>80</v>
      </c>
      <c r="O53" s="75">
        <f t="shared" si="16"/>
        <v>100</v>
      </c>
      <c r="T53">
        <v>21</v>
      </c>
      <c r="U53">
        <f t="shared" si="8"/>
        <v>28.875</v>
      </c>
      <c r="V53">
        <f t="shared" si="9"/>
        <v>32.875</v>
      </c>
    </row>
    <row r="54" spans="1:22">
      <c r="A54" s="81">
        <v>15.25</v>
      </c>
      <c r="B54" s="82">
        <f t="shared" si="4"/>
        <v>12.25</v>
      </c>
      <c r="C54" s="77"/>
      <c r="D54" s="77">
        <f t="shared" si="5"/>
        <v>15.25</v>
      </c>
      <c r="E54" s="77">
        <f t="shared" si="6"/>
        <v>11.25</v>
      </c>
      <c r="F54" s="74"/>
      <c r="G54" s="75">
        <v>21</v>
      </c>
      <c r="H54" s="75">
        <f t="shared" si="7"/>
        <v>28.875</v>
      </c>
      <c r="I54" s="84">
        <f t="shared" si="10"/>
        <v>32.875</v>
      </c>
      <c r="J54" s="75">
        <f t="shared" si="11"/>
        <v>32.875</v>
      </c>
      <c r="K54" s="75">
        <f t="shared" si="12"/>
        <v>21</v>
      </c>
      <c r="L54" s="75">
        <f t="shared" si="13"/>
        <v>42</v>
      </c>
      <c r="M54" s="75">
        <f t="shared" si="14"/>
        <v>63</v>
      </c>
      <c r="N54" s="75">
        <f t="shared" si="15"/>
        <v>84</v>
      </c>
      <c r="O54" s="75">
        <f t="shared" si="16"/>
        <v>105</v>
      </c>
      <c r="T54">
        <v>22</v>
      </c>
      <c r="U54">
        <f t="shared" si="8"/>
        <v>30.25</v>
      </c>
      <c r="V54">
        <f t="shared" si="9"/>
        <v>34.25</v>
      </c>
    </row>
    <row r="55" spans="1:22">
      <c r="A55" s="81">
        <v>15.5</v>
      </c>
      <c r="B55" s="82">
        <f t="shared" si="4"/>
        <v>12.5</v>
      </c>
      <c r="C55" s="77"/>
      <c r="D55" s="77">
        <f t="shared" si="5"/>
        <v>15.5</v>
      </c>
      <c r="E55" s="77">
        <f t="shared" si="6"/>
        <v>11.5</v>
      </c>
      <c r="F55" s="74"/>
      <c r="G55" s="75">
        <v>22</v>
      </c>
      <c r="H55" s="75">
        <f t="shared" si="7"/>
        <v>30.25</v>
      </c>
      <c r="I55" s="84">
        <f t="shared" si="10"/>
        <v>34.25</v>
      </c>
      <c r="J55" s="75">
        <f t="shared" si="11"/>
        <v>34.25</v>
      </c>
      <c r="K55" s="75">
        <f t="shared" si="12"/>
        <v>22</v>
      </c>
      <c r="L55" s="75">
        <f t="shared" si="13"/>
        <v>44</v>
      </c>
      <c r="M55" s="75">
        <f t="shared" si="14"/>
        <v>66</v>
      </c>
      <c r="N55" s="75">
        <f t="shared" si="15"/>
        <v>88</v>
      </c>
      <c r="O55" s="75">
        <f t="shared" si="16"/>
        <v>110</v>
      </c>
      <c r="T55">
        <v>23</v>
      </c>
      <c r="U55">
        <f t="shared" si="8"/>
        <v>31.625</v>
      </c>
      <c r="V55">
        <f t="shared" si="9"/>
        <v>35.625</v>
      </c>
    </row>
    <row r="56" spans="1:22">
      <c r="A56" s="81">
        <v>15.75</v>
      </c>
      <c r="B56" s="82">
        <f t="shared" si="4"/>
        <v>12.75</v>
      </c>
      <c r="C56" s="77"/>
      <c r="D56" s="77">
        <f t="shared" si="5"/>
        <v>15.75</v>
      </c>
      <c r="E56" s="77">
        <f t="shared" si="6"/>
        <v>11.75</v>
      </c>
      <c r="F56" s="74"/>
      <c r="G56" s="75">
        <v>23</v>
      </c>
      <c r="H56" s="75">
        <f t="shared" si="7"/>
        <v>31.625</v>
      </c>
      <c r="I56" s="84">
        <f t="shared" si="10"/>
        <v>35.625</v>
      </c>
      <c r="J56" s="75">
        <f t="shared" si="11"/>
        <v>35.625</v>
      </c>
      <c r="K56" s="75">
        <f t="shared" si="12"/>
        <v>23</v>
      </c>
      <c r="L56" s="75">
        <f t="shared" si="13"/>
        <v>46</v>
      </c>
      <c r="M56" s="75">
        <f t="shared" si="14"/>
        <v>69</v>
      </c>
      <c r="N56" s="75">
        <f t="shared" si="15"/>
        <v>92</v>
      </c>
      <c r="O56" s="75">
        <f t="shared" si="16"/>
        <v>115</v>
      </c>
      <c r="T56">
        <v>24</v>
      </c>
      <c r="U56">
        <f t="shared" si="8"/>
        <v>33</v>
      </c>
      <c r="V56">
        <f t="shared" si="9"/>
        <v>37</v>
      </c>
    </row>
    <row r="57" spans="1:22">
      <c r="A57" s="81">
        <v>16</v>
      </c>
      <c r="B57" s="82">
        <f t="shared" si="4"/>
        <v>13</v>
      </c>
      <c r="C57" s="77"/>
      <c r="D57" s="77">
        <f t="shared" si="5"/>
        <v>16</v>
      </c>
      <c r="E57" s="77">
        <f t="shared" si="6"/>
        <v>12</v>
      </c>
      <c r="F57" s="74"/>
      <c r="G57" s="75">
        <v>24</v>
      </c>
      <c r="H57" s="75">
        <f t="shared" si="7"/>
        <v>33</v>
      </c>
      <c r="I57" s="84">
        <f t="shared" si="10"/>
        <v>37</v>
      </c>
      <c r="J57" s="75">
        <f t="shared" si="11"/>
        <v>37</v>
      </c>
      <c r="K57" s="75">
        <f t="shared" si="12"/>
        <v>24</v>
      </c>
      <c r="L57" s="75">
        <f t="shared" si="13"/>
        <v>48</v>
      </c>
      <c r="M57" s="75">
        <f t="shared" si="14"/>
        <v>72</v>
      </c>
      <c r="N57" s="75">
        <f t="shared" si="15"/>
        <v>96</v>
      </c>
      <c r="O57" s="75">
        <f t="shared" si="16"/>
        <v>120</v>
      </c>
      <c r="T57">
        <v>25</v>
      </c>
      <c r="U57">
        <f t="shared" si="8"/>
        <v>34.375</v>
      </c>
      <c r="V57">
        <f t="shared" si="9"/>
        <v>38.375</v>
      </c>
    </row>
    <row r="58" spans="1:22">
      <c r="A58" s="81">
        <v>16.25</v>
      </c>
      <c r="B58" s="82">
        <f t="shared" si="4"/>
        <v>13.25</v>
      </c>
      <c r="C58" s="77"/>
      <c r="D58" s="77">
        <f t="shared" si="5"/>
        <v>16.25</v>
      </c>
      <c r="E58" s="77">
        <f t="shared" si="6"/>
        <v>12.25</v>
      </c>
      <c r="F58" s="74"/>
      <c r="G58" s="75">
        <v>25</v>
      </c>
      <c r="H58" s="75">
        <f t="shared" si="7"/>
        <v>34.375</v>
      </c>
      <c r="I58" s="84">
        <f t="shared" si="10"/>
        <v>38.375</v>
      </c>
      <c r="J58" s="75">
        <f t="shared" si="11"/>
        <v>38.375</v>
      </c>
      <c r="K58" s="75">
        <f t="shared" si="12"/>
        <v>25</v>
      </c>
      <c r="L58" s="75">
        <f t="shared" si="13"/>
        <v>50</v>
      </c>
      <c r="M58" s="75">
        <f t="shared" si="14"/>
        <v>75</v>
      </c>
      <c r="N58" s="75">
        <f t="shared" si="15"/>
        <v>100</v>
      </c>
      <c r="O58" s="75">
        <f t="shared" si="16"/>
        <v>125</v>
      </c>
      <c r="T58">
        <v>26</v>
      </c>
      <c r="U58">
        <f t="shared" si="8"/>
        <v>35.75</v>
      </c>
      <c r="V58">
        <f t="shared" si="9"/>
        <v>39.75</v>
      </c>
    </row>
    <row r="59" spans="1:22">
      <c r="A59" s="81">
        <v>16.5</v>
      </c>
      <c r="B59" s="82">
        <f t="shared" si="4"/>
        <v>13.5</v>
      </c>
      <c r="C59" s="77"/>
      <c r="D59" s="77">
        <f t="shared" si="5"/>
        <v>16.5</v>
      </c>
      <c r="E59" s="77">
        <f t="shared" si="6"/>
        <v>12.5</v>
      </c>
      <c r="F59" s="74"/>
      <c r="G59" s="75">
        <v>26</v>
      </c>
      <c r="H59" s="75">
        <f t="shared" si="7"/>
        <v>35.75</v>
      </c>
      <c r="I59" s="84">
        <f t="shared" si="10"/>
        <v>39.75</v>
      </c>
      <c r="J59" s="75">
        <f t="shared" si="11"/>
        <v>39.75</v>
      </c>
      <c r="K59" s="75">
        <f t="shared" si="12"/>
        <v>26</v>
      </c>
      <c r="L59" s="75">
        <f t="shared" si="13"/>
        <v>52</v>
      </c>
      <c r="M59" s="75">
        <f t="shared" si="14"/>
        <v>78</v>
      </c>
      <c r="N59" s="75">
        <f t="shared" si="15"/>
        <v>104</v>
      </c>
      <c r="O59" s="75">
        <f t="shared" si="16"/>
        <v>130</v>
      </c>
      <c r="T59">
        <v>27</v>
      </c>
      <c r="U59">
        <f t="shared" si="8"/>
        <v>37.125</v>
      </c>
      <c r="V59">
        <f t="shared" si="9"/>
        <v>41.125</v>
      </c>
    </row>
    <row r="60" spans="1:22">
      <c r="A60" s="81">
        <v>16.75</v>
      </c>
      <c r="B60" s="82">
        <f t="shared" si="4"/>
        <v>13.75</v>
      </c>
      <c r="C60" s="77"/>
      <c r="D60" s="77">
        <f t="shared" si="5"/>
        <v>16.75</v>
      </c>
      <c r="E60" s="77">
        <f t="shared" si="6"/>
        <v>12.75</v>
      </c>
      <c r="F60" s="74"/>
      <c r="G60" s="75">
        <v>27</v>
      </c>
      <c r="H60" s="75">
        <f t="shared" si="7"/>
        <v>37.125</v>
      </c>
      <c r="I60" s="84">
        <f t="shared" si="10"/>
        <v>41.125</v>
      </c>
      <c r="J60" s="75">
        <f t="shared" si="11"/>
        <v>41.125</v>
      </c>
      <c r="K60" s="75">
        <f t="shared" si="12"/>
        <v>27</v>
      </c>
      <c r="L60" s="75">
        <f t="shared" si="13"/>
        <v>54</v>
      </c>
      <c r="M60" s="75">
        <f t="shared" si="14"/>
        <v>81</v>
      </c>
      <c r="N60" s="75">
        <f t="shared" si="15"/>
        <v>108</v>
      </c>
      <c r="O60" s="75">
        <f t="shared" si="16"/>
        <v>135</v>
      </c>
      <c r="T60">
        <v>28</v>
      </c>
      <c r="U60">
        <f t="shared" si="8"/>
        <v>38.5</v>
      </c>
      <c r="V60">
        <f t="shared" si="9"/>
        <v>42.5</v>
      </c>
    </row>
    <row r="61" spans="1:22">
      <c r="A61" s="81">
        <v>17</v>
      </c>
      <c r="B61" s="82">
        <f t="shared" si="4"/>
        <v>14</v>
      </c>
      <c r="C61" s="77"/>
      <c r="D61" s="77">
        <f t="shared" si="5"/>
        <v>17</v>
      </c>
      <c r="E61" s="77">
        <f t="shared" si="6"/>
        <v>13</v>
      </c>
      <c r="F61" s="74"/>
      <c r="G61" s="75">
        <v>28</v>
      </c>
      <c r="H61" s="75">
        <f t="shared" si="7"/>
        <v>38.5</v>
      </c>
      <c r="I61" s="84">
        <f t="shared" si="10"/>
        <v>42.5</v>
      </c>
      <c r="J61" s="75">
        <f t="shared" si="11"/>
        <v>42.5</v>
      </c>
      <c r="K61" s="75">
        <f t="shared" si="12"/>
        <v>28</v>
      </c>
      <c r="L61" s="75">
        <f t="shared" si="13"/>
        <v>56</v>
      </c>
      <c r="M61" s="75">
        <f t="shared" si="14"/>
        <v>84</v>
      </c>
      <c r="N61" s="75">
        <f t="shared" si="15"/>
        <v>112</v>
      </c>
      <c r="O61" s="75">
        <f t="shared" si="16"/>
        <v>140</v>
      </c>
      <c r="T61">
        <v>29</v>
      </c>
      <c r="U61">
        <f t="shared" si="8"/>
        <v>39.875</v>
      </c>
      <c r="V61">
        <f t="shared" si="9"/>
        <v>43.875</v>
      </c>
    </row>
    <row r="62" spans="1:22">
      <c r="A62" s="81">
        <v>17.25</v>
      </c>
      <c r="B62" s="82">
        <f t="shared" si="4"/>
        <v>14.25</v>
      </c>
      <c r="C62" s="77"/>
      <c r="D62" s="77">
        <f t="shared" si="5"/>
        <v>17.25</v>
      </c>
      <c r="E62" s="77">
        <f t="shared" si="6"/>
        <v>13.25</v>
      </c>
      <c r="F62" s="74"/>
      <c r="G62" s="75">
        <v>29</v>
      </c>
      <c r="H62" s="75">
        <f t="shared" si="7"/>
        <v>39.875</v>
      </c>
      <c r="I62" s="84">
        <f t="shared" si="10"/>
        <v>43.875</v>
      </c>
      <c r="J62" s="75">
        <f t="shared" si="11"/>
        <v>43.875</v>
      </c>
      <c r="K62" s="75">
        <f t="shared" si="12"/>
        <v>29</v>
      </c>
      <c r="L62" s="75">
        <f t="shared" si="13"/>
        <v>58</v>
      </c>
      <c r="M62" s="75">
        <f t="shared" si="14"/>
        <v>87</v>
      </c>
      <c r="N62" s="75">
        <f t="shared" si="15"/>
        <v>116</v>
      </c>
      <c r="O62" s="75">
        <f t="shared" si="16"/>
        <v>145</v>
      </c>
      <c r="T62">
        <v>30</v>
      </c>
      <c r="U62">
        <f t="shared" si="8"/>
        <v>41.25</v>
      </c>
      <c r="V62">
        <f t="shared" si="9"/>
        <v>45.25</v>
      </c>
    </row>
    <row r="63" spans="1:22">
      <c r="A63" s="81">
        <v>17.5</v>
      </c>
      <c r="B63" s="82">
        <f t="shared" si="4"/>
        <v>14.5</v>
      </c>
      <c r="C63" s="77"/>
      <c r="D63" s="77">
        <f t="shared" si="5"/>
        <v>17.5</v>
      </c>
      <c r="E63" s="77">
        <f t="shared" si="6"/>
        <v>13.5</v>
      </c>
      <c r="F63" s="74"/>
      <c r="G63" s="75">
        <v>30</v>
      </c>
      <c r="H63" s="75">
        <f t="shared" si="7"/>
        <v>41.25</v>
      </c>
      <c r="I63" s="84">
        <f t="shared" si="10"/>
        <v>45.25</v>
      </c>
      <c r="J63" s="75">
        <f t="shared" si="11"/>
        <v>45.25</v>
      </c>
      <c r="K63" s="75">
        <f t="shared" si="12"/>
        <v>30</v>
      </c>
      <c r="L63" s="75">
        <f t="shared" si="13"/>
        <v>60</v>
      </c>
      <c r="M63" s="75">
        <f t="shared" si="14"/>
        <v>90</v>
      </c>
      <c r="N63" s="75">
        <f t="shared" si="15"/>
        <v>120</v>
      </c>
      <c r="O63" s="75">
        <f t="shared" si="16"/>
        <v>150</v>
      </c>
      <c r="T63">
        <v>31</v>
      </c>
      <c r="U63">
        <f t="shared" si="8"/>
        <v>42.625</v>
      </c>
      <c r="V63">
        <f t="shared" si="9"/>
        <v>46.625</v>
      </c>
    </row>
    <row r="64" spans="1:22">
      <c r="A64" s="81">
        <v>17.75</v>
      </c>
      <c r="B64" s="82">
        <f t="shared" si="4"/>
        <v>14.75</v>
      </c>
      <c r="C64" s="77"/>
      <c r="D64" s="77">
        <f t="shared" si="5"/>
        <v>17.75</v>
      </c>
      <c r="E64" s="77">
        <f t="shared" si="6"/>
        <v>13.75</v>
      </c>
      <c r="F64" s="74"/>
      <c r="G64" s="75">
        <v>31</v>
      </c>
      <c r="H64" s="75">
        <f t="shared" si="7"/>
        <v>42.625</v>
      </c>
      <c r="I64" s="84">
        <f t="shared" si="10"/>
        <v>46.625</v>
      </c>
      <c r="J64" s="75">
        <f t="shared" si="11"/>
        <v>46.625</v>
      </c>
      <c r="K64" s="75">
        <f t="shared" si="12"/>
        <v>31</v>
      </c>
      <c r="L64" s="75">
        <f t="shared" si="13"/>
        <v>62</v>
      </c>
      <c r="M64" s="75">
        <f t="shared" si="14"/>
        <v>93</v>
      </c>
      <c r="N64" s="75">
        <f t="shared" si="15"/>
        <v>124</v>
      </c>
      <c r="O64" s="75">
        <f t="shared" si="16"/>
        <v>155</v>
      </c>
      <c r="T64">
        <v>32</v>
      </c>
      <c r="U64">
        <f t="shared" si="8"/>
        <v>44</v>
      </c>
      <c r="V64">
        <f t="shared" si="9"/>
        <v>48</v>
      </c>
    </row>
    <row r="65" spans="1:22">
      <c r="A65" s="81">
        <v>18</v>
      </c>
      <c r="B65" s="82">
        <f t="shared" si="4"/>
        <v>15</v>
      </c>
      <c r="C65" s="77"/>
      <c r="D65" s="77">
        <f t="shared" si="5"/>
        <v>18</v>
      </c>
      <c r="E65" s="77">
        <f t="shared" si="6"/>
        <v>14</v>
      </c>
      <c r="F65" s="74"/>
      <c r="G65" s="75">
        <v>32</v>
      </c>
      <c r="H65" s="75">
        <f t="shared" si="7"/>
        <v>44</v>
      </c>
      <c r="I65" s="84">
        <f t="shared" si="10"/>
        <v>48</v>
      </c>
      <c r="J65" s="75">
        <f t="shared" si="11"/>
        <v>48</v>
      </c>
      <c r="K65" s="75">
        <f t="shared" si="12"/>
        <v>32</v>
      </c>
      <c r="L65" s="75">
        <f t="shared" si="13"/>
        <v>64</v>
      </c>
      <c r="M65" s="75">
        <f t="shared" si="14"/>
        <v>96</v>
      </c>
      <c r="N65" s="75">
        <f t="shared" si="15"/>
        <v>128</v>
      </c>
      <c r="O65" s="75">
        <f t="shared" si="16"/>
        <v>160</v>
      </c>
      <c r="T65">
        <v>33</v>
      </c>
      <c r="U65">
        <f t="shared" si="8"/>
        <v>45.375</v>
      </c>
      <c r="V65">
        <f t="shared" si="9"/>
        <v>49.375</v>
      </c>
    </row>
    <row r="66" spans="1:22">
      <c r="A66" s="81">
        <v>18.25</v>
      </c>
      <c r="B66" s="82">
        <f t="shared" si="4"/>
        <v>15.25</v>
      </c>
      <c r="C66" s="77"/>
      <c r="D66" s="77">
        <f t="shared" si="5"/>
        <v>18.25</v>
      </c>
      <c r="E66" s="77">
        <f t="shared" si="6"/>
        <v>14.25</v>
      </c>
      <c r="F66" s="74"/>
      <c r="G66" s="75">
        <v>33</v>
      </c>
      <c r="H66" s="75">
        <f t="shared" si="7"/>
        <v>45.375</v>
      </c>
      <c r="I66" s="84">
        <f t="shared" si="10"/>
        <v>49.375</v>
      </c>
      <c r="J66" s="75">
        <f t="shared" si="11"/>
        <v>49.375</v>
      </c>
      <c r="K66" s="75">
        <f t="shared" si="12"/>
        <v>33</v>
      </c>
      <c r="L66" s="75">
        <f t="shared" si="13"/>
        <v>66</v>
      </c>
      <c r="M66" s="75">
        <f t="shared" si="14"/>
        <v>99</v>
      </c>
      <c r="N66" s="75">
        <f t="shared" si="15"/>
        <v>132</v>
      </c>
      <c r="O66" s="75">
        <f t="shared" si="16"/>
        <v>165</v>
      </c>
      <c r="T66">
        <v>34</v>
      </c>
      <c r="U66">
        <f t="shared" si="8"/>
        <v>46.75</v>
      </c>
      <c r="V66">
        <f t="shared" si="9"/>
        <v>50.75</v>
      </c>
    </row>
    <row r="67" spans="1:22">
      <c r="A67" s="81">
        <v>18.5</v>
      </c>
      <c r="B67" s="82">
        <f t="shared" si="4"/>
        <v>15.5</v>
      </c>
      <c r="C67" s="77"/>
      <c r="D67" s="77">
        <f t="shared" si="5"/>
        <v>18.5</v>
      </c>
      <c r="E67" s="77">
        <f t="shared" si="6"/>
        <v>14.5</v>
      </c>
      <c r="F67" s="74"/>
      <c r="G67" s="75">
        <v>34</v>
      </c>
      <c r="H67" s="75">
        <f t="shared" si="7"/>
        <v>46.75</v>
      </c>
      <c r="I67" s="84">
        <f t="shared" si="10"/>
        <v>50.75</v>
      </c>
      <c r="J67" s="75">
        <f t="shared" si="11"/>
        <v>50.75</v>
      </c>
      <c r="K67" s="75">
        <f t="shared" si="12"/>
        <v>34</v>
      </c>
      <c r="L67" s="75">
        <f t="shared" si="13"/>
        <v>68</v>
      </c>
      <c r="M67" s="75">
        <f t="shared" si="14"/>
        <v>102</v>
      </c>
      <c r="N67" s="75">
        <f t="shared" si="15"/>
        <v>136</v>
      </c>
      <c r="O67" s="75">
        <f t="shared" si="16"/>
        <v>170</v>
      </c>
      <c r="T67">
        <v>35</v>
      </c>
      <c r="U67">
        <f t="shared" si="8"/>
        <v>48.125</v>
      </c>
      <c r="V67">
        <f t="shared" si="9"/>
        <v>52.125</v>
      </c>
    </row>
    <row r="68" spans="1:22">
      <c r="A68" s="81">
        <v>18.75</v>
      </c>
      <c r="B68" s="82">
        <f t="shared" si="4"/>
        <v>15.75</v>
      </c>
      <c r="C68" s="77"/>
      <c r="D68" s="77">
        <f t="shared" si="5"/>
        <v>18.75</v>
      </c>
      <c r="E68" s="77">
        <f t="shared" si="6"/>
        <v>14.75</v>
      </c>
      <c r="F68" s="74"/>
      <c r="G68" s="75">
        <v>35</v>
      </c>
      <c r="H68" s="75">
        <f t="shared" si="7"/>
        <v>48.125</v>
      </c>
      <c r="I68" s="84">
        <f t="shared" si="10"/>
        <v>52.125</v>
      </c>
      <c r="J68" s="75">
        <f t="shared" si="11"/>
        <v>52.125</v>
      </c>
      <c r="K68" s="75">
        <f t="shared" si="12"/>
        <v>35</v>
      </c>
      <c r="L68" s="75">
        <f t="shared" si="13"/>
        <v>70</v>
      </c>
      <c r="M68" s="75">
        <f t="shared" si="14"/>
        <v>105</v>
      </c>
      <c r="N68" s="75">
        <f t="shared" si="15"/>
        <v>140</v>
      </c>
      <c r="O68" s="75">
        <f t="shared" si="16"/>
        <v>175</v>
      </c>
      <c r="T68">
        <v>36</v>
      </c>
      <c r="U68">
        <f t="shared" si="8"/>
        <v>49.5</v>
      </c>
      <c r="V68">
        <f t="shared" si="9"/>
        <v>53.5</v>
      </c>
    </row>
    <row r="69" spans="1:22">
      <c r="A69" s="81">
        <v>19</v>
      </c>
      <c r="B69" s="82">
        <f t="shared" si="4"/>
        <v>16</v>
      </c>
      <c r="C69" s="77"/>
      <c r="D69" s="77">
        <f t="shared" si="5"/>
        <v>19</v>
      </c>
      <c r="E69" s="77">
        <f t="shared" si="6"/>
        <v>15</v>
      </c>
      <c r="F69" s="74"/>
      <c r="G69" s="75">
        <v>36</v>
      </c>
      <c r="H69" s="75">
        <f t="shared" si="7"/>
        <v>49.5</v>
      </c>
      <c r="I69" s="84">
        <f t="shared" si="10"/>
        <v>53.5</v>
      </c>
      <c r="J69" s="75">
        <f t="shared" si="11"/>
        <v>53.5</v>
      </c>
      <c r="K69" s="75">
        <f t="shared" si="12"/>
        <v>36</v>
      </c>
      <c r="L69" s="75">
        <f t="shared" si="13"/>
        <v>72</v>
      </c>
      <c r="M69" s="75">
        <f t="shared" si="14"/>
        <v>108</v>
      </c>
      <c r="N69" s="75">
        <f t="shared" si="15"/>
        <v>144</v>
      </c>
      <c r="O69" s="75">
        <f t="shared" si="16"/>
        <v>180</v>
      </c>
      <c r="T69">
        <v>37</v>
      </c>
      <c r="U69">
        <f t="shared" si="8"/>
        <v>50.875</v>
      </c>
      <c r="V69">
        <f t="shared" si="9"/>
        <v>54.875</v>
      </c>
    </row>
    <row r="70" spans="1:22">
      <c r="A70" s="81"/>
      <c r="B70" s="75"/>
      <c r="C70" s="80" t="s">
        <v>1039</v>
      </c>
      <c r="D70" s="77"/>
      <c r="E70" s="77"/>
      <c r="F70" s="74"/>
      <c r="G70" s="75">
        <v>37</v>
      </c>
      <c r="H70" s="75">
        <f t="shared" si="7"/>
        <v>50.875</v>
      </c>
      <c r="I70" s="84">
        <f t="shared" si="10"/>
        <v>54.875</v>
      </c>
      <c r="J70" s="75">
        <f t="shared" si="11"/>
        <v>54.875</v>
      </c>
      <c r="K70" s="75">
        <f t="shared" si="12"/>
        <v>37</v>
      </c>
      <c r="L70" s="75">
        <f t="shared" si="13"/>
        <v>74</v>
      </c>
      <c r="M70" s="75">
        <f t="shared" si="14"/>
        <v>111</v>
      </c>
      <c r="N70" s="75">
        <f t="shared" si="15"/>
        <v>148</v>
      </c>
      <c r="O70" s="75">
        <f t="shared" si="16"/>
        <v>185</v>
      </c>
      <c r="T70">
        <v>38</v>
      </c>
      <c r="U70">
        <f t="shared" si="8"/>
        <v>52.25</v>
      </c>
      <c r="V70">
        <f t="shared" si="9"/>
        <v>56.25</v>
      </c>
    </row>
    <row r="71" spans="1:22">
      <c r="A71" s="81">
        <v>19.25</v>
      </c>
      <c r="B71" s="75"/>
      <c r="C71" s="85">
        <f>(A71-4)/2</f>
        <v>7.625</v>
      </c>
      <c r="D71" s="77">
        <f t="shared" si="5"/>
        <v>19.25</v>
      </c>
      <c r="E71" s="77">
        <f>A71-4</f>
        <v>15.25</v>
      </c>
      <c r="F71" s="74"/>
      <c r="G71" s="75">
        <v>38</v>
      </c>
      <c r="H71" s="75">
        <f t="shared" si="7"/>
        <v>52.25</v>
      </c>
      <c r="I71" s="84">
        <f t="shared" si="10"/>
        <v>56.25</v>
      </c>
      <c r="J71" s="75">
        <f t="shared" si="11"/>
        <v>56.25</v>
      </c>
      <c r="K71" s="75">
        <f t="shared" si="12"/>
        <v>38</v>
      </c>
      <c r="L71" s="75">
        <f t="shared" si="13"/>
        <v>76</v>
      </c>
      <c r="M71" s="75">
        <f t="shared" si="14"/>
        <v>114</v>
      </c>
      <c r="N71" s="75">
        <f t="shared" si="15"/>
        <v>152</v>
      </c>
      <c r="O71" s="75">
        <f t="shared" si="16"/>
        <v>190</v>
      </c>
      <c r="T71">
        <v>39</v>
      </c>
      <c r="U71">
        <f t="shared" si="8"/>
        <v>53.625</v>
      </c>
      <c r="V71">
        <f t="shared" si="9"/>
        <v>57.625</v>
      </c>
    </row>
    <row r="72" spans="1:22">
      <c r="A72" s="81">
        <v>19.5</v>
      </c>
      <c r="B72" s="75"/>
      <c r="C72" s="85">
        <f t="shared" ref="C72:C135" si="17">(A72-4)/2</f>
        <v>7.75</v>
      </c>
      <c r="D72" s="77">
        <f t="shared" si="5"/>
        <v>19.5</v>
      </c>
      <c r="E72" s="77">
        <f t="shared" ref="E72:E135" si="18">A72-4</f>
        <v>15.5</v>
      </c>
      <c r="F72" s="74"/>
      <c r="G72" s="75">
        <v>39</v>
      </c>
      <c r="H72" s="75">
        <f t="shared" si="7"/>
        <v>53.625</v>
      </c>
      <c r="I72" s="84">
        <f t="shared" si="10"/>
        <v>57.625</v>
      </c>
      <c r="J72" s="75">
        <f t="shared" si="11"/>
        <v>57.625</v>
      </c>
      <c r="K72" s="75">
        <f t="shared" si="12"/>
        <v>39</v>
      </c>
      <c r="L72" s="75">
        <f t="shared" si="13"/>
        <v>78</v>
      </c>
      <c r="M72" s="75">
        <f t="shared" si="14"/>
        <v>117</v>
      </c>
      <c r="N72" s="75">
        <f t="shared" si="15"/>
        <v>156</v>
      </c>
      <c r="O72" s="75">
        <f t="shared" si="16"/>
        <v>195</v>
      </c>
      <c r="T72">
        <v>40</v>
      </c>
      <c r="U72">
        <f t="shared" si="8"/>
        <v>55</v>
      </c>
      <c r="V72">
        <f t="shared" si="9"/>
        <v>59</v>
      </c>
    </row>
    <row r="73" spans="1:22">
      <c r="A73" s="81">
        <v>19.75</v>
      </c>
      <c r="B73" s="75"/>
      <c r="C73" s="85">
        <f t="shared" si="17"/>
        <v>7.875</v>
      </c>
      <c r="D73" s="77">
        <f t="shared" si="5"/>
        <v>19.75</v>
      </c>
      <c r="E73" s="77">
        <f t="shared" si="18"/>
        <v>15.75</v>
      </c>
      <c r="F73" s="74"/>
      <c r="G73" s="75">
        <v>40</v>
      </c>
      <c r="H73" s="75">
        <f t="shared" si="7"/>
        <v>55</v>
      </c>
      <c r="I73" s="84">
        <f t="shared" si="10"/>
        <v>59</v>
      </c>
      <c r="J73" s="75">
        <f t="shared" si="11"/>
        <v>59</v>
      </c>
      <c r="K73" s="75">
        <f t="shared" si="12"/>
        <v>40</v>
      </c>
      <c r="L73" s="75">
        <f t="shared" si="13"/>
        <v>80</v>
      </c>
      <c r="M73" s="75">
        <f t="shared" si="14"/>
        <v>120</v>
      </c>
      <c r="N73" s="75">
        <f t="shared" si="15"/>
        <v>160</v>
      </c>
      <c r="O73" s="75">
        <f t="shared" si="16"/>
        <v>200</v>
      </c>
      <c r="T73">
        <v>41</v>
      </c>
      <c r="U73">
        <f t="shared" si="8"/>
        <v>56.375</v>
      </c>
      <c r="V73">
        <f t="shared" si="9"/>
        <v>60.375</v>
      </c>
    </row>
    <row r="74" spans="1:22">
      <c r="A74" s="81">
        <v>20</v>
      </c>
      <c r="B74" s="75"/>
      <c r="C74" s="85">
        <f t="shared" si="17"/>
        <v>8</v>
      </c>
      <c r="D74" s="77">
        <f t="shared" si="5"/>
        <v>20</v>
      </c>
      <c r="E74" s="77">
        <f t="shared" si="18"/>
        <v>16</v>
      </c>
      <c r="F74" s="74"/>
      <c r="G74" s="75">
        <v>41</v>
      </c>
      <c r="H74" s="75">
        <f t="shared" si="7"/>
        <v>56.375</v>
      </c>
      <c r="I74" s="84">
        <f t="shared" si="10"/>
        <v>60.375</v>
      </c>
      <c r="J74" s="75">
        <f t="shared" si="11"/>
        <v>60.375</v>
      </c>
      <c r="K74" s="75">
        <f t="shared" si="12"/>
        <v>41</v>
      </c>
      <c r="L74" s="75">
        <f t="shared" si="13"/>
        <v>82</v>
      </c>
      <c r="M74" s="75">
        <f t="shared" si="14"/>
        <v>123</v>
      </c>
      <c r="N74" s="75">
        <f t="shared" si="15"/>
        <v>164</v>
      </c>
      <c r="O74" s="75">
        <f t="shared" si="16"/>
        <v>205</v>
      </c>
      <c r="T74">
        <v>42</v>
      </c>
      <c r="U74">
        <f t="shared" si="8"/>
        <v>57.75</v>
      </c>
      <c r="V74">
        <f t="shared" si="9"/>
        <v>61.75</v>
      </c>
    </row>
    <row r="75" spans="1:22">
      <c r="A75" s="81">
        <v>20.25</v>
      </c>
      <c r="B75" s="75"/>
      <c r="C75" s="85">
        <f t="shared" si="17"/>
        <v>8.125</v>
      </c>
      <c r="D75" s="77">
        <f t="shared" si="5"/>
        <v>20.25</v>
      </c>
      <c r="E75" s="77">
        <f t="shared" si="18"/>
        <v>16.25</v>
      </c>
      <c r="F75" s="74"/>
      <c r="G75" s="75">
        <v>42</v>
      </c>
      <c r="H75" s="75">
        <f t="shared" si="7"/>
        <v>57.75</v>
      </c>
      <c r="I75" s="84">
        <f t="shared" si="10"/>
        <v>61.75</v>
      </c>
      <c r="J75" s="75">
        <f t="shared" si="11"/>
        <v>61.75</v>
      </c>
      <c r="K75" s="75">
        <f t="shared" si="12"/>
        <v>42</v>
      </c>
      <c r="L75" s="75">
        <f t="shared" si="13"/>
        <v>84</v>
      </c>
      <c r="M75" s="75">
        <f t="shared" si="14"/>
        <v>126</v>
      </c>
      <c r="N75" s="75">
        <f t="shared" si="15"/>
        <v>168</v>
      </c>
      <c r="O75" s="75">
        <f t="shared" si="16"/>
        <v>210</v>
      </c>
      <c r="T75">
        <v>43</v>
      </c>
      <c r="U75">
        <f t="shared" si="8"/>
        <v>59.125</v>
      </c>
      <c r="V75">
        <f t="shared" si="9"/>
        <v>63.125</v>
      </c>
    </row>
    <row r="76" spans="1:22">
      <c r="A76" s="81">
        <v>20.5</v>
      </c>
      <c r="B76" s="75"/>
      <c r="C76" s="85">
        <f t="shared" si="17"/>
        <v>8.25</v>
      </c>
      <c r="D76" s="77">
        <f t="shared" si="5"/>
        <v>20.5</v>
      </c>
      <c r="E76" s="77">
        <f t="shared" si="18"/>
        <v>16.5</v>
      </c>
      <c r="F76" s="74"/>
      <c r="G76" s="75">
        <v>43</v>
      </c>
      <c r="H76" s="75">
        <f t="shared" si="7"/>
        <v>59.125</v>
      </c>
      <c r="I76" s="84">
        <f t="shared" si="10"/>
        <v>63.125</v>
      </c>
      <c r="J76" s="75">
        <f t="shared" si="11"/>
        <v>63.125</v>
      </c>
      <c r="K76" s="75">
        <f t="shared" si="12"/>
        <v>43</v>
      </c>
      <c r="L76" s="75">
        <f t="shared" si="13"/>
        <v>86</v>
      </c>
      <c r="M76" s="75">
        <f t="shared" si="14"/>
        <v>129</v>
      </c>
      <c r="N76" s="75">
        <f t="shared" si="15"/>
        <v>172</v>
      </c>
      <c r="O76" s="75">
        <f t="shared" si="16"/>
        <v>215</v>
      </c>
      <c r="T76">
        <v>44</v>
      </c>
      <c r="U76">
        <f t="shared" si="8"/>
        <v>60.5</v>
      </c>
      <c r="V76">
        <f t="shared" si="9"/>
        <v>64.5</v>
      </c>
    </row>
    <row r="77" spans="1:22">
      <c r="A77" s="81">
        <v>20.75</v>
      </c>
      <c r="B77" s="75"/>
      <c r="C77" s="85">
        <f t="shared" si="17"/>
        <v>8.375</v>
      </c>
      <c r="D77" s="77">
        <f t="shared" si="5"/>
        <v>20.75</v>
      </c>
      <c r="E77" s="77">
        <f t="shared" si="18"/>
        <v>16.75</v>
      </c>
      <c r="F77" s="74"/>
      <c r="G77" s="75">
        <v>44</v>
      </c>
      <c r="H77" s="75">
        <f t="shared" si="7"/>
        <v>60.5</v>
      </c>
      <c r="I77" s="84">
        <f t="shared" si="10"/>
        <v>64.5</v>
      </c>
      <c r="J77" s="75">
        <f t="shared" si="11"/>
        <v>64.5</v>
      </c>
      <c r="K77" s="75">
        <f t="shared" si="12"/>
        <v>44</v>
      </c>
      <c r="L77" s="75">
        <f t="shared" si="13"/>
        <v>88</v>
      </c>
      <c r="M77" s="75">
        <f t="shared" si="14"/>
        <v>132</v>
      </c>
      <c r="N77" s="75">
        <f t="shared" si="15"/>
        <v>176</v>
      </c>
      <c r="O77" s="75">
        <f t="shared" si="16"/>
        <v>220</v>
      </c>
      <c r="T77">
        <v>45</v>
      </c>
      <c r="U77">
        <f t="shared" si="8"/>
        <v>61.875</v>
      </c>
      <c r="V77">
        <f t="shared" si="9"/>
        <v>65.875</v>
      </c>
    </row>
    <row r="78" spans="1:22">
      <c r="A78" s="81">
        <v>21</v>
      </c>
      <c r="B78" s="75"/>
      <c r="C78" s="85">
        <f t="shared" si="17"/>
        <v>8.5</v>
      </c>
      <c r="D78" s="77">
        <f t="shared" si="5"/>
        <v>21</v>
      </c>
      <c r="E78" s="77">
        <f t="shared" si="18"/>
        <v>17</v>
      </c>
      <c r="F78" s="74"/>
      <c r="G78" s="75">
        <v>45</v>
      </c>
      <c r="H78" s="75">
        <f t="shared" si="7"/>
        <v>61.875</v>
      </c>
      <c r="I78" s="84">
        <f t="shared" si="10"/>
        <v>65.875</v>
      </c>
      <c r="J78" s="75">
        <f t="shared" si="11"/>
        <v>65.875</v>
      </c>
      <c r="K78" s="75">
        <f t="shared" si="12"/>
        <v>45</v>
      </c>
      <c r="L78" s="75">
        <f t="shared" si="13"/>
        <v>90</v>
      </c>
      <c r="M78" s="75">
        <f t="shared" si="14"/>
        <v>135</v>
      </c>
      <c r="N78" s="75">
        <f t="shared" si="15"/>
        <v>180</v>
      </c>
      <c r="O78" s="75">
        <f t="shared" si="16"/>
        <v>225</v>
      </c>
      <c r="T78">
        <v>46</v>
      </c>
      <c r="U78">
        <f t="shared" si="8"/>
        <v>63.25</v>
      </c>
      <c r="V78">
        <f t="shared" si="9"/>
        <v>67.25</v>
      </c>
    </row>
    <row r="79" spans="1:22">
      <c r="A79" s="81">
        <v>21.25</v>
      </c>
      <c r="B79" s="75"/>
      <c r="C79" s="85">
        <f t="shared" si="17"/>
        <v>8.625</v>
      </c>
      <c r="D79" s="77">
        <f t="shared" si="5"/>
        <v>21.25</v>
      </c>
      <c r="E79" s="77">
        <f t="shared" si="18"/>
        <v>17.25</v>
      </c>
      <c r="F79" s="74"/>
      <c r="G79" s="75">
        <v>46</v>
      </c>
      <c r="H79" s="75">
        <f t="shared" si="7"/>
        <v>63.25</v>
      </c>
      <c r="I79" s="84">
        <f t="shared" si="10"/>
        <v>67.25</v>
      </c>
      <c r="J79" s="75">
        <f t="shared" si="11"/>
        <v>67.25</v>
      </c>
      <c r="K79" s="75">
        <f t="shared" si="12"/>
        <v>46</v>
      </c>
      <c r="L79" s="75">
        <f t="shared" si="13"/>
        <v>92</v>
      </c>
      <c r="M79" s="75">
        <f t="shared" si="14"/>
        <v>138</v>
      </c>
      <c r="N79" s="75">
        <f t="shared" si="15"/>
        <v>184</v>
      </c>
      <c r="O79" s="75">
        <f t="shared" si="16"/>
        <v>230</v>
      </c>
      <c r="T79">
        <v>47</v>
      </c>
      <c r="U79">
        <f t="shared" si="8"/>
        <v>64.625</v>
      </c>
      <c r="V79">
        <f t="shared" si="9"/>
        <v>68.625</v>
      </c>
    </row>
    <row r="80" spans="1:22">
      <c r="A80" s="81">
        <v>21.5</v>
      </c>
      <c r="B80" s="75"/>
      <c r="C80" s="85">
        <f t="shared" si="17"/>
        <v>8.75</v>
      </c>
      <c r="D80" s="77">
        <f t="shared" si="5"/>
        <v>21.5</v>
      </c>
      <c r="E80" s="77">
        <f t="shared" si="18"/>
        <v>17.5</v>
      </c>
      <c r="F80" s="74"/>
      <c r="G80" s="75">
        <v>47</v>
      </c>
      <c r="H80" s="75">
        <f t="shared" si="7"/>
        <v>64.625</v>
      </c>
      <c r="I80" s="84">
        <f t="shared" si="10"/>
        <v>68.625</v>
      </c>
      <c r="J80" s="75">
        <f t="shared" si="11"/>
        <v>68.625</v>
      </c>
      <c r="K80" s="75">
        <f t="shared" si="12"/>
        <v>47</v>
      </c>
      <c r="L80" s="75">
        <f t="shared" si="13"/>
        <v>94</v>
      </c>
      <c r="M80" s="75">
        <f t="shared" si="14"/>
        <v>141</v>
      </c>
      <c r="N80" s="75">
        <f t="shared" si="15"/>
        <v>188</v>
      </c>
      <c r="O80" s="75">
        <f t="shared" si="16"/>
        <v>235</v>
      </c>
      <c r="T80">
        <v>48</v>
      </c>
      <c r="U80">
        <f t="shared" si="8"/>
        <v>66</v>
      </c>
      <c r="V80">
        <f t="shared" si="9"/>
        <v>70</v>
      </c>
    </row>
    <row r="81" spans="1:22">
      <c r="A81" s="81">
        <v>21.75</v>
      </c>
      <c r="B81" s="75"/>
      <c r="C81" s="85">
        <f t="shared" si="17"/>
        <v>8.875</v>
      </c>
      <c r="D81" s="77">
        <f t="shared" si="5"/>
        <v>21.75</v>
      </c>
      <c r="E81" s="77">
        <f t="shared" si="18"/>
        <v>17.75</v>
      </c>
      <c r="F81" s="74"/>
      <c r="G81" s="75">
        <v>48</v>
      </c>
      <c r="H81" s="75">
        <f t="shared" si="7"/>
        <v>66</v>
      </c>
      <c r="I81" s="84">
        <f t="shared" si="10"/>
        <v>70</v>
      </c>
      <c r="J81" s="75">
        <f t="shared" si="11"/>
        <v>70</v>
      </c>
      <c r="K81" s="75">
        <f t="shared" si="12"/>
        <v>48</v>
      </c>
      <c r="L81" s="75">
        <f t="shared" si="13"/>
        <v>96</v>
      </c>
      <c r="M81" s="75">
        <f t="shared" si="14"/>
        <v>144</v>
      </c>
      <c r="N81" s="75">
        <f t="shared" si="15"/>
        <v>192</v>
      </c>
      <c r="O81" s="75">
        <f t="shared" si="16"/>
        <v>240</v>
      </c>
      <c r="T81">
        <v>49</v>
      </c>
      <c r="U81">
        <f t="shared" si="8"/>
        <v>67.375</v>
      </c>
      <c r="V81">
        <f t="shared" si="9"/>
        <v>71.375</v>
      </c>
    </row>
    <row r="82" spans="1:22">
      <c r="A82" s="81">
        <v>22</v>
      </c>
      <c r="B82" s="75"/>
      <c r="C82" s="85">
        <f t="shared" si="17"/>
        <v>9</v>
      </c>
      <c r="D82" s="77">
        <f t="shared" si="5"/>
        <v>22</v>
      </c>
      <c r="E82" s="77">
        <f t="shared" si="18"/>
        <v>18</v>
      </c>
      <c r="F82" s="74"/>
      <c r="G82" s="75">
        <v>49</v>
      </c>
      <c r="H82" s="75">
        <f t="shared" si="7"/>
        <v>67.375</v>
      </c>
      <c r="I82" s="84">
        <f t="shared" si="10"/>
        <v>71.375</v>
      </c>
      <c r="J82" s="75">
        <f t="shared" si="11"/>
        <v>71.375</v>
      </c>
      <c r="K82" s="75">
        <f t="shared" si="12"/>
        <v>49</v>
      </c>
      <c r="L82" s="75">
        <f t="shared" si="13"/>
        <v>98</v>
      </c>
      <c r="M82" s="75">
        <f t="shared" si="14"/>
        <v>147</v>
      </c>
      <c r="N82" s="75">
        <f t="shared" si="15"/>
        <v>196</v>
      </c>
      <c r="O82" s="75">
        <f t="shared" si="16"/>
        <v>245</v>
      </c>
      <c r="T82">
        <v>50</v>
      </c>
      <c r="U82">
        <f t="shared" si="8"/>
        <v>68.75</v>
      </c>
      <c r="V82">
        <f t="shared" si="9"/>
        <v>72.75</v>
      </c>
    </row>
    <row r="83" spans="1:22">
      <c r="A83" s="81">
        <v>22.25</v>
      </c>
      <c r="B83" s="75"/>
      <c r="C83" s="85">
        <f t="shared" si="17"/>
        <v>9.125</v>
      </c>
      <c r="D83" s="77">
        <f t="shared" si="5"/>
        <v>22.25</v>
      </c>
      <c r="E83" s="77">
        <f t="shared" si="18"/>
        <v>18.25</v>
      </c>
      <c r="F83" s="74"/>
      <c r="G83" s="75">
        <v>50</v>
      </c>
      <c r="H83" s="75">
        <f t="shared" si="7"/>
        <v>68.75</v>
      </c>
      <c r="I83" s="84">
        <f t="shared" si="10"/>
        <v>72.75</v>
      </c>
      <c r="J83" s="75">
        <f t="shared" si="11"/>
        <v>72.75</v>
      </c>
      <c r="K83" s="75">
        <f t="shared" si="12"/>
        <v>50</v>
      </c>
      <c r="L83" s="75">
        <f t="shared" si="13"/>
        <v>100</v>
      </c>
      <c r="M83" s="75">
        <f t="shared" si="14"/>
        <v>150</v>
      </c>
      <c r="N83" s="75">
        <f t="shared" si="15"/>
        <v>200</v>
      </c>
      <c r="O83" s="75">
        <f t="shared" si="16"/>
        <v>250</v>
      </c>
      <c r="T83">
        <v>51</v>
      </c>
      <c r="U83">
        <f t="shared" si="8"/>
        <v>70.125</v>
      </c>
      <c r="V83">
        <f t="shared" si="9"/>
        <v>74.125</v>
      </c>
    </row>
    <row r="84" spans="1:22">
      <c r="A84" s="81">
        <v>22.5</v>
      </c>
      <c r="B84" s="75"/>
      <c r="C84" s="85">
        <f t="shared" si="17"/>
        <v>9.25</v>
      </c>
      <c r="D84" s="77">
        <f t="shared" si="5"/>
        <v>22.5</v>
      </c>
      <c r="E84" s="77">
        <f t="shared" si="18"/>
        <v>18.5</v>
      </c>
      <c r="F84" s="74"/>
      <c r="G84" s="75">
        <v>51</v>
      </c>
      <c r="H84" s="75">
        <f t="shared" si="7"/>
        <v>70.125</v>
      </c>
      <c r="I84" s="84">
        <f t="shared" si="10"/>
        <v>74.125</v>
      </c>
      <c r="J84" s="75">
        <f t="shared" si="11"/>
        <v>74.125</v>
      </c>
      <c r="K84" s="75">
        <f t="shared" si="12"/>
        <v>51</v>
      </c>
      <c r="L84" s="75">
        <f t="shared" si="13"/>
        <v>102</v>
      </c>
      <c r="M84" s="75">
        <f t="shared" si="14"/>
        <v>153</v>
      </c>
      <c r="N84" s="75">
        <f t="shared" si="15"/>
        <v>204</v>
      </c>
      <c r="O84" s="75">
        <f t="shared" si="16"/>
        <v>255</v>
      </c>
      <c r="T84">
        <v>52</v>
      </c>
      <c r="U84">
        <f t="shared" si="8"/>
        <v>71.5</v>
      </c>
      <c r="V84">
        <f t="shared" si="9"/>
        <v>75.5</v>
      </c>
    </row>
    <row r="85" spans="1:22">
      <c r="A85" s="81">
        <v>22.75</v>
      </c>
      <c r="B85" s="75"/>
      <c r="C85" s="85">
        <f t="shared" si="17"/>
        <v>9.375</v>
      </c>
      <c r="D85" s="77">
        <f t="shared" si="5"/>
        <v>22.75</v>
      </c>
      <c r="E85" s="77">
        <f t="shared" si="18"/>
        <v>18.75</v>
      </c>
      <c r="F85" s="74"/>
      <c r="G85" s="75">
        <v>52</v>
      </c>
      <c r="H85" s="75">
        <f t="shared" si="7"/>
        <v>71.5</v>
      </c>
      <c r="I85" s="84">
        <f t="shared" si="10"/>
        <v>75.5</v>
      </c>
      <c r="J85" s="75">
        <f t="shared" si="11"/>
        <v>75.5</v>
      </c>
      <c r="K85" s="75">
        <f t="shared" si="12"/>
        <v>52</v>
      </c>
      <c r="L85" s="75">
        <f t="shared" si="13"/>
        <v>104</v>
      </c>
      <c r="M85" s="75">
        <f t="shared" si="14"/>
        <v>156</v>
      </c>
      <c r="N85" s="75">
        <f t="shared" si="15"/>
        <v>208</v>
      </c>
      <c r="O85" s="75">
        <f t="shared" si="16"/>
        <v>260</v>
      </c>
      <c r="T85">
        <v>53</v>
      </c>
      <c r="U85">
        <f t="shared" si="8"/>
        <v>72.875</v>
      </c>
      <c r="V85">
        <f t="shared" si="9"/>
        <v>76.875</v>
      </c>
    </row>
    <row r="86" spans="1:22">
      <c r="A86" s="81">
        <v>23</v>
      </c>
      <c r="B86" s="75"/>
      <c r="C86" s="85">
        <f t="shared" si="17"/>
        <v>9.5</v>
      </c>
      <c r="D86" s="77">
        <f t="shared" si="5"/>
        <v>23</v>
      </c>
      <c r="E86" s="77">
        <f t="shared" si="18"/>
        <v>19</v>
      </c>
      <c r="F86" s="74"/>
      <c r="G86" s="75">
        <v>53</v>
      </c>
      <c r="H86" s="75">
        <f t="shared" si="7"/>
        <v>72.875</v>
      </c>
      <c r="I86" s="84">
        <f t="shared" si="10"/>
        <v>76.875</v>
      </c>
      <c r="J86" s="75">
        <f t="shared" si="11"/>
        <v>76.875</v>
      </c>
      <c r="K86" s="75">
        <f t="shared" si="12"/>
        <v>53</v>
      </c>
      <c r="L86" s="75">
        <f t="shared" si="13"/>
        <v>106</v>
      </c>
      <c r="M86" s="75">
        <f t="shared" si="14"/>
        <v>159</v>
      </c>
      <c r="N86" s="75">
        <f t="shared" si="15"/>
        <v>212</v>
      </c>
      <c r="O86" s="75">
        <f t="shared" si="16"/>
        <v>265</v>
      </c>
      <c r="T86">
        <v>54</v>
      </c>
      <c r="U86">
        <f t="shared" si="8"/>
        <v>74.25</v>
      </c>
      <c r="V86">
        <f t="shared" si="9"/>
        <v>78.25</v>
      </c>
    </row>
    <row r="87" spans="1:22">
      <c r="A87" s="81">
        <v>23.25</v>
      </c>
      <c r="B87" s="75"/>
      <c r="C87" s="85">
        <f t="shared" si="17"/>
        <v>9.625</v>
      </c>
      <c r="D87" s="77">
        <f t="shared" si="5"/>
        <v>23.25</v>
      </c>
      <c r="E87" s="77">
        <f t="shared" si="18"/>
        <v>19.25</v>
      </c>
      <c r="F87" s="74"/>
      <c r="G87" s="75">
        <v>54</v>
      </c>
      <c r="H87" s="75">
        <f t="shared" si="7"/>
        <v>74.25</v>
      </c>
      <c r="I87" s="84">
        <f t="shared" si="10"/>
        <v>78.25</v>
      </c>
      <c r="J87" s="75">
        <f t="shared" si="11"/>
        <v>78.25</v>
      </c>
      <c r="K87" s="75">
        <f t="shared" si="12"/>
        <v>54</v>
      </c>
      <c r="L87" s="75">
        <f t="shared" si="13"/>
        <v>108</v>
      </c>
      <c r="M87" s="75">
        <f t="shared" si="14"/>
        <v>162</v>
      </c>
      <c r="N87" s="75">
        <f t="shared" si="15"/>
        <v>216</v>
      </c>
      <c r="O87" s="75">
        <f t="shared" si="16"/>
        <v>270</v>
      </c>
      <c r="T87">
        <v>55</v>
      </c>
      <c r="U87">
        <f t="shared" si="8"/>
        <v>75.625</v>
      </c>
      <c r="V87">
        <f t="shared" si="9"/>
        <v>79.625</v>
      </c>
    </row>
    <row r="88" spans="1:22">
      <c r="A88" s="81">
        <v>23.5</v>
      </c>
      <c r="B88" s="75"/>
      <c r="C88" s="85">
        <f t="shared" si="17"/>
        <v>9.75</v>
      </c>
      <c r="D88" s="77">
        <f t="shared" si="5"/>
        <v>23.5</v>
      </c>
      <c r="E88" s="77">
        <f t="shared" si="18"/>
        <v>19.5</v>
      </c>
      <c r="F88" s="74"/>
      <c r="G88" s="75">
        <v>55</v>
      </c>
      <c r="H88" s="75">
        <f t="shared" si="7"/>
        <v>75.625</v>
      </c>
      <c r="I88" s="84">
        <f t="shared" si="10"/>
        <v>79.625</v>
      </c>
      <c r="J88" s="75">
        <f t="shared" si="11"/>
        <v>79.625</v>
      </c>
      <c r="K88" s="75">
        <f t="shared" si="12"/>
        <v>55</v>
      </c>
      <c r="L88" s="75">
        <f t="shared" si="13"/>
        <v>110</v>
      </c>
      <c r="M88" s="75">
        <f t="shared" si="14"/>
        <v>165</v>
      </c>
      <c r="N88" s="75">
        <f t="shared" si="15"/>
        <v>220</v>
      </c>
      <c r="O88" s="75">
        <f t="shared" si="16"/>
        <v>275</v>
      </c>
      <c r="T88">
        <v>56</v>
      </c>
      <c r="U88">
        <f t="shared" si="8"/>
        <v>77</v>
      </c>
      <c r="V88">
        <f t="shared" si="9"/>
        <v>81</v>
      </c>
    </row>
    <row r="89" spans="1:22">
      <c r="A89" s="81">
        <v>23.75</v>
      </c>
      <c r="B89" s="75"/>
      <c r="C89" s="85">
        <f t="shared" si="17"/>
        <v>9.875</v>
      </c>
      <c r="D89" s="77">
        <f t="shared" si="5"/>
        <v>23.75</v>
      </c>
      <c r="E89" s="77">
        <f t="shared" si="18"/>
        <v>19.75</v>
      </c>
      <c r="F89" s="74"/>
      <c r="G89" s="75">
        <v>56</v>
      </c>
      <c r="H89" s="75">
        <f t="shared" si="7"/>
        <v>77</v>
      </c>
      <c r="I89" s="84">
        <f t="shared" si="10"/>
        <v>81</v>
      </c>
      <c r="J89" s="75">
        <f t="shared" si="11"/>
        <v>81</v>
      </c>
      <c r="K89" s="75">
        <f t="shared" si="12"/>
        <v>56</v>
      </c>
      <c r="L89" s="75">
        <f t="shared" si="13"/>
        <v>112</v>
      </c>
      <c r="M89" s="75">
        <f t="shared" si="14"/>
        <v>168</v>
      </c>
      <c r="N89" s="75">
        <f t="shared" si="15"/>
        <v>224</v>
      </c>
      <c r="O89" s="75">
        <f t="shared" si="16"/>
        <v>280</v>
      </c>
      <c r="T89">
        <v>57</v>
      </c>
      <c r="U89">
        <f t="shared" si="8"/>
        <v>78.375</v>
      </c>
      <c r="V89">
        <f t="shared" si="9"/>
        <v>82.375</v>
      </c>
    </row>
    <row r="90" spans="1:22">
      <c r="A90" s="81">
        <v>24</v>
      </c>
      <c r="B90" s="75"/>
      <c r="C90" s="85">
        <f t="shared" si="17"/>
        <v>10</v>
      </c>
      <c r="D90" s="77">
        <f t="shared" si="5"/>
        <v>24</v>
      </c>
      <c r="E90" s="77">
        <f t="shared" si="18"/>
        <v>20</v>
      </c>
      <c r="F90" s="74"/>
      <c r="G90" s="75">
        <v>57</v>
      </c>
      <c r="H90" s="75">
        <f t="shared" si="7"/>
        <v>78.375</v>
      </c>
      <c r="I90" s="84">
        <f t="shared" si="10"/>
        <v>82.375</v>
      </c>
      <c r="J90" s="75">
        <f t="shared" si="11"/>
        <v>82.375</v>
      </c>
      <c r="K90" s="75">
        <f t="shared" si="12"/>
        <v>57</v>
      </c>
      <c r="L90" s="75">
        <f t="shared" si="13"/>
        <v>114</v>
      </c>
      <c r="M90" s="75">
        <f t="shared" si="14"/>
        <v>171</v>
      </c>
      <c r="N90" s="75">
        <f t="shared" si="15"/>
        <v>228</v>
      </c>
      <c r="O90" s="75">
        <f t="shared" si="16"/>
        <v>285</v>
      </c>
      <c r="T90">
        <v>58</v>
      </c>
      <c r="U90">
        <f t="shared" si="8"/>
        <v>79.75</v>
      </c>
      <c r="V90">
        <f t="shared" si="9"/>
        <v>83.75</v>
      </c>
    </row>
    <row r="91" spans="1:22">
      <c r="A91" s="81">
        <v>24.25</v>
      </c>
      <c r="B91" s="75"/>
      <c r="C91" s="85">
        <f t="shared" si="17"/>
        <v>10.125</v>
      </c>
      <c r="D91" s="77">
        <f t="shared" si="5"/>
        <v>24.25</v>
      </c>
      <c r="E91" s="77">
        <f t="shared" si="18"/>
        <v>20.25</v>
      </c>
      <c r="F91" s="74"/>
      <c r="G91" s="75">
        <v>58</v>
      </c>
      <c r="H91" s="75">
        <f t="shared" si="7"/>
        <v>79.75</v>
      </c>
      <c r="I91" s="84">
        <f t="shared" si="10"/>
        <v>83.75</v>
      </c>
      <c r="J91" s="75">
        <f t="shared" si="11"/>
        <v>83.75</v>
      </c>
      <c r="K91" s="75">
        <f t="shared" si="12"/>
        <v>58</v>
      </c>
      <c r="L91" s="75">
        <f t="shared" si="13"/>
        <v>116</v>
      </c>
      <c r="M91" s="75">
        <f t="shared" si="14"/>
        <v>174</v>
      </c>
      <c r="N91" s="75">
        <f t="shared" si="15"/>
        <v>232</v>
      </c>
      <c r="O91" s="75">
        <f t="shared" si="16"/>
        <v>290</v>
      </c>
      <c r="T91">
        <v>59</v>
      </c>
      <c r="U91">
        <f t="shared" si="8"/>
        <v>81.125</v>
      </c>
      <c r="V91">
        <f t="shared" si="9"/>
        <v>85.125</v>
      </c>
    </row>
    <row r="92" spans="1:22">
      <c r="A92" s="81">
        <v>24.5</v>
      </c>
      <c r="B92" s="75"/>
      <c r="C92" s="85">
        <f t="shared" si="17"/>
        <v>10.25</v>
      </c>
      <c r="D92" s="77">
        <f t="shared" si="5"/>
        <v>24.5</v>
      </c>
      <c r="E92" s="77">
        <f t="shared" si="18"/>
        <v>20.5</v>
      </c>
      <c r="F92" s="74"/>
      <c r="G92" s="75">
        <v>59</v>
      </c>
      <c r="H92" s="75">
        <f t="shared" si="7"/>
        <v>81.125</v>
      </c>
      <c r="I92" s="84">
        <f t="shared" si="10"/>
        <v>85.125</v>
      </c>
      <c r="J92" s="75">
        <f t="shared" si="11"/>
        <v>85.125</v>
      </c>
      <c r="K92" s="75">
        <f t="shared" si="12"/>
        <v>59</v>
      </c>
      <c r="L92" s="75">
        <f t="shared" si="13"/>
        <v>118</v>
      </c>
      <c r="M92" s="75">
        <f t="shared" si="14"/>
        <v>177</v>
      </c>
      <c r="N92" s="75">
        <f t="shared" si="15"/>
        <v>236</v>
      </c>
      <c r="O92" s="75">
        <f t="shared" si="16"/>
        <v>295</v>
      </c>
      <c r="T92">
        <v>60</v>
      </c>
      <c r="U92">
        <f t="shared" si="8"/>
        <v>82.5</v>
      </c>
      <c r="V92">
        <f t="shared" si="9"/>
        <v>86.5</v>
      </c>
    </row>
    <row r="93" spans="1:22">
      <c r="A93" s="81">
        <v>24.75</v>
      </c>
      <c r="B93" s="75"/>
      <c r="C93" s="85">
        <f t="shared" si="17"/>
        <v>10.375</v>
      </c>
      <c r="D93" s="77">
        <f t="shared" si="5"/>
        <v>24.75</v>
      </c>
      <c r="E93" s="77">
        <f t="shared" si="18"/>
        <v>20.75</v>
      </c>
      <c r="F93" s="74"/>
      <c r="G93" s="75">
        <v>60</v>
      </c>
      <c r="H93" s="75">
        <f t="shared" si="7"/>
        <v>82.5</v>
      </c>
      <c r="I93" s="84">
        <f t="shared" si="10"/>
        <v>86.5</v>
      </c>
      <c r="J93" s="75">
        <f t="shared" si="11"/>
        <v>86.5</v>
      </c>
      <c r="K93" s="75">
        <f t="shared" si="12"/>
        <v>60</v>
      </c>
      <c r="L93" s="75">
        <f t="shared" si="13"/>
        <v>120</v>
      </c>
      <c r="M93" s="75">
        <f t="shared" si="14"/>
        <v>180</v>
      </c>
      <c r="N93" s="75">
        <f t="shared" si="15"/>
        <v>240</v>
      </c>
      <c r="O93" s="75">
        <f t="shared" si="16"/>
        <v>300</v>
      </c>
      <c r="T93">
        <v>61</v>
      </c>
      <c r="U93">
        <f t="shared" si="8"/>
        <v>83.875</v>
      </c>
      <c r="V93">
        <f t="shared" si="9"/>
        <v>87.875</v>
      </c>
    </row>
    <row r="94" spans="1:22">
      <c r="A94" s="81">
        <v>25</v>
      </c>
      <c r="B94" s="75"/>
      <c r="C94" s="85">
        <f t="shared" si="17"/>
        <v>10.5</v>
      </c>
      <c r="D94" s="77">
        <f t="shared" si="5"/>
        <v>25</v>
      </c>
      <c r="E94" s="77">
        <f t="shared" si="18"/>
        <v>21</v>
      </c>
      <c r="F94" s="74"/>
      <c r="G94" s="75">
        <v>61</v>
      </c>
      <c r="H94" s="75">
        <f t="shared" si="7"/>
        <v>83.875</v>
      </c>
      <c r="I94" s="84">
        <f t="shared" si="10"/>
        <v>87.875</v>
      </c>
      <c r="J94" s="75">
        <f t="shared" si="11"/>
        <v>87.875</v>
      </c>
      <c r="K94" s="75">
        <f t="shared" si="12"/>
        <v>61</v>
      </c>
      <c r="L94" s="75">
        <f t="shared" si="13"/>
        <v>122</v>
      </c>
      <c r="M94" s="75">
        <f t="shared" si="14"/>
        <v>183</v>
      </c>
      <c r="N94" s="75">
        <f t="shared" si="15"/>
        <v>244</v>
      </c>
      <c r="O94" s="75">
        <f t="shared" si="16"/>
        <v>305</v>
      </c>
      <c r="T94">
        <v>62</v>
      </c>
      <c r="U94">
        <f t="shared" si="8"/>
        <v>85.25</v>
      </c>
      <c r="V94">
        <f t="shared" si="9"/>
        <v>89.25</v>
      </c>
    </row>
    <row r="95" spans="1:22">
      <c r="A95" s="81">
        <v>25.25</v>
      </c>
      <c r="B95" s="75"/>
      <c r="C95" s="85">
        <f t="shared" si="17"/>
        <v>10.625</v>
      </c>
      <c r="D95" s="77">
        <f t="shared" si="5"/>
        <v>25.25</v>
      </c>
      <c r="E95" s="77">
        <f t="shared" si="18"/>
        <v>21.25</v>
      </c>
      <c r="F95" s="86"/>
      <c r="G95" s="87"/>
      <c r="H95" s="87"/>
      <c r="I95" s="87"/>
      <c r="J95" s="87"/>
      <c r="K95" s="87"/>
      <c r="L95" s="87"/>
      <c r="M95" s="87"/>
      <c r="N95" s="87"/>
      <c r="O95" s="87"/>
      <c r="T95">
        <v>63</v>
      </c>
      <c r="U95">
        <f t="shared" si="8"/>
        <v>86.625</v>
      </c>
      <c r="V95">
        <f t="shared" si="9"/>
        <v>90.625</v>
      </c>
    </row>
    <row r="96" spans="1:22">
      <c r="A96" s="81">
        <v>25.5</v>
      </c>
      <c r="B96" s="75"/>
      <c r="C96" s="85">
        <f t="shared" si="17"/>
        <v>10.75</v>
      </c>
      <c r="D96" s="77">
        <f t="shared" si="5"/>
        <v>25.5</v>
      </c>
      <c r="E96" s="77">
        <f t="shared" si="18"/>
        <v>21.5</v>
      </c>
      <c r="F96" s="88"/>
      <c r="T96">
        <v>64</v>
      </c>
      <c r="U96">
        <f t="shared" si="8"/>
        <v>88</v>
      </c>
      <c r="V96">
        <f t="shared" si="9"/>
        <v>92</v>
      </c>
    </row>
    <row r="97" spans="1:22">
      <c r="A97" s="81">
        <v>25.75</v>
      </c>
      <c r="B97" s="75"/>
      <c r="C97" s="85">
        <f t="shared" si="17"/>
        <v>10.875</v>
      </c>
      <c r="D97" s="77">
        <f t="shared" si="5"/>
        <v>25.75</v>
      </c>
      <c r="E97" s="77">
        <f t="shared" si="18"/>
        <v>21.75</v>
      </c>
      <c r="F97" s="88"/>
      <c r="T97">
        <v>65</v>
      </c>
      <c r="U97">
        <f t="shared" si="8"/>
        <v>89.375</v>
      </c>
      <c r="V97">
        <f t="shared" si="9"/>
        <v>93.375</v>
      </c>
    </row>
    <row r="98" spans="1:22">
      <c r="A98" s="81">
        <v>26</v>
      </c>
      <c r="B98" s="75"/>
      <c r="C98" s="85">
        <f t="shared" si="17"/>
        <v>11</v>
      </c>
      <c r="D98" s="77">
        <f t="shared" si="5"/>
        <v>26</v>
      </c>
      <c r="E98" s="77">
        <f t="shared" si="18"/>
        <v>22</v>
      </c>
      <c r="F98" s="88"/>
    </row>
    <row r="99" spans="1:22">
      <c r="A99" s="81">
        <v>26.25</v>
      </c>
      <c r="B99" s="75"/>
      <c r="C99" s="85">
        <f t="shared" si="17"/>
        <v>11.125</v>
      </c>
      <c r="D99" s="77">
        <f t="shared" ref="D99:D162" si="19">A99</f>
        <v>26.25</v>
      </c>
      <c r="E99" s="77">
        <f t="shared" si="18"/>
        <v>22.25</v>
      </c>
      <c r="F99" s="88"/>
    </row>
    <row r="100" spans="1:22">
      <c r="A100" s="81">
        <v>26.5</v>
      </c>
      <c r="B100" s="75"/>
      <c r="C100" s="85">
        <f t="shared" si="17"/>
        <v>11.25</v>
      </c>
      <c r="D100" s="77">
        <f t="shared" si="19"/>
        <v>26.5</v>
      </c>
      <c r="E100" s="77">
        <f t="shared" si="18"/>
        <v>22.5</v>
      </c>
      <c r="F100" s="88"/>
    </row>
    <row r="101" spans="1:22">
      <c r="A101" s="81">
        <v>26.75</v>
      </c>
      <c r="B101" s="75"/>
      <c r="C101" s="85">
        <f t="shared" si="17"/>
        <v>11.375</v>
      </c>
      <c r="D101" s="77">
        <f t="shared" si="19"/>
        <v>26.75</v>
      </c>
      <c r="E101" s="77">
        <f t="shared" si="18"/>
        <v>22.75</v>
      </c>
      <c r="F101" s="88"/>
    </row>
    <row r="102" spans="1:22">
      <c r="A102" s="81">
        <v>27</v>
      </c>
      <c r="B102" s="75"/>
      <c r="C102" s="85">
        <f t="shared" si="17"/>
        <v>11.5</v>
      </c>
      <c r="D102" s="77">
        <f t="shared" si="19"/>
        <v>27</v>
      </c>
      <c r="E102" s="77">
        <f t="shared" si="18"/>
        <v>23</v>
      </c>
      <c r="F102" s="88"/>
    </row>
    <row r="103" spans="1:22">
      <c r="A103" s="81">
        <v>27.25</v>
      </c>
      <c r="B103" s="75"/>
      <c r="C103" s="85">
        <f t="shared" si="17"/>
        <v>11.625</v>
      </c>
      <c r="D103" s="77">
        <f t="shared" si="19"/>
        <v>27.25</v>
      </c>
      <c r="E103" s="77">
        <f t="shared" si="18"/>
        <v>23.25</v>
      </c>
      <c r="F103" s="88"/>
    </row>
    <row r="104" spans="1:22">
      <c r="A104" s="81">
        <v>27.5</v>
      </c>
      <c r="B104" s="75"/>
      <c r="C104" s="85">
        <f t="shared" si="17"/>
        <v>11.75</v>
      </c>
      <c r="D104" s="77">
        <f t="shared" si="19"/>
        <v>27.5</v>
      </c>
      <c r="E104" s="77">
        <f t="shared" si="18"/>
        <v>23.5</v>
      </c>
      <c r="F104" s="88"/>
    </row>
    <row r="105" spans="1:22">
      <c r="A105" s="81">
        <v>27.75</v>
      </c>
      <c r="B105" s="75"/>
      <c r="C105" s="85">
        <f t="shared" si="17"/>
        <v>11.875</v>
      </c>
      <c r="D105" s="77">
        <f t="shared" si="19"/>
        <v>27.75</v>
      </c>
      <c r="E105" s="77">
        <f t="shared" si="18"/>
        <v>23.75</v>
      </c>
      <c r="F105" s="88"/>
    </row>
    <row r="106" spans="1:22">
      <c r="A106" s="81">
        <v>28</v>
      </c>
      <c r="B106" s="75"/>
      <c r="C106" s="85">
        <f t="shared" si="17"/>
        <v>12</v>
      </c>
      <c r="D106" s="77">
        <f t="shared" si="19"/>
        <v>28</v>
      </c>
      <c r="E106" s="77">
        <f t="shared" si="18"/>
        <v>24</v>
      </c>
      <c r="F106" s="88"/>
    </row>
    <row r="107" spans="1:22">
      <c r="A107" s="81">
        <v>28.25</v>
      </c>
      <c r="B107" s="75"/>
      <c r="C107" s="85">
        <f t="shared" si="17"/>
        <v>12.125</v>
      </c>
      <c r="D107" s="77">
        <f t="shared" si="19"/>
        <v>28.25</v>
      </c>
      <c r="E107" s="77">
        <f t="shared" si="18"/>
        <v>24.25</v>
      </c>
      <c r="F107" s="88"/>
    </row>
    <row r="108" spans="1:22">
      <c r="A108" s="81">
        <v>28.5</v>
      </c>
      <c r="B108" s="75"/>
      <c r="C108" s="85">
        <f t="shared" si="17"/>
        <v>12.25</v>
      </c>
      <c r="D108" s="77">
        <f t="shared" si="19"/>
        <v>28.5</v>
      </c>
      <c r="E108" s="77">
        <f t="shared" si="18"/>
        <v>24.5</v>
      </c>
      <c r="F108" s="88"/>
    </row>
    <row r="109" spans="1:22">
      <c r="A109" s="81">
        <v>28.75</v>
      </c>
      <c r="B109" s="75"/>
      <c r="C109" s="85">
        <f t="shared" si="17"/>
        <v>12.375</v>
      </c>
      <c r="D109" s="77">
        <f t="shared" si="19"/>
        <v>28.75</v>
      </c>
      <c r="E109" s="77">
        <f t="shared" si="18"/>
        <v>24.75</v>
      </c>
      <c r="F109" s="88"/>
    </row>
    <row r="110" spans="1:22">
      <c r="A110" s="81">
        <v>29</v>
      </c>
      <c r="B110" s="75"/>
      <c r="C110" s="85">
        <f t="shared" si="17"/>
        <v>12.5</v>
      </c>
      <c r="D110" s="77">
        <f t="shared" si="19"/>
        <v>29</v>
      </c>
      <c r="E110" s="77">
        <f t="shared" si="18"/>
        <v>25</v>
      </c>
      <c r="F110" s="88"/>
    </row>
    <row r="111" spans="1:22">
      <c r="A111" s="81">
        <v>29.25</v>
      </c>
      <c r="B111" s="75"/>
      <c r="C111" s="85">
        <f t="shared" si="17"/>
        <v>12.625</v>
      </c>
      <c r="D111" s="77">
        <f t="shared" si="19"/>
        <v>29.25</v>
      </c>
      <c r="E111" s="77">
        <f t="shared" si="18"/>
        <v>25.25</v>
      </c>
      <c r="F111" s="88"/>
    </row>
    <row r="112" spans="1:22">
      <c r="A112" s="81">
        <v>29.5</v>
      </c>
      <c r="B112" s="75"/>
      <c r="C112" s="85">
        <f t="shared" si="17"/>
        <v>12.75</v>
      </c>
      <c r="D112" s="77">
        <f t="shared" si="19"/>
        <v>29.5</v>
      </c>
      <c r="E112" s="77">
        <f t="shared" si="18"/>
        <v>25.5</v>
      </c>
      <c r="F112" s="88"/>
    </row>
    <row r="113" spans="1:9">
      <c r="A113" s="81">
        <v>29.75</v>
      </c>
      <c r="B113" s="75"/>
      <c r="C113" s="85">
        <f t="shared" si="17"/>
        <v>12.875</v>
      </c>
      <c r="D113" s="77">
        <f t="shared" si="19"/>
        <v>29.75</v>
      </c>
      <c r="E113" s="77">
        <f t="shared" si="18"/>
        <v>25.75</v>
      </c>
      <c r="F113" s="88"/>
    </row>
    <row r="114" spans="1:9">
      <c r="A114" s="81">
        <v>30</v>
      </c>
      <c r="B114" s="75"/>
      <c r="C114" s="85">
        <f t="shared" si="17"/>
        <v>13</v>
      </c>
      <c r="D114" s="77">
        <f t="shared" si="19"/>
        <v>30</v>
      </c>
      <c r="E114" s="77">
        <f t="shared" si="18"/>
        <v>26</v>
      </c>
      <c r="F114" s="88"/>
    </row>
    <row r="115" spans="1:9">
      <c r="A115" s="81">
        <v>30.25</v>
      </c>
      <c r="B115" s="75"/>
      <c r="C115" s="85">
        <f t="shared" si="17"/>
        <v>13.125</v>
      </c>
      <c r="D115" s="77">
        <f t="shared" si="19"/>
        <v>30.25</v>
      </c>
      <c r="E115" s="77">
        <f t="shared" si="18"/>
        <v>26.25</v>
      </c>
      <c r="F115" s="88"/>
    </row>
    <row r="116" spans="1:9">
      <c r="A116" s="81">
        <v>30.5</v>
      </c>
      <c r="B116" s="75"/>
      <c r="C116" s="85">
        <f t="shared" si="17"/>
        <v>13.25</v>
      </c>
      <c r="D116" s="77">
        <f t="shared" si="19"/>
        <v>30.5</v>
      </c>
      <c r="E116" s="77">
        <f t="shared" si="18"/>
        <v>26.5</v>
      </c>
      <c r="F116" s="88"/>
    </row>
    <row r="117" spans="1:9">
      <c r="A117" s="81">
        <v>30.75</v>
      </c>
      <c r="B117" s="75"/>
      <c r="C117" s="85">
        <f t="shared" si="17"/>
        <v>13.375</v>
      </c>
      <c r="D117" s="77">
        <f t="shared" si="19"/>
        <v>30.75</v>
      </c>
      <c r="E117" s="77">
        <f t="shared" si="18"/>
        <v>26.75</v>
      </c>
      <c r="F117" s="88"/>
    </row>
    <row r="118" spans="1:9">
      <c r="A118" s="81">
        <v>31</v>
      </c>
      <c r="B118" s="75"/>
      <c r="C118" s="85">
        <f t="shared" si="17"/>
        <v>13.5</v>
      </c>
      <c r="D118" s="77">
        <f t="shared" si="19"/>
        <v>31</v>
      </c>
      <c r="E118" s="77">
        <f t="shared" si="18"/>
        <v>27</v>
      </c>
      <c r="F118" s="88"/>
    </row>
    <row r="119" spans="1:9">
      <c r="A119" s="81">
        <v>31.25</v>
      </c>
      <c r="B119" s="75"/>
      <c r="C119" s="85">
        <f t="shared" si="17"/>
        <v>13.625</v>
      </c>
      <c r="D119" s="77">
        <f t="shared" si="19"/>
        <v>31.25</v>
      </c>
      <c r="E119" s="77">
        <f t="shared" si="18"/>
        <v>27.25</v>
      </c>
      <c r="F119" s="88"/>
    </row>
    <row r="120" spans="1:9">
      <c r="A120" s="81">
        <v>31.5</v>
      </c>
      <c r="B120" s="75"/>
      <c r="C120" s="85">
        <f t="shared" si="17"/>
        <v>13.75</v>
      </c>
      <c r="D120" s="77">
        <f t="shared" si="19"/>
        <v>31.5</v>
      </c>
      <c r="E120" s="77">
        <f t="shared" si="18"/>
        <v>27.5</v>
      </c>
      <c r="F120" s="88"/>
    </row>
    <row r="121" spans="1:9">
      <c r="A121" s="81">
        <v>31.75</v>
      </c>
      <c r="B121" s="75"/>
      <c r="C121" s="85">
        <f t="shared" si="17"/>
        <v>13.875</v>
      </c>
      <c r="D121" s="77">
        <f t="shared" si="19"/>
        <v>31.75</v>
      </c>
      <c r="E121" s="77">
        <f t="shared" si="18"/>
        <v>27.75</v>
      </c>
      <c r="F121" s="88"/>
    </row>
    <row r="122" spans="1:9">
      <c r="A122" s="81">
        <v>32</v>
      </c>
      <c r="B122" s="75"/>
      <c r="C122" s="85">
        <f t="shared" si="17"/>
        <v>14</v>
      </c>
      <c r="D122" s="77">
        <f t="shared" si="19"/>
        <v>32</v>
      </c>
      <c r="E122" s="77">
        <f t="shared" si="18"/>
        <v>28</v>
      </c>
      <c r="F122" s="88"/>
    </row>
    <row r="123" spans="1:9">
      <c r="A123" s="81">
        <v>32.25</v>
      </c>
      <c r="B123" s="75"/>
      <c r="C123" s="85">
        <f t="shared" si="17"/>
        <v>14.125</v>
      </c>
      <c r="D123" s="77">
        <f t="shared" si="19"/>
        <v>32.25</v>
      </c>
      <c r="E123" s="77">
        <f t="shared" si="18"/>
        <v>28.25</v>
      </c>
      <c r="F123" s="88"/>
    </row>
    <row r="124" spans="1:9">
      <c r="A124" s="81">
        <v>32.5</v>
      </c>
      <c r="B124" s="75"/>
      <c r="C124" s="85">
        <f t="shared" si="17"/>
        <v>14.25</v>
      </c>
      <c r="D124" s="77">
        <f t="shared" si="19"/>
        <v>32.5</v>
      </c>
      <c r="E124" s="77">
        <f t="shared" si="18"/>
        <v>28.5</v>
      </c>
      <c r="F124" s="88"/>
      <c r="I124" s="2" t="s">
        <v>995</v>
      </c>
    </row>
    <row r="125" spans="1:9">
      <c r="A125" s="81">
        <v>32.75</v>
      </c>
      <c r="B125" s="75"/>
      <c r="C125" s="85">
        <f t="shared" si="17"/>
        <v>14.375</v>
      </c>
      <c r="D125" s="77">
        <f t="shared" si="19"/>
        <v>32.75</v>
      </c>
      <c r="E125" s="77">
        <f t="shared" si="18"/>
        <v>28.75</v>
      </c>
      <c r="F125" s="88"/>
      <c r="I125" s="2" t="s">
        <v>1040</v>
      </c>
    </row>
    <row r="126" spans="1:9">
      <c r="A126" s="81">
        <v>33</v>
      </c>
      <c r="B126" s="75"/>
      <c r="C126" s="85">
        <f t="shared" si="17"/>
        <v>14.5</v>
      </c>
      <c r="D126" s="77">
        <f t="shared" si="19"/>
        <v>33</v>
      </c>
      <c r="E126" s="77">
        <f t="shared" si="18"/>
        <v>29</v>
      </c>
      <c r="F126" s="88"/>
    </row>
    <row r="127" spans="1:9">
      <c r="A127" s="81">
        <v>33.25</v>
      </c>
      <c r="B127" s="75"/>
      <c r="C127" s="85">
        <f t="shared" si="17"/>
        <v>14.625</v>
      </c>
      <c r="D127" s="77">
        <f t="shared" si="19"/>
        <v>33.25</v>
      </c>
      <c r="E127" s="77">
        <f t="shared" si="18"/>
        <v>29.25</v>
      </c>
      <c r="F127" s="88"/>
    </row>
    <row r="128" spans="1:9">
      <c r="A128" s="81">
        <v>33.5</v>
      </c>
      <c r="B128" s="75"/>
      <c r="C128" s="85">
        <f t="shared" si="17"/>
        <v>14.75</v>
      </c>
      <c r="D128" s="77">
        <f t="shared" si="19"/>
        <v>33.5</v>
      </c>
      <c r="E128" s="77">
        <f t="shared" si="18"/>
        <v>29.5</v>
      </c>
      <c r="F128" s="88"/>
    </row>
    <row r="129" spans="1:6">
      <c r="A129" s="81">
        <v>33.75</v>
      </c>
      <c r="B129" s="75"/>
      <c r="C129" s="85">
        <f t="shared" si="17"/>
        <v>14.875</v>
      </c>
      <c r="D129" s="77">
        <f t="shared" si="19"/>
        <v>33.75</v>
      </c>
      <c r="E129" s="77">
        <f t="shared" si="18"/>
        <v>29.75</v>
      </c>
      <c r="F129" s="88"/>
    </row>
    <row r="130" spans="1:6">
      <c r="A130" s="81">
        <v>34</v>
      </c>
      <c r="B130" s="75"/>
      <c r="C130" s="85">
        <f t="shared" si="17"/>
        <v>15</v>
      </c>
      <c r="D130" s="77">
        <f t="shared" si="19"/>
        <v>34</v>
      </c>
      <c r="E130" s="77">
        <f t="shared" si="18"/>
        <v>30</v>
      </c>
      <c r="F130" s="88"/>
    </row>
    <row r="131" spans="1:6">
      <c r="A131" s="81">
        <v>34.25</v>
      </c>
      <c r="B131" s="75"/>
      <c r="C131" s="85">
        <f t="shared" si="17"/>
        <v>15.125</v>
      </c>
      <c r="D131" s="77">
        <f t="shared" si="19"/>
        <v>34.25</v>
      </c>
      <c r="E131" s="77">
        <f t="shared" si="18"/>
        <v>30.25</v>
      </c>
      <c r="F131" s="88"/>
    </row>
    <row r="132" spans="1:6">
      <c r="A132" s="81">
        <v>34.5</v>
      </c>
      <c r="B132" s="75"/>
      <c r="C132" s="85">
        <f t="shared" si="17"/>
        <v>15.25</v>
      </c>
      <c r="D132" s="77">
        <f t="shared" si="19"/>
        <v>34.5</v>
      </c>
      <c r="E132" s="77">
        <f t="shared" si="18"/>
        <v>30.5</v>
      </c>
      <c r="F132" s="88"/>
    </row>
    <row r="133" spans="1:6">
      <c r="A133" s="81">
        <v>34.75</v>
      </c>
      <c r="B133" s="75"/>
      <c r="C133" s="85">
        <f t="shared" si="17"/>
        <v>15.375</v>
      </c>
      <c r="D133" s="77">
        <f t="shared" si="19"/>
        <v>34.75</v>
      </c>
      <c r="E133" s="77">
        <f t="shared" si="18"/>
        <v>30.75</v>
      </c>
      <c r="F133" s="88"/>
    </row>
    <row r="134" spans="1:6">
      <c r="A134" s="81">
        <v>35</v>
      </c>
      <c r="B134" s="75"/>
      <c r="C134" s="85">
        <f t="shared" si="17"/>
        <v>15.5</v>
      </c>
      <c r="D134" s="77">
        <f t="shared" si="19"/>
        <v>35</v>
      </c>
      <c r="E134" s="77">
        <f t="shared" si="18"/>
        <v>31</v>
      </c>
      <c r="F134" s="88"/>
    </row>
    <row r="135" spans="1:6">
      <c r="A135" s="81">
        <v>35.25</v>
      </c>
      <c r="B135" s="75"/>
      <c r="C135" s="85">
        <f t="shared" si="17"/>
        <v>15.625</v>
      </c>
      <c r="D135" s="77">
        <f t="shared" si="19"/>
        <v>35.25</v>
      </c>
      <c r="E135" s="77">
        <f t="shared" si="18"/>
        <v>31.25</v>
      </c>
      <c r="F135" s="88"/>
    </row>
    <row r="136" spans="1:6">
      <c r="A136" s="81">
        <v>35.5</v>
      </c>
      <c r="B136" s="75"/>
      <c r="C136" s="85">
        <f t="shared" ref="C136:C146" si="20">(A136-4)/2</f>
        <v>15.75</v>
      </c>
      <c r="D136" s="77">
        <f t="shared" si="19"/>
        <v>35.5</v>
      </c>
      <c r="E136" s="77">
        <f t="shared" ref="E136:E199" si="21">A136-4</f>
        <v>31.5</v>
      </c>
      <c r="F136" s="88"/>
    </row>
    <row r="137" spans="1:6">
      <c r="A137" s="81">
        <v>35.75</v>
      </c>
      <c r="B137" s="75"/>
      <c r="C137" s="85">
        <f t="shared" si="20"/>
        <v>15.875</v>
      </c>
      <c r="D137" s="77">
        <f t="shared" si="19"/>
        <v>35.75</v>
      </c>
      <c r="E137" s="77">
        <f t="shared" si="21"/>
        <v>31.75</v>
      </c>
      <c r="F137" s="88"/>
    </row>
    <row r="138" spans="1:6">
      <c r="A138" s="81">
        <v>36</v>
      </c>
      <c r="B138" s="75"/>
      <c r="C138" s="85">
        <f t="shared" si="20"/>
        <v>16</v>
      </c>
      <c r="D138" s="77">
        <f t="shared" si="19"/>
        <v>36</v>
      </c>
      <c r="E138" s="77">
        <f t="shared" si="21"/>
        <v>32</v>
      </c>
      <c r="F138" s="88"/>
    </row>
    <row r="139" spans="1:6">
      <c r="A139" s="81">
        <v>36.25</v>
      </c>
      <c r="B139" s="75"/>
      <c r="C139" s="85">
        <f t="shared" si="20"/>
        <v>16.125</v>
      </c>
      <c r="D139" s="77">
        <f t="shared" si="19"/>
        <v>36.25</v>
      </c>
      <c r="E139" s="77">
        <f t="shared" si="21"/>
        <v>32.25</v>
      </c>
      <c r="F139" s="88"/>
    </row>
    <row r="140" spans="1:6">
      <c r="A140" s="81">
        <v>36.5</v>
      </c>
      <c r="B140" s="75"/>
      <c r="C140" s="85">
        <f t="shared" si="20"/>
        <v>16.25</v>
      </c>
      <c r="D140" s="77">
        <f t="shared" si="19"/>
        <v>36.5</v>
      </c>
      <c r="E140" s="77">
        <f t="shared" si="21"/>
        <v>32.5</v>
      </c>
      <c r="F140" s="88"/>
    </row>
    <row r="141" spans="1:6">
      <c r="A141" s="81">
        <v>36.75</v>
      </c>
      <c r="B141" s="75"/>
      <c r="C141" s="85">
        <f t="shared" si="20"/>
        <v>16.375</v>
      </c>
      <c r="D141" s="77">
        <f t="shared" si="19"/>
        <v>36.75</v>
      </c>
      <c r="E141" s="77">
        <f t="shared" si="21"/>
        <v>32.75</v>
      </c>
      <c r="F141" s="88"/>
    </row>
    <row r="142" spans="1:6">
      <c r="A142" s="81">
        <v>37</v>
      </c>
      <c r="B142" s="75"/>
      <c r="C142" s="85">
        <f t="shared" si="20"/>
        <v>16.5</v>
      </c>
      <c r="D142" s="77">
        <f t="shared" si="19"/>
        <v>37</v>
      </c>
      <c r="E142" s="77">
        <f t="shared" si="21"/>
        <v>33</v>
      </c>
      <c r="F142" s="88"/>
    </row>
    <row r="143" spans="1:6">
      <c r="A143" s="81">
        <v>37.25</v>
      </c>
      <c r="B143" s="75"/>
      <c r="C143" s="85">
        <f t="shared" si="20"/>
        <v>16.625</v>
      </c>
      <c r="D143" s="77">
        <f t="shared" si="19"/>
        <v>37.25</v>
      </c>
      <c r="E143" s="77">
        <f t="shared" si="21"/>
        <v>33.25</v>
      </c>
      <c r="F143" s="88"/>
    </row>
    <row r="144" spans="1:6">
      <c r="A144" s="81">
        <v>37.5</v>
      </c>
      <c r="B144" s="75"/>
      <c r="C144" s="85">
        <f t="shared" si="20"/>
        <v>16.75</v>
      </c>
      <c r="D144" s="77">
        <f t="shared" si="19"/>
        <v>37.5</v>
      </c>
      <c r="E144" s="77">
        <f t="shared" si="21"/>
        <v>33.5</v>
      </c>
      <c r="F144" s="88"/>
    </row>
    <row r="145" spans="1:6">
      <c r="A145" s="81">
        <v>37.75</v>
      </c>
      <c r="B145" s="75"/>
      <c r="C145" s="85">
        <f t="shared" si="20"/>
        <v>16.875</v>
      </c>
      <c r="D145" s="77">
        <f t="shared" si="19"/>
        <v>37.75</v>
      </c>
      <c r="E145" s="77">
        <f t="shared" si="21"/>
        <v>33.75</v>
      </c>
      <c r="F145" s="88"/>
    </row>
    <row r="146" spans="1:6">
      <c r="A146" s="81">
        <v>38</v>
      </c>
      <c r="B146" s="75"/>
      <c r="C146" s="85">
        <f t="shared" si="20"/>
        <v>17</v>
      </c>
      <c r="D146" s="77">
        <f t="shared" si="19"/>
        <v>38</v>
      </c>
      <c r="E146" s="77">
        <f t="shared" si="21"/>
        <v>34</v>
      </c>
      <c r="F146" s="88"/>
    </row>
    <row r="147" spans="1:6">
      <c r="A147" s="81"/>
      <c r="B147" s="75"/>
      <c r="C147" s="80" t="s">
        <v>1041</v>
      </c>
      <c r="D147" s="77"/>
      <c r="E147" s="77"/>
      <c r="F147" s="88"/>
    </row>
    <row r="148" spans="1:6">
      <c r="A148" s="81">
        <v>38.25</v>
      </c>
      <c r="B148" s="75"/>
      <c r="C148" s="85">
        <f>(A148-5)/3</f>
        <v>11.083333333333334</v>
      </c>
      <c r="D148" s="77">
        <f t="shared" si="19"/>
        <v>38.25</v>
      </c>
      <c r="E148" s="77">
        <f t="shared" si="21"/>
        <v>34.25</v>
      </c>
      <c r="F148" s="88"/>
    </row>
    <row r="149" spans="1:6">
      <c r="A149" s="81">
        <v>38.5</v>
      </c>
      <c r="B149" s="75"/>
      <c r="C149" s="85">
        <f t="shared" ref="C149:C212" si="22">(A149-5)/3</f>
        <v>11.166666666666666</v>
      </c>
      <c r="D149" s="77">
        <f t="shared" si="19"/>
        <v>38.5</v>
      </c>
      <c r="E149" s="77">
        <f t="shared" si="21"/>
        <v>34.5</v>
      </c>
      <c r="F149" s="88"/>
    </row>
    <row r="150" spans="1:6">
      <c r="A150" s="81">
        <v>38.75</v>
      </c>
      <c r="B150" s="75"/>
      <c r="C150" s="85">
        <f t="shared" si="22"/>
        <v>11.25</v>
      </c>
      <c r="D150" s="77">
        <f t="shared" si="19"/>
        <v>38.75</v>
      </c>
      <c r="E150" s="77">
        <f t="shared" si="21"/>
        <v>34.75</v>
      </c>
      <c r="F150" s="88"/>
    </row>
    <row r="151" spans="1:6">
      <c r="A151" s="81">
        <v>39</v>
      </c>
      <c r="B151" s="75"/>
      <c r="C151" s="85">
        <f t="shared" si="22"/>
        <v>11.333333333333334</v>
      </c>
      <c r="D151" s="77">
        <f t="shared" si="19"/>
        <v>39</v>
      </c>
      <c r="E151" s="77">
        <f t="shared" si="21"/>
        <v>35</v>
      </c>
      <c r="F151" s="88"/>
    </row>
    <row r="152" spans="1:6">
      <c r="A152" s="81">
        <v>39.25</v>
      </c>
      <c r="B152" s="75"/>
      <c r="C152" s="85">
        <f t="shared" si="22"/>
        <v>11.416666666666666</v>
      </c>
      <c r="D152" s="77">
        <f t="shared" si="19"/>
        <v>39.25</v>
      </c>
      <c r="E152" s="77">
        <f t="shared" si="21"/>
        <v>35.25</v>
      </c>
      <c r="F152" s="88"/>
    </row>
    <row r="153" spans="1:6">
      <c r="A153" s="81">
        <v>39.5</v>
      </c>
      <c r="B153" s="75"/>
      <c r="C153" s="85">
        <f t="shared" si="22"/>
        <v>11.5</v>
      </c>
      <c r="D153" s="77">
        <f t="shared" si="19"/>
        <v>39.5</v>
      </c>
      <c r="E153" s="77">
        <f t="shared" si="21"/>
        <v>35.5</v>
      </c>
      <c r="F153" s="88"/>
    </row>
    <row r="154" spans="1:6">
      <c r="A154" s="81">
        <v>39.75</v>
      </c>
      <c r="B154" s="75"/>
      <c r="C154" s="85">
        <f t="shared" si="22"/>
        <v>11.583333333333334</v>
      </c>
      <c r="D154" s="77">
        <f t="shared" si="19"/>
        <v>39.75</v>
      </c>
      <c r="E154" s="77">
        <f t="shared" si="21"/>
        <v>35.75</v>
      </c>
      <c r="F154" s="88"/>
    </row>
    <row r="155" spans="1:6">
      <c r="A155" s="81">
        <v>40</v>
      </c>
      <c r="B155" s="75"/>
      <c r="C155" s="85">
        <f t="shared" si="22"/>
        <v>11.666666666666666</v>
      </c>
      <c r="D155" s="77">
        <f t="shared" si="19"/>
        <v>40</v>
      </c>
      <c r="E155" s="77">
        <f t="shared" si="21"/>
        <v>36</v>
      </c>
      <c r="F155" s="88"/>
    </row>
    <row r="156" spans="1:6">
      <c r="A156" s="81">
        <v>40.25</v>
      </c>
      <c r="B156" s="75"/>
      <c r="C156" s="85">
        <f t="shared" si="22"/>
        <v>11.75</v>
      </c>
      <c r="D156" s="77">
        <f t="shared" si="19"/>
        <v>40.25</v>
      </c>
      <c r="E156" s="77">
        <f t="shared" si="21"/>
        <v>36.25</v>
      </c>
      <c r="F156" s="88"/>
    </row>
    <row r="157" spans="1:6">
      <c r="A157" s="81">
        <v>40.5</v>
      </c>
      <c r="B157" s="75"/>
      <c r="C157" s="85">
        <f t="shared" si="22"/>
        <v>11.833333333333334</v>
      </c>
      <c r="D157" s="77">
        <f t="shared" si="19"/>
        <v>40.5</v>
      </c>
      <c r="E157" s="77">
        <f t="shared" si="21"/>
        <v>36.5</v>
      </c>
      <c r="F157" s="88"/>
    </row>
    <row r="158" spans="1:6">
      <c r="A158" s="81">
        <v>40.75</v>
      </c>
      <c r="B158" s="75"/>
      <c r="C158" s="85">
        <f t="shared" si="22"/>
        <v>11.916666666666666</v>
      </c>
      <c r="D158" s="77">
        <f t="shared" si="19"/>
        <v>40.75</v>
      </c>
      <c r="E158" s="77">
        <f t="shared" si="21"/>
        <v>36.75</v>
      </c>
      <c r="F158" s="88"/>
    </row>
    <row r="159" spans="1:6">
      <c r="A159" s="81">
        <v>41</v>
      </c>
      <c r="B159" s="75"/>
      <c r="C159" s="85">
        <f t="shared" si="22"/>
        <v>12</v>
      </c>
      <c r="D159" s="77">
        <f t="shared" si="19"/>
        <v>41</v>
      </c>
      <c r="E159" s="77">
        <f t="shared" si="21"/>
        <v>37</v>
      </c>
      <c r="F159" s="88"/>
    </row>
    <row r="160" spans="1:6">
      <c r="A160" s="81">
        <v>41.25</v>
      </c>
      <c r="B160" s="75"/>
      <c r="C160" s="85">
        <f t="shared" si="22"/>
        <v>12.083333333333334</v>
      </c>
      <c r="D160" s="77">
        <f t="shared" si="19"/>
        <v>41.25</v>
      </c>
      <c r="E160" s="77">
        <f t="shared" si="21"/>
        <v>37.25</v>
      </c>
      <c r="F160" s="88"/>
    </row>
    <row r="161" spans="1:6">
      <c r="A161" s="81">
        <v>41.5</v>
      </c>
      <c r="B161" s="75"/>
      <c r="C161" s="85">
        <f t="shared" si="22"/>
        <v>12.166666666666666</v>
      </c>
      <c r="D161" s="77">
        <f t="shared" si="19"/>
        <v>41.5</v>
      </c>
      <c r="E161" s="77">
        <f t="shared" si="21"/>
        <v>37.5</v>
      </c>
      <c r="F161" s="88"/>
    </row>
    <row r="162" spans="1:6">
      <c r="A162" s="81">
        <v>41.75</v>
      </c>
      <c r="B162" s="75"/>
      <c r="C162" s="85">
        <f t="shared" si="22"/>
        <v>12.25</v>
      </c>
      <c r="D162" s="77">
        <f t="shared" si="19"/>
        <v>41.75</v>
      </c>
      <c r="E162" s="77">
        <f t="shared" si="21"/>
        <v>37.75</v>
      </c>
      <c r="F162" s="88"/>
    </row>
    <row r="163" spans="1:6">
      <c r="A163" s="81">
        <v>42</v>
      </c>
      <c r="B163" s="75"/>
      <c r="C163" s="85">
        <f t="shared" si="22"/>
        <v>12.333333333333334</v>
      </c>
      <c r="D163" s="77">
        <f t="shared" ref="D163:D227" si="23">A163</f>
        <v>42</v>
      </c>
      <c r="E163" s="77">
        <f t="shared" si="21"/>
        <v>38</v>
      </c>
      <c r="F163" s="88"/>
    </row>
    <row r="164" spans="1:6">
      <c r="A164" s="81">
        <v>42.25</v>
      </c>
      <c r="B164" s="75"/>
      <c r="C164" s="85">
        <f t="shared" si="22"/>
        <v>12.416666666666666</v>
      </c>
      <c r="D164" s="77">
        <f t="shared" si="23"/>
        <v>42.25</v>
      </c>
      <c r="E164" s="77">
        <f t="shared" si="21"/>
        <v>38.25</v>
      </c>
      <c r="F164" s="88"/>
    </row>
    <row r="165" spans="1:6">
      <c r="A165" s="81">
        <v>42.5</v>
      </c>
      <c r="B165" s="75"/>
      <c r="C165" s="85">
        <f t="shared" si="22"/>
        <v>12.5</v>
      </c>
      <c r="D165" s="77">
        <f t="shared" si="23"/>
        <v>42.5</v>
      </c>
      <c r="E165" s="77">
        <f t="shared" si="21"/>
        <v>38.5</v>
      </c>
      <c r="F165" s="88"/>
    </row>
    <row r="166" spans="1:6">
      <c r="A166" s="81">
        <v>42.75</v>
      </c>
      <c r="B166" s="75"/>
      <c r="C166" s="85">
        <f t="shared" si="22"/>
        <v>12.583333333333334</v>
      </c>
      <c r="D166" s="77">
        <f t="shared" si="23"/>
        <v>42.75</v>
      </c>
      <c r="E166" s="77">
        <f t="shared" si="21"/>
        <v>38.75</v>
      </c>
      <c r="F166" s="88"/>
    </row>
    <row r="167" spans="1:6">
      <c r="A167" s="81">
        <v>43</v>
      </c>
      <c r="B167" s="75"/>
      <c r="C167" s="85">
        <f t="shared" si="22"/>
        <v>12.666666666666666</v>
      </c>
      <c r="D167" s="77">
        <f t="shared" si="23"/>
        <v>43</v>
      </c>
      <c r="E167" s="77">
        <f t="shared" si="21"/>
        <v>39</v>
      </c>
      <c r="F167" s="88"/>
    </row>
    <row r="168" spans="1:6">
      <c r="A168" s="81">
        <v>43.25</v>
      </c>
      <c r="B168" s="75"/>
      <c r="C168" s="85">
        <f t="shared" si="22"/>
        <v>12.75</v>
      </c>
      <c r="D168" s="77">
        <f t="shared" si="23"/>
        <v>43.25</v>
      </c>
      <c r="E168" s="77">
        <f t="shared" si="21"/>
        <v>39.25</v>
      </c>
      <c r="F168" s="88"/>
    </row>
    <row r="169" spans="1:6">
      <c r="A169" s="81">
        <v>43.5</v>
      </c>
      <c r="B169" s="75"/>
      <c r="C169" s="85">
        <f t="shared" si="22"/>
        <v>12.833333333333334</v>
      </c>
      <c r="D169" s="77">
        <f t="shared" si="23"/>
        <v>43.5</v>
      </c>
      <c r="E169" s="77">
        <f t="shared" si="21"/>
        <v>39.5</v>
      </c>
      <c r="F169" s="88"/>
    </row>
    <row r="170" spans="1:6">
      <c r="A170" s="81">
        <v>43.75</v>
      </c>
      <c r="B170" s="75"/>
      <c r="C170" s="85">
        <f t="shared" si="22"/>
        <v>12.916666666666666</v>
      </c>
      <c r="D170" s="77">
        <f t="shared" si="23"/>
        <v>43.75</v>
      </c>
      <c r="E170" s="77">
        <f t="shared" si="21"/>
        <v>39.75</v>
      </c>
      <c r="F170" s="88"/>
    </row>
    <row r="171" spans="1:6">
      <c r="A171" s="81">
        <v>44</v>
      </c>
      <c r="B171" s="75"/>
      <c r="C171" s="85">
        <f t="shared" si="22"/>
        <v>13</v>
      </c>
      <c r="D171" s="77">
        <f t="shared" si="23"/>
        <v>44</v>
      </c>
      <c r="E171" s="77">
        <f t="shared" si="21"/>
        <v>40</v>
      </c>
      <c r="F171" s="88"/>
    </row>
    <row r="172" spans="1:6">
      <c r="A172" s="81">
        <v>44.25</v>
      </c>
      <c r="B172" s="75"/>
      <c r="C172" s="85">
        <f t="shared" si="22"/>
        <v>13.083333333333334</v>
      </c>
      <c r="D172" s="77">
        <f t="shared" si="23"/>
        <v>44.25</v>
      </c>
      <c r="E172" s="77">
        <f t="shared" si="21"/>
        <v>40.25</v>
      </c>
      <c r="F172" s="88"/>
    </row>
    <row r="173" spans="1:6">
      <c r="A173" s="81">
        <v>44.5</v>
      </c>
      <c r="B173" s="75"/>
      <c r="C173" s="85">
        <f t="shared" si="22"/>
        <v>13.166666666666666</v>
      </c>
      <c r="D173" s="77">
        <f t="shared" si="23"/>
        <v>44.5</v>
      </c>
      <c r="E173" s="77">
        <f t="shared" si="21"/>
        <v>40.5</v>
      </c>
      <c r="F173" s="88"/>
    </row>
    <row r="174" spans="1:6">
      <c r="A174" s="81">
        <v>44.75</v>
      </c>
      <c r="B174" s="75"/>
      <c r="C174" s="85">
        <f t="shared" si="22"/>
        <v>13.25</v>
      </c>
      <c r="D174" s="77">
        <f t="shared" si="23"/>
        <v>44.75</v>
      </c>
      <c r="E174" s="77">
        <f t="shared" si="21"/>
        <v>40.75</v>
      </c>
      <c r="F174" s="88"/>
    </row>
    <row r="175" spans="1:6">
      <c r="A175" s="81">
        <v>45</v>
      </c>
      <c r="B175" s="75"/>
      <c r="C175" s="85">
        <f t="shared" si="22"/>
        <v>13.333333333333334</v>
      </c>
      <c r="D175" s="77">
        <f t="shared" si="23"/>
        <v>45</v>
      </c>
      <c r="E175" s="77">
        <f t="shared" si="21"/>
        <v>41</v>
      </c>
      <c r="F175" s="88"/>
    </row>
    <row r="176" spans="1:6">
      <c r="A176" s="81">
        <v>45.25</v>
      </c>
      <c r="B176" s="75"/>
      <c r="C176" s="85">
        <f t="shared" si="22"/>
        <v>13.416666666666666</v>
      </c>
      <c r="D176" s="77">
        <f t="shared" si="23"/>
        <v>45.25</v>
      </c>
      <c r="E176" s="77">
        <f t="shared" si="21"/>
        <v>41.25</v>
      </c>
      <c r="F176" s="88"/>
    </row>
    <row r="177" spans="1:6">
      <c r="A177" s="81">
        <v>45.5</v>
      </c>
      <c r="B177" s="75"/>
      <c r="C177" s="85">
        <f t="shared" si="22"/>
        <v>13.5</v>
      </c>
      <c r="D177" s="77">
        <f t="shared" si="23"/>
        <v>45.5</v>
      </c>
      <c r="E177" s="77">
        <f t="shared" si="21"/>
        <v>41.5</v>
      </c>
      <c r="F177" s="88"/>
    </row>
    <row r="178" spans="1:6">
      <c r="A178" s="81">
        <v>45.75</v>
      </c>
      <c r="B178" s="75"/>
      <c r="C178" s="85">
        <f t="shared" si="22"/>
        <v>13.583333333333334</v>
      </c>
      <c r="D178" s="77">
        <f t="shared" si="23"/>
        <v>45.75</v>
      </c>
      <c r="E178" s="77">
        <f t="shared" si="21"/>
        <v>41.75</v>
      </c>
      <c r="F178" s="88"/>
    </row>
    <row r="179" spans="1:6">
      <c r="A179" s="81">
        <v>46</v>
      </c>
      <c r="B179" s="75"/>
      <c r="C179" s="85">
        <f t="shared" si="22"/>
        <v>13.666666666666666</v>
      </c>
      <c r="D179" s="77">
        <f t="shared" si="23"/>
        <v>46</v>
      </c>
      <c r="E179" s="77">
        <f t="shared" si="21"/>
        <v>42</v>
      </c>
      <c r="F179" s="88"/>
    </row>
    <row r="180" spans="1:6">
      <c r="A180" s="81">
        <v>46.25</v>
      </c>
      <c r="B180" s="75"/>
      <c r="C180" s="85">
        <f t="shared" si="22"/>
        <v>13.75</v>
      </c>
      <c r="D180" s="77">
        <f t="shared" si="23"/>
        <v>46.25</v>
      </c>
      <c r="E180" s="77">
        <f t="shared" si="21"/>
        <v>42.25</v>
      </c>
      <c r="F180" s="88"/>
    </row>
    <row r="181" spans="1:6">
      <c r="A181" s="81">
        <v>46.5</v>
      </c>
      <c r="B181" s="75"/>
      <c r="C181" s="85">
        <f t="shared" si="22"/>
        <v>13.833333333333334</v>
      </c>
      <c r="D181" s="77">
        <f t="shared" si="23"/>
        <v>46.5</v>
      </c>
      <c r="E181" s="77">
        <f t="shared" si="21"/>
        <v>42.5</v>
      </c>
      <c r="F181" s="88"/>
    </row>
    <row r="182" spans="1:6">
      <c r="A182" s="81">
        <v>46.75</v>
      </c>
      <c r="B182" s="75"/>
      <c r="C182" s="85">
        <f t="shared" si="22"/>
        <v>13.916666666666666</v>
      </c>
      <c r="D182" s="77">
        <f t="shared" si="23"/>
        <v>46.75</v>
      </c>
      <c r="E182" s="77">
        <f t="shared" si="21"/>
        <v>42.75</v>
      </c>
      <c r="F182" s="88"/>
    </row>
    <row r="183" spans="1:6">
      <c r="A183" s="81">
        <v>47</v>
      </c>
      <c r="B183" s="75"/>
      <c r="C183" s="85">
        <f t="shared" si="22"/>
        <v>14</v>
      </c>
      <c r="D183" s="77">
        <f t="shared" si="23"/>
        <v>47</v>
      </c>
      <c r="E183" s="77">
        <f t="shared" si="21"/>
        <v>43</v>
      </c>
      <c r="F183" s="88"/>
    </row>
    <row r="184" spans="1:6">
      <c r="A184" s="81">
        <v>47.25</v>
      </c>
      <c r="B184" s="75"/>
      <c r="C184" s="85">
        <f t="shared" si="22"/>
        <v>14.083333333333334</v>
      </c>
      <c r="D184" s="77">
        <f t="shared" si="23"/>
        <v>47.25</v>
      </c>
      <c r="E184" s="77">
        <f t="shared" si="21"/>
        <v>43.25</v>
      </c>
      <c r="F184" s="88"/>
    </row>
    <row r="185" spans="1:6">
      <c r="A185" s="81">
        <v>47.5</v>
      </c>
      <c r="B185" s="75"/>
      <c r="C185" s="85">
        <f t="shared" si="22"/>
        <v>14.166666666666666</v>
      </c>
      <c r="D185" s="77">
        <f t="shared" si="23"/>
        <v>47.5</v>
      </c>
      <c r="E185" s="77">
        <f t="shared" si="21"/>
        <v>43.5</v>
      </c>
      <c r="F185" s="88"/>
    </row>
    <row r="186" spans="1:6">
      <c r="A186" s="81">
        <v>47.75</v>
      </c>
      <c r="B186" s="75"/>
      <c r="C186" s="85">
        <f t="shared" si="22"/>
        <v>14.25</v>
      </c>
      <c r="D186" s="77">
        <f t="shared" si="23"/>
        <v>47.75</v>
      </c>
      <c r="E186" s="77">
        <f t="shared" si="21"/>
        <v>43.75</v>
      </c>
      <c r="F186" s="88"/>
    </row>
    <row r="187" spans="1:6">
      <c r="A187" s="81">
        <v>48</v>
      </c>
      <c r="B187" s="75"/>
      <c r="C187" s="85">
        <f t="shared" si="22"/>
        <v>14.333333333333334</v>
      </c>
      <c r="D187" s="77">
        <f t="shared" si="23"/>
        <v>48</v>
      </c>
      <c r="E187" s="77">
        <f t="shared" si="21"/>
        <v>44</v>
      </c>
      <c r="F187" s="88"/>
    </row>
    <row r="188" spans="1:6">
      <c r="A188" s="81">
        <v>48.25</v>
      </c>
      <c r="B188" s="75"/>
      <c r="C188" s="85">
        <f t="shared" si="22"/>
        <v>14.416666666666666</v>
      </c>
      <c r="D188" s="77">
        <f t="shared" si="23"/>
        <v>48.25</v>
      </c>
      <c r="E188" s="77">
        <f t="shared" si="21"/>
        <v>44.25</v>
      </c>
      <c r="F188" s="88"/>
    </row>
    <row r="189" spans="1:6">
      <c r="A189" s="81">
        <v>48.5</v>
      </c>
      <c r="B189" s="75"/>
      <c r="C189" s="85">
        <f t="shared" si="22"/>
        <v>14.5</v>
      </c>
      <c r="D189" s="77">
        <f t="shared" si="23"/>
        <v>48.5</v>
      </c>
      <c r="E189" s="77">
        <f t="shared" si="21"/>
        <v>44.5</v>
      </c>
      <c r="F189" s="88"/>
    </row>
    <row r="190" spans="1:6">
      <c r="A190" s="81">
        <v>48.75</v>
      </c>
      <c r="B190" s="75"/>
      <c r="C190" s="85">
        <f t="shared" si="22"/>
        <v>14.583333333333334</v>
      </c>
      <c r="D190" s="77">
        <f t="shared" si="23"/>
        <v>48.75</v>
      </c>
      <c r="E190" s="77">
        <f t="shared" si="21"/>
        <v>44.75</v>
      </c>
      <c r="F190" s="88"/>
    </row>
    <row r="191" spans="1:6">
      <c r="A191" s="81">
        <v>49</v>
      </c>
      <c r="B191" s="75"/>
      <c r="C191" s="85">
        <f t="shared" si="22"/>
        <v>14.666666666666666</v>
      </c>
      <c r="D191" s="77">
        <f t="shared" si="23"/>
        <v>49</v>
      </c>
      <c r="E191" s="77">
        <f t="shared" si="21"/>
        <v>45</v>
      </c>
      <c r="F191" s="88"/>
    </row>
    <row r="192" spans="1:6">
      <c r="A192" s="81">
        <v>49.25</v>
      </c>
      <c r="B192" s="75"/>
      <c r="C192" s="85">
        <f t="shared" si="22"/>
        <v>14.75</v>
      </c>
      <c r="D192" s="77">
        <f t="shared" si="23"/>
        <v>49.25</v>
      </c>
      <c r="E192" s="77">
        <f t="shared" si="21"/>
        <v>45.25</v>
      </c>
      <c r="F192" s="88"/>
    </row>
    <row r="193" spans="1:6">
      <c r="A193" s="81">
        <v>49.5</v>
      </c>
      <c r="B193" s="75"/>
      <c r="C193" s="85">
        <f t="shared" si="22"/>
        <v>14.833333333333334</v>
      </c>
      <c r="D193" s="77">
        <f t="shared" si="23"/>
        <v>49.5</v>
      </c>
      <c r="E193" s="77">
        <f t="shared" si="21"/>
        <v>45.5</v>
      </c>
      <c r="F193" s="88"/>
    </row>
    <row r="194" spans="1:6">
      <c r="A194" s="81">
        <v>49.75</v>
      </c>
      <c r="B194" s="75"/>
      <c r="C194" s="85">
        <f t="shared" si="22"/>
        <v>14.916666666666666</v>
      </c>
      <c r="D194" s="77">
        <f t="shared" si="23"/>
        <v>49.75</v>
      </c>
      <c r="E194" s="77">
        <f t="shared" si="21"/>
        <v>45.75</v>
      </c>
      <c r="F194" s="88"/>
    </row>
    <row r="195" spans="1:6">
      <c r="A195" s="81">
        <v>50</v>
      </c>
      <c r="B195" s="75"/>
      <c r="C195" s="85">
        <f t="shared" si="22"/>
        <v>15</v>
      </c>
      <c r="D195" s="77">
        <f t="shared" si="23"/>
        <v>50</v>
      </c>
      <c r="E195" s="77">
        <f t="shared" si="21"/>
        <v>46</v>
      </c>
      <c r="F195" s="88"/>
    </row>
    <row r="196" spans="1:6">
      <c r="A196" s="81">
        <v>50.25</v>
      </c>
      <c r="B196" s="75"/>
      <c r="C196" s="85">
        <f t="shared" si="22"/>
        <v>15.083333333333334</v>
      </c>
      <c r="D196" s="77">
        <f t="shared" si="23"/>
        <v>50.25</v>
      </c>
      <c r="E196" s="77">
        <f t="shared" si="21"/>
        <v>46.25</v>
      </c>
      <c r="F196" s="88"/>
    </row>
    <row r="197" spans="1:6">
      <c r="A197" s="81">
        <v>50.5</v>
      </c>
      <c r="B197" s="75"/>
      <c r="C197" s="85">
        <f t="shared" si="22"/>
        <v>15.166666666666666</v>
      </c>
      <c r="D197" s="77">
        <f t="shared" si="23"/>
        <v>50.5</v>
      </c>
      <c r="E197" s="77">
        <f t="shared" si="21"/>
        <v>46.5</v>
      </c>
      <c r="F197" s="88"/>
    </row>
    <row r="198" spans="1:6">
      <c r="A198" s="81">
        <v>50.75</v>
      </c>
      <c r="B198" s="75"/>
      <c r="C198" s="85">
        <f t="shared" si="22"/>
        <v>15.25</v>
      </c>
      <c r="D198" s="77">
        <f t="shared" si="23"/>
        <v>50.75</v>
      </c>
      <c r="E198" s="77">
        <f t="shared" si="21"/>
        <v>46.75</v>
      </c>
      <c r="F198" s="88"/>
    </row>
    <row r="199" spans="1:6">
      <c r="A199" s="81">
        <v>51</v>
      </c>
      <c r="B199" s="75"/>
      <c r="C199" s="85">
        <f t="shared" si="22"/>
        <v>15.333333333333334</v>
      </c>
      <c r="D199" s="77">
        <f t="shared" si="23"/>
        <v>51</v>
      </c>
      <c r="E199" s="77">
        <f t="shared" si="21"/>
        <v>47</v>
      </c>
      <c r="F199" s="88"/>
    </row>
    <row r="200" spans="1:6">
      <c r="A200" s="81">
        <v>51.25</v>
      </c>
      <c r="B200" s="75"/>
      <c r="C200" s="85">
        <f t="shared" si="22"/>
        <v>15.416666666666666</v>
      </c>
      <c r="D200" s="77">
        <f t="shared" si="23"/>
        <v>51.25</v>
      </c>
      <c r="E200" s="77">
        <f t="shared" ref="E200:E263" si="24">A200-4</f>
        <v>47.25</v>
      </c>
      <c r="F200" s="88"/>
    </row>
    <row r="201" spans="1:6">
      <c r="A201" s="81">
        <v>51.5</v>
      </c>
      <c r="B201" s="75"/>
      <c r="C201" s="85">
        <f t="shared" si="22"/>
        <v>15.5</v>
      </c>
      <c r="D201" s="77">
        <f t="shared" si="23"/>
        <v>51.5</v>
      </c>
      <c r="E201" s="77">
        <f t="shared" si="24"/>
        <v>47.5</v>
      </c>
      <c r="F201" s="88"/>
    </row>
    <row r="202" spans="1:6">
      <c r="A202" s="81">
        <v>51.75</v>
      </c>
      <c r="B202" s="75"/>
      <c r="C202" s="85">
        <f t="shared" si="22"/>
        <v>15.583333333333334</v>
      </c>
      <c r="D202" s="77">
        <f t="shared" si="23"/>
        <v>51.75</v>
      </c>
      <c r="E202" s="77">
        <f t="shared" si="24"/>
        <v>47.75</v>
      </c>
      <c r="F202" s="88"/>
    </row>
    <row r="203" spans="1:6">
      <c r="A203" s="81">
        <v>52</v>
      </c>
      <c r="B203" s="75"/>
      <c r="C203" s="85">
        <f t="shared" si="22"/>
        <v>15.666666666666666</v>
      </c>
      <c r="D203" s="77">
        <f t="shared" si="23"/>
        <v>52</v>
      </c>
      <c r="E203" s="77">
        <f t="shared" si="24"/>
        <v>48</v>
      </c>
      <c r="F203" s="88"/>
    </row>
    <row r="204" spans="1:6">
      <c r="A204" s="81">
        <v>52.25</v>
      </c>
      <c r="B204" s="75"/>
      <c r="C204" s="85">
        <f t="shared" si="22"/>
        <v>15.75</v>
      </c>
      <c r="D204" s="77">
        <f t="shared" si="23"/>
        <v>52.25</v>
      </c>
      <c r="E204" s="77">
        <f t="shared" si="24"/>
        <v>48.25</v>
      </c>
      <c r="F204" s="88"/>
    </row>
    <row r="205" spans="1:6">
      <c r="A205" s="81">
        <v>52.5</v>
      </c>
      <c r="B205" s="75"/>
      <c r="C205" s="85">
        <f t="shared" si="22"/>
        <v>15.833333333333334</v>
      </c>
      <c r="D205" s="77">
        <f t="shared" si="23"/>
        <v>52.5</v>
      </c>
      <c r="E205" s="77">
        <f t="shared" si="24"/>
        <v>48.5</v>
      </c>
      <c r="F205" s="88"/>
    </row>
    <row r="206" spans="1:6">
      <c r="A206" s="81">
        <v>52.75</v>
      </c>
      <c r="B206" s="75"/>
      <c r="C206" s="85">
        <f t="shared" si="22"/>
        <v>15.916666666666666</v>
      </c>
      <c r="D206" s="77">
        <f t="shared" si="23"/>
        <v>52.75</v>
      </c>
      <c r="E206" s="77">
        <f t="shared" si="24"/>
        <v>48.75</v>
      </c>
      <c r="F206" s="88"/>
    </row>
    <row r="207" spans="1:6">
      <c r="A207" s="81">
        <v>53</v>
      </c>
      <c r="B207" s="75"/>
      <c r="C207" s="85">
        <f t="shared" si="22"/>
        <v>16</v>
      </c>
      <c r="D207" s="77">
        <f t="shared" si="23"/>
        <v>53</v>
      </c>
      <c r="E207" s="77">
        <f t="shared" si="24"/>
        <v>49</v>
      </c>
      <c r="F207" s="88"/>
    </row>
    <row r="208" spans="1:6">
      <c r="A208" s="81">
        <v>53.25</v>
      </c>
      <c r="B208" s="75"/>
      <c r="C208" s="85">
        <f t="shared" si="22"/>
        <v>16.083333333333332</v>
      </c>
      <c r="D208" s="77">
        <f t="shared" si="23"/>
        <v>53.25</v>
      </c>
      <c r="E208" s="77">
        <f t="shared" si="24"/>
        <v>49.25</v>
      </c>
      <c r="F208" s="88"/>
    </row>
    <row r="209" spans="1:6">
      <c r="A209" s="81">
        <v>53.5</v>
      </c>
      <c r="B209" s="75"/>
      <c r="C209" s="85">
        <f t="shared" si="22"/>
        <v>16.166666666666668</v>
      </c>
      <c r="D209" s="77">
        <f t="shared" si="23"/>
        <v>53.5</v>
      </c>
      <c r="E209" s="77">
        <f t="shared" si="24"/>
        <v>49.5</v>
      </c>
      <c r="F209" s="88"/>
    </row>
    <row r="210" spans="1:6">
      <c r="A210" s="81">
        <v>53.75</v>
      </c>
      <c r="B210" s="75"/>
      <c r="C210" s="85">
        <f t="shared" si="22"/>
        <v>16.25</v>
      </c>
      <c r="D210" s="77">
        <f t="shared" si="23"/>
        <v>53.75</v>
      </c>
      <c r="E210" s="77">
        <f t="shared" si="24"/>
        <v>49.75</v>
      </c>
      <c r="F210" s="88"/>
    </row>
    <row r="211" spans="1:6">
      <c r="A211" s="81">
        <v>54</v>
      </c>
      <c r="B211" s="75"/>
      <c r="C211" s="85">
        <f t="shared" si="22"/>
        <v>16.333333333333332</v>
      </c>
      <c r="D211" s="77">
        <f t="shared" si="23"/>
        <v>54</v>
      </c>
      <c r="E211" s="77">
        <f t="shared" si="24"/>
        <v>50</v>
      </c>
      <c r="F211" s="88"/>
    </row>
    <row r="212" spans="1:6">
      <c r="A212" s="81">
        <v>54.25</v>
      </c>
      <c r="B212" s="75"/>
      <c r="C212" s="85">
        <f t="shared" si="22"/>
        <v>16.416666666666668</v>
      </c>
      <c r="D212" s="77">
        <f t="shared" si="23"/>
        <v>54.25</v>
      </c>
      <c r="E212" s="77">
        <f t="shared" si="24"/>
        <v>50.25</v>
      </c>
      <c r="F212" s="88"/>
    </row>
    <row r="213" spans="1:6">
      <c r="A213" s="81">
        <v>54.5</v>
      </c>
      <c r="B213" s="75"/>
      <c r="C213" s="85">
        <f t="shared" ref="C213:C223" si="25">(A213-5)/3</f>
        <v>16.5</v>
      </c>
      <c r="D213" s="77">
        <f t="shared" si="23"/>
        <v>54.5</v>
      </c>
      <c r="E213" s="77">
        <f t="shared" si="24"/>
        <v>50.5</v>
      </c>
      <c r="F213" s="88"/>
    </row>
    <row r="214" spans="1:6">
      <c r="A214" s="81">
        <v>54.75</v>
      </c>
      <c r="B214" s="75"/>
      <c r="C214" s="85">
        <f t="shared" si="25"/>
        <v>16.583333333333332</v>
      </c>
      <c r="D214" s="77">
        <f t="shared" si="23"/>
        <v>54.75</v>
      </c>
      <c r="E214" s="77">
        <f t="shared" si="24"/>
        <v>50.75</v>
      </c>
      <c r="F214" s="88"/>
    </row>
    <row r="215" spans="1:6">
      <c r="A215" s="81">
        <v>55</v>
      </c>
      <c r="B215" s="75"/>
      <c r="C215" s="85">
        <f t="shared" si="25"/>
        <v>16.666666666666668</v>
      </c>
      <c r="D215" s="77">
        <f t="shared" si="23"/>
        <v>55</v>
      </c>
      <c r="E215" s="77">
        <f t="shared" si="24"/>
        <v>51</v>
      </c>
      <c r="F215" s="88"/>
    </row>
    <row r="216" spans="1:6">
      <c r="A216" s="81">
        <v>55.25</v>
      </c>
      <c r="B216" s="75"/>
      <c r="C216" s="85">
        <f t="shared" si="25"/>
        <v>16.75</v>
      </c>
      <c r="D216" s="77">
        <f t="shared" si="23"/>
        <v>55.25</v>
      </c>
      <c r="E216" s="77">
        <f t="shared" si="24"/>
        <v>51.25</v>
      </c>
      <c r="F216" s="88"/>
    </row>
    <row r="217" spans="1:6">
      <c r="A217" s="81">
        <v>55.5</v>
      </c>
      <c r="B217" s="75"/>
      <c r="C217" s="85">
        <f t="shared" si="25"/>
        <v>16.833333333333332</v>
      </c>
      <c r="D217" s="77">
        <f t="shared" si="23"/>
        <v>55.5</v>
      </c>
      <c r="E217" s="77">
        <f t="shared" si="24"/>
        <v>51.5</v>
      </c>
      <c r="F217" s="88"/>
    </row>
    <row r="218" spans="1:6">
      <c r="A218" s="81">
        <v>55.75</v>
      </c>
      <c r="B218" s="75"/>
      <c r="C218" s="85">
        <f t="shared" si="25"/>
        <v>16.916666666666668</v>
      </c>
      <c r="D218" s="77">
        <f t="shared" si="23"/>
        <v>55.75</v>
      </c>
      <c r="E218" s="77">
        <f t="shared" si="24"/>
        <v>51.75</v>
      </c>
      <c r="F218" s="88"/>
    </row>
    <row r="219" spans="1:6">
      <c r="A219" s="81">
        <v>56</v>
      </c>
      <c r="B219" s="75"/>
      <c r="C219" s="85">
        <f t="shared" si="25"/>
        <v>17</v>
      </c>
      <c r="D219" s="77">
        <f t="shared" si="23"/>
        <v>56</v>
      </c>
      <c r="E219" s="77">
        <f t="shared" si="24"/>
        <v>52</v>
      </c>
      <c r="F219" s="88"/>
    </row>
    <row r="220" spans="1:6">
      <c r="A220" s="81">
        <v>56.25</v>
      </c>
      <c r="B220" s="75"/>
      <c r="C220" s="85">
        <f t="shared" si="25"/>
        <v>17.083333333333332</v>
      </c>
      <c r="D220" s="77">
        <f t="shared" si="23"/>
        <v>56.25</v>
      </c>
      <c r="E220" s="77">
        <f t="shared" si="24"/>
        <v>52.25</v>
      </c>
      <c r="F220" s="88"/>
    </row>
    <row r="221" spans="1:6">
      <c r="A221" s="81">
        <v>56.5</v>
      </c>
      <c r="B221" s="75"/>
      <c r="C221" s="85">
        <f t="shared" si="25"/>
        <v>17.166666666666668</v>
      </c>
      <c r="D221" s="77">
        <f t="shared" si="23"/>
        <v>56.5</v>
      </c>
      <c r="E221" s="77">
        <f t="shared" si="24"/>
        <v>52.5</v>
      </c>
      <c r="F221" s="88"/>
    </row>
    <row r="222" spans="1:6">
      <c r="A222" s="81">
        <v>56.75</v>
      </c>
      <c r="B222" s="75"/>
      <c r="C222" s="85">
        <f t="shared" si="25"/>
        <v>17.25</v>
      </c>
      <c r="D222" s="77">
        <f t="shared" si="23"/>
        <v>56.75</v>
      </c>
      <c r="E222" s="77">
        <f t="shared" si="24"/>
        <v>52.75</v>
      </c>
      <c r="F222" s="88"/>
    </row>
    <row r="223" spans="1:6">
      <c r="A223" s="81">
        <v>57</v>
      </c>
      <c r="B223" s="75"/>
      <c r="C223" s="85">
        <f t="shared" si="25"/>
        <v>17.333333333333332</v>
      </c>
      <c r="D223" s="77">
        <f t="shared" si="23"/>
        <v>57</v>
      </c>
      <c r="E223" s="77">
        <f t="shared" si="24"/>
        <v>53</v>
      </c>
      <c r="F223" s="88"/>
    </row>
    <row r="224" spans="1:6">
      <c r="A224" s="81"/>
      <c r="B224" s="75"/>
      <c r="C224" s="80" t="s">
        <v>1042</v>
      </c>
      <c r="D224" s="77"/>
      <c r="E224" s="77"/>
      <c r="F224" s="88"/>
    </row>
    <row r="225" spans="1:6">
      <c r="A225" s="81">
        <v>57.25</v>
      </c>
      <c r="B225" s="75"/>
      <c r="C225" s="85">
        <f>(A225-6)/4</f>
        <v>12.8125</v>
      </c>
      <c r="D225" s="77">
        <f t="shared" si="23"/>
        <v>57.25</v>
      </c>
      <c r="E225" s="77">
        <f t="shared" si="24"/>
        <v>53.25</v>
      </c>
      <c r="F225" s="88"/>
    </row>
    <row r="226" spans="1:6">
      <c r="A226" s="81">
        <v>57.5</v>
      </c>
      <c r="B226" s="75"/>
      <c r="C226" s="85">
        <f t="shared" ref="C226:C289" si="26">(A226-6)/4</f>
        <v>12.875</v>
      </c>
      <c r="D226" s="77">
        <f t="shared" si="23"/>
        <v>57.5</v>
      </c>
      <c r="E226" s="77">
        <f t="shared" si="24"/>
        <v>53.5</v>
      </c>
      <c r="F226" s="88"/>
    </row>
    <row r="227" spans="1:6">
      <c r="A227" s="81">
        <v>57.75</v>
      </c>
      <c r="B227" s="75"/>
      <c r="C227" s="85">
        <f t="shared" si="26"/>
        <v>12.9375</v>
      </c>
      <c r="D227" s="77">
        <f t="shared" si="23"/>
        <v>57.75</v>
      </c>
      <c r="E227" s="77">
        <f t="shared" si="24"/>
        <v>53.75</v>
      </c>
      <c r="F227" s="88"/>
    </row>
    <row r="228" spans="1:6">
      <c r="A228" s="81">
        <v>58</v>
      </c>
      <c r="B228" s="75"/>
      <c r="C228" s="85">
        <f t="shared" si="26"/>
        <v>13</v>
      </c>
      <c r="D228" s="77">
        <f t="shared" ref="D228:D292" si="27">A228</f>
        <v>58</v>
      </c>
      <c r="E228" s="77">
        <f t="shared" si="24"/>
        <v>54</v>
      </c>
      <c r="F228" s="88"/>
    </row>
    <row r="229" spans="1:6">
      <c r="A229" s="81">
        <v>58.25</v>
      </c>
      <c r="B229" s="75"/>
      <c r="C229" s="85">
        <f t="shared" si="26"/>
        <v>13.0625</v>
      </c>
      <c r="D229" s="77">
        <f t="shared" si="27"/>
        <v>58.25</v>
      </c>
      <c r="E229" s="77">
        <f t="shared" si="24"/>
        <v>54.25</v>
      </c>
      <c r="F229" s="88"/>
    </row>
    <row r="230" spans="1:6">
      <c r="A230" s="81">
        <v>58.5</v>
      </c>
      <c r="B230" s="75"/>
      <c r="C230" s="85">
        <f t="shared" si="26"/>
        <v>13.125</v>
      </c>
      <c r="D230" s="77">
        <f t="shared" si="27"/>
        <v>58.5</v>
      </c>
      <c r="E230" s="77">
        <f t="shared" si="24"/>
        <v>54.5</v>
      </c>
      <c r="F230" s="88"/>
    </row>
    <row r="231" spans="1:6">
      <c r="A231" s="81">
        <v>58.75</v>
      </c>
      <c r="B231" s="75"/>
      <c r="C231" s="85">
        <f t="shared" si="26"/>
        <v>13.1875</v>
      </c>
      <c r="D231" s="77">
        <f t="shared" si="27"/>
        <v>58.75</v>
      </c>
      <c r="E231" s="77">
        <f t="shared" si="24"/>
        <v>54.75</v>
      </c>
      <c r="F231" s="88"/>
    </row>
    <row r="232" spans="1:6">
      <c r="A232" s="81">
        <v>59</v>
      </c>
      <c r="B232" s="75"/>
      <c r="C232" s="85">
        <f t="shared" si="26"/>
        <v>13.25</v>
      </c>
      <c r="D232" s="77">
        <f t="shared" si="27"/>
        <v>59</v>
      </c>
      <c r="E232" s="77">
        <f t="shared" si="24"/>
        <v>55</v>
      </c>
      <c r="F232" s="88"/>
    </row>
    <row r="233" spans="1:6">
      <c r="A233" s="81">
        <v>59.25</v>
      </c>
      <c r="B233" s="75"/>
      <c r="C233" s="85">
        <f t="shared" si="26"/>
        <v>13.3125</v>
      </c>
      <c r="D233" s="77">
        <f t="shared" si="27"/>
        <v>59.25</v>
      </c>
      <c r="E233" s="77">
        <f t="shared" si="24"/>
        <v>55.25</v>
      </c>
      <c r="F233" s="88"/>
    </row>
    <row r="234" spans="1:6">
      <c r="A234" s="81">
        <v>59.5</v>
      </c>
      <c r="B234" s="75"/>
      <c r="C234" s="85">
        <f t="shared" si="26"/>
        <v>13.375</v>
      </c>
      <c r="D234" s="77">
        <f t="shared" si="27"/>
        <v>59.5</v>
      </c>
      <c r="E234" s="77">
        <f t="shared" si="24"/>
        <v>55.5</v>
      </c>
      <c r="F234" s="88"/>
    </row>
    <row r="235" spans="1:6">
      <c r="A235" s="81">
        <v>59.75</v>
      </c>
      <c r="B235" s="75"/>
      <c r="C235" s="85">
        <f t="shared" si="26"/>
        <v>13.4375</v>
      </c>
      <c r="D235" s="77">
        <f t="shared" si="27"/>
        <v>59.75</v>
      </c>
      <c r="E235" s="77">
        <f t="shared" si="24"/>
        <v>55.75</v>
      </c>
      <c r="F235" s="88"/>
    </row>
    <row r="236" spans="1:6">
      <c r="A236" s="81">
        <v>60</v>
      </c>
      <c r="B236" s="75"/>
      <c r="C236" s="85">
        <f t="shared" si="26"/>
        <v>13.5</v>
      </c>
      <c r="D236" s="77">
        <f t="shared" si="27"/>
        <v>60</v>
      </c>
      <c r="E236" s="77">
        <f t="shared" si="24"/>
        <v>56</v>
      </c>
      <c r="F236" s="88"/>
    </row>
    <row r="237" spans="1:6">
      <c r="A237" s="81">
        <v>60.25</v>
      </c>
      <c r="B237" s="75"/>
      <c r="C237" s="85">
        <f t="shared" si="26"/>
        <v>13.5625</v>
      </c>
      <c r="D237" s="77">
        <f t="shared" si="27"/>
        <v>60.25</v>
      </c>
      <c r="E237" s="77">
        <f t="shared" si="24"/>
        <v>56.25</v>
      </c>
      <c r="F237" s="88"/>
    </row>
    <row r="238" spans="1:6">
      <c r="A238" s="81">
        <v>60.5</v>
      </c>
      <c r="B238" s="75"/>
      <c r="C238" s="85">
        <f t="shared" si="26"/>
        <v>13.625</v>
      </c>
      <c r="D238" s="77">
        <f t="shared" si="27"/>
        <v>60.5</v>
      </c>
      <c r="E238" s="77">
        <f t="shared" si="24"/>
        <v>56.5</v>
      </c>
      <c r="F238" s="88"/>
    </row>
    <row r="239" spans="1:6">
      <c r="A239" s="81">
        <v>60.75</v>
      </c>
      <c r="B239" s="75"/>
      <c r="C239" s="85">
        <f t="shared" si="26"/>
        <v>13.6875</v>
      </c>
      <c r="D239" s="77">
        <f t="shared" si="27"/>
        <v>60.75</v>
      </c>
      <c r="E239" s="77">
        <f t="shared" si="24"/>
        <v>56.75</v>
      </c>
      <c r="F239" s="88"/>
    </row>
    <row r="240" spans="1:6">
      <c r="A240" s="81">
        <v>61</v>
      </c>
      <c r="B240" s="75"/>
      <c r="C240" s="85">
        <f t="shared" si="26"/>
        <v>13.75</v>
      </c>
      <c r="D240" s="77">
        <f t="shared" si="27"/>
        <v>61</v>
      </c>
      <c r="E240" s="77">
        <f t="shared" si="24"/>
        <v>57</v>
      </c>
      <c r="F240" s="88"/>
    </row>
    <row r="241" spans="1:6">
      <c r="A241" s="81">
        <v>61.25</v>
      </c>
      <c r="B241" s="75"/>
      <c r="C241" s="85">
        <f t="shared" si="26"/>
        <v>13.8125</v>
      </c>
      <c r="D241" s="77">
        <f t="shared" si="27"/>
        <v>61.25</v>
      </c>
      <c r="E241" s="77">
        <f t="shared" si="24"/>
        <v>57.25</v>
      </c>
      <c r="F241" s="88"/>
    </row>
    <row r="242" spans="1:6">
      <c r="A242" s="81">
        <v>61.5</v>
      </c>
      <c r="B242" s="75"/>
      <c r="C242" s="85">
        <f t="shared" si="26"/>
        <v>13.875</v>
      </c>
      <c r="D242" s="77">
        <f t="shared" si="27"/>
        <v>61.5</v>
      </c>
      <c r="E242" s="77">
        <f t="shared" si="24"/>
        <v>57.5</v>
      </c>
      <c r="F242" s="88"/>
    </row>
    <row r="243" spans="1:6">
      <c r="A243" s="81">
        <v>61.75</v>
      </c>
      <c r="B243" s="75"/>
      <c r="C243" s="85">
        <f t="shared" si="26"/>
        <v>13.9375</v>
      </c>
      <c r="D243" s="77">
        <f t="shared" si="27"/>
        <v>61.75</v>
      </c>
      <c r="E243" s="77">
        <f t="shared" si="24"/>
        <v>57.75</v>
      </c>
      <c r="F243" s="88"/>
    </row>
    <row r="244" spans="1:6">
      <c r="A244" s="81">
        <v>62</v>
      </c>
      <c r="B244" s="75"/>
      <c r="C244" s="85">
        <f t="shared" si="26"/>
        <v>14</v>
      </c>
      <c r="D244" s="77">
        <f t="shared" si="27"/>
        <v>62</v>
      </c>
      <c r="E244" s="77">
        <f t="shared" si="24"/>
        <v>58</v>
      </c>
      <c r="F244" s="88"/>
    </row>
    <row r="245" spans="1:6">
      <c r="A245" s="81">
        <v>62.25</v>
      </c>
      <c r="B245" s="75"/>
      <c r="C245" s="85">
        <f t="shared" si="26"/>
        <v>14.0625</v>
      </c>
      <c r="D245" s="77">
        <f t="shared" si="27"/>
        <v>62.25</v>
      </c>
      <c r="E245" s="77">
        <f t="shared" si="24"/>
        <v>58.25</v>
      </c>
      <c r="F245" s="88"/>
    </row>
    <row r="246" spans="1:6">
      <c r="A246" s="81">
        <v>62.5</v>
      </c>
      <c r="B246" s="75"/>
      <c r="C246" s="85">
        <f t="shared" si="26"/>
        <v>14.125</v>
      </c>
      <c r="D246" s="77">
        <f t="shared" si="27"/>
        <v>62.5</v>
      </c>
      <c r="E246" s="77">
        <f t="shared" si="24"/>
        <v>58.5</v>
      </c>
      <c r="F246" s="88"/>
    </row>
    <row r="247" spans="1:6">
      <c r="A247" s="81">
        <v>62.75</v>
      </c>
      <c r="B247" s="75"/>
      <c r="C247" s="85">
        <f t="shared" si="26"/>
        <v>14.1875</v>
      </c>
      <c r="D247" s="77">
        <f t="shared" si="27"/>
        <v>62.75</v>
      </c>
      <c r="E247" s="77">
        <f t="shared" si="24"/>
        <v>58.75</v>
      </c>
      <c r="F247" s="88"/>
    </row>
    <row r="248" spans="1:6">
      <c r="A248" s="81">
        <v>63</v>
      </c>
      <c r="B248" s="75"/>
      <c r="C248" s="85">
        <f t="shared" si="26"/>
        <v>14.25</v>
      </c>
      <c r="D248" s="77">
        <f t="shared" si="27"/>
        <v>63</v>
      </c>
      <c r="E248" s="77">
        <f t="shared" si="24"/>
        <v>59</v>
      </c>
      <c r="F248" s="88"/>
    </row>
    <row r="249" spans="1:6">
      <c r="A249" s="81">
        <v>63.25</v>
      </c>
      <c r="B249" s="75"/>
      <c r="C249" s="85">
        <f t="shared" si="26"/>
        <v>14.3125</v>
      </c>
      <c r="D249" s="77">
        <f t="shared" si="27"/>
        <v>63.25</v>
      </c>
      <c r="E249" s="77">
        <f t="shared" si="24"/>
        <v>59.25</v>
      </c>
      <c r="F249" s="88"/>
    </row>
    <row r="250" spans="1:6">
      <c r="A250" s="81">
        <v>63.5</v>
      </c>
      <c r="B250" s="75"/>
      <c r="C250" s="85">
        <f t="shared" si="26"/>
        <v>14.375</v>
      </c>
      <c r="D250" s="77">
        <f t="shared" si="27"/>
        <v>63.5</v>
      </c>
      <c r="E250" s="77">
        <f t="shared" si="24"/>
        <v>59.5</v>
      </c>
      <c r="F250" s="88"/>
    </row>
    <row r="251" spans="1:6">
      <c r="A251" s="81">
        <v>63.75</v>
      </c>
      <c r="B251" s="75"/>
      <c r="C251" s="85">
        <f t="shared" si="26"/>
        <v>14.4375</v>
      </c>
      <c r="D251" s="77">
        <f t="shared" si="27"/>
        <v>63.75</v>
      </c>
      <c r="E251" s="77">
        <f t="shared" si="24"/>
        <v>59.75</v>
      </c>
      <c r="F251" s="88"/>
    </row>
    <row r="252" spans="1:6">
      <c r="A252" s="81">
        <v>64</v>
      </c>
      <c r="B252" s="75"/>
      <c r="C252" s="85">
        <f t="shared" si="26"/>
        <v>14.5</v>
      </c>
      <c r="D252" s="77">
        <f t="shared" si="27"/>
        <v>64</v>
      </c>
      <c r="E252" s="77">
        <f t="shared" si="24"/>
        <v>60</v>
      </c>
      <c r="F252" s="88"/>
    </row>
    <row r="253" spans="1:6">
      <c r="A253" s="81">
        <v>64.25</v>
      </c>
      <c r="B253" s="75"/>
      <c r="C253" s="85">
        <f t="shared" si="26"/>
        <v>14.5625</v>
      </c>
      <c r="D253" s="77">
        <f t="shared" si="27"/>
        <v>64.25</v>
      </c>
      <c r="E253" s="77">
        <f t="shared" si="24"/>
        <v>60.25</v>
      </c>
      <c r="F253" s="88"/>
    </row>
    <row r="254" spans="1:6">
      <c r="A254" s="81">
        <v>64.5</v>
      </c>
      <c r="B254" s="75"/>
      <c r="C254" s="85">
        <f t="shared" si="26"/>
        <v>14.625</v>
      </c>
      <c r="D254" s="77">
        <f t="shared" si="27"/>
        <v>64.5</v>
      </c>
      <c r="E254" s="77">
        <f t="shared" si="24"/>
        <v>60.5</v>
      </c>
      <c r="F254" s="88"/>
    </row>
    <row r="255" spans="1:6">
      <c r="A255" s="81">
        <v>64.75</v>
      </c>
      <c r="B255" s="75"/>
      <c r="C255" s="85">
        <f t="shared" si="26"/>
        <v>14.6875</v>
      </c>
      <c r="D255" s="77">
        <f t="shared" si="27"/>
        <v>64.75</v>
      </c>
      <c r="E255" s="77">
        <f t="shared" si="24"/>
        <v>60.75</v>
      </c>
      <c r="F255" s="88"/>
    </row>
    <row r="256" spans="1:6">
      <c r="A256" s="81">
        <v>65</v>
      </c>
      <c r="B256" s="75"/>
      <c r="C256" s="85">
        <f t="shared" si="26"/>
        <v>14.75</v>
      </c>
      <c r="D256" s="77">
        <f t="shared" si="27"/>
        <v>65</v>
      </c>
      <c r="E256" s="77">
        <f t="shared" si="24"/>
        <v>61</v>
      </c>
      <c r="F256" s="88"/>
    </row>
    <row r="257" spans="1:6">
      <c r="A257" s="81">
        <v>65.25</v>
      </c>
      <c r="B257" s="75"/>
      <c r="C257" s="85">
        <f t="shared" si="26"/>
        <v>14.8125</v>
      </c>
      <c r="D257" s="77">
        <f t="shared" si="27"/>
        <v>65.25</v>
      </c>
      <c r="E257" s="77">
        <f t="shared" si="24"/>
        <v>61.25</v>
      </c>
      <c r="F257" s="88"/>
    </row>
    <row r="258" spans="1:6">
      <c r="A258" s="81">
        <v>65.5</v>
      </c>
      <c r="B258" s="75"/>
      <c r="C258" s="85">
        <f t="shared" si="26"/>
        <v>14.875</v>
      </c>
      <c r="D258" s="77">
        <f t="shared" si="27"/>
        <v>65.5</v>
      </c>
      <c r="E258" s="77">
        <f t="shared" si="24"/>
        <v>61.5</v>
      </c>
      <c r="F258" s="88"/>
    </row>
    <row r="259" spans="1:6">
      <c r="A259" s="81">
        <v>65.75</v>
      </c>
      <c r="B259" s="75"/>
      <c r="C259" s="85">
        <f t="shared" si="26"/>
        <v>14.9375</v>
      </c>
      <c r="D259" s="77">
        <f t="shared" si="27"/>
        <v>65.75</v>
      </c>
      <c r="E259" s="77">
        <f t="shared" si="24"/>
        <v>61.75</v>
      </c>
      <c r="F259" s="88"/>
    </row>
    <row r="260" spans="1:6">
      <c r="A260" s="81">
        <v>66</v>
      </c>
      <c r="B260" s="75"/>
      <c r="C260" s="85">
        <f t="shared" si="26"/>
        <v>15</v>
      </c>
      <c r="D260" s="77">
        <f t="shared" si="27"/>
        <v>66</v>
      </c>
      <c r="E260" s="77">
        <f t="shared" si="24"/>
        <v>62</v>
      </c>
      <c r="F260" s="88"/>
    </row>
    <row r="261" spans="1:6">
      <c r="A261" s="81">
        <v>66.25</v>
      </c>
      <c r="B261" s="75"/>
      <c r="C261" s="85">
        <f t="shared" si="26"/>
        <v>15.0625</v>
      </c>
      <c r="D261" s="77">
        <f t="shared" si="27"/>
        <v>66.25</v>
      </c>
      <c r="E261" s="77">
        <f t="shared" si="24"/>
        <v>62.25</v>
      </c>
      <c r="F261" s="88"/>
    </row>
    <row r="262" spans="1:6">
      <c r="A262" s="81">
        <v>66.5</v>
      </c>
      <c r="B262" s="75"/>
      <c r="C262" s="85">
        <f t="shared" si="26"/>
        <v>15.125</v>
      </c>
      <c r="D262" s="77">
        <f t="shared" si="27"/>
        <v>66.5</v>
      </c>
      <c r="E262" s="77">
        <f t="shared" si="24"/>
        <v>62.5</v>
      </c>
      <c r="F262" s="88"/>
    </row>
    <row r="263" spans="1:6">
      <c r="A263" s="81">
        <v>66.75</v>
      </c>
      <c r="B263" s="75"/>
      <c r="C263" s="85">
        <f t="shared" si="26"/>
        <v>15.1875</v>
      </c>
      <c r="D263" s="77">
        <f t="shared" si="27"/>
        <v>66.75</v>
      </c>
      <c r="E263" s="77">
        <f t="shared" si="24"/>
        <v>62.75</v>
      </c>
      <c r="F263" s="88"/>
    </row>
    <row r="264" spans="1:6">
      <c r="A264" s="81">
        <v>67</v>
      </c>
      <c r="B264" s="75"/>
      <c r="C264" s="85">
        <f t="shared" si="26"/>
        <v>15.25</v>
      </c>
      <c r="D264" s="77">
        <f t="shared" si="27"/>
        <v>67</v>
      </c>
      <c r="E264" s="77">
        <f t="shared" ref="E264:E327" si="28">A264-4</f>
        <v>63</v>
      </c>
      <c r="F264" s="88"/>
    </row>
    <row r="265" spans="1:6">
      <c r="A265" s="81">
        <v>67.25</v>
      </c>
      <c r="B265" s="75"/>
      <c r="C265" s="85">
        <f t="shared" si="26"/>
        <v>15.3125</v>
      </c>
      <c r="D265" s="77">
        <f t="shared" si="27"/>
        <v>67.25</v>
      </c>
      <c r="E265" s="77">
        <f t="shared" si="28"/>
        <v>63.25</v>
      </c>
      <c r="F265" s="88"/>
    </row>
    <row r="266" spans="1:6">
      <c r="A266" s="81">
        <v>67.5</v>
      </c>
      <c r="B266" s="75"/>
      <c r="C266" s="85">
        <f t="shared" si="26"/>
        <v>15.375</v>
      </c>
      <c r="D266" s="77">
        <f t="shared" si="27"/>
        <v>67.5</v>
      </c>
      <c r="E266" s="77">
        <f t="shared" si="28"/>
        <v>63.5</v>
      </c>
      <c r="F266" s="88"/>
    </row>
    <row r="267" spans="1:6">
      <c r="A267" s="81">
        <v>67.75</v>
      </c>
      <c r="B267" s="75"/>
      <c r="C267" s="85">
        <f t="shared" si="26"/>
        <v>15.4375</v>
      </c>
      <c r="D267" s="77">
        <f t="shared" si="27"/>
        <v>67.75</v>
      </c>
      <c r="E267" s="77">
        <f t="shared" si="28"/>
        <v>63.75</v>
      </c>
      <c r="F267" s="88"/>
    </row>
    <row r="268" spans="1:6">
      <c r="A268" s="81">
        <v>68</v>
      </c>
      <c r="B268" s="75"/>
      <c r="C268" s="85">
        <f t="shared" si="26"/>
        <v>15.5</v>
      </c>
      <c r="D268" s="77">
        <f t="shared" si="27"/>
        <v>68</v>
      </c>
      <c r="E268" s="77">
        <f t="shared" si="28"/>
        <v>64</v>
      </c>
      <c r="F268" s="88"/>
    </row>
    <row r="269" spans="1:6">
      <c r="A269" s="81">
        <v>68.25</v>
      </c>
      <c r="B269" s="75"/>
      <c r="C269" s="85">
        <f t="shared" si="26"/>
        <v>15.5625</v>
      </c>
      <c r="D269" s="77">
        <f t="shared" si="27"/>
        <v>68.25</v>
      </c>
      <c r="E269" s="77">
        <f t="shared" si="28"/>
        <v>64.25</v>
      </c>
      <c r="F269" s="88"/>
    </row>
    <row r="270" spans="1:6">
      <c r="A270" s="81">
        <v>68.5</v>
      </c>
      <c r="B270" s="75"/>
      <c r="C270" s="85">
        <f t="shared" si="26"/>
        <v>15.625</v>
      </c>
      <c r="D270" s="77">
        <f t="shared" si="27"/>
        <v>68.5</v>
      </c>
      <c r="E270" s="77">
        <f t="shared" si="28"/>
        <v>64.5</v>
      </c>
      <c r="F270" s="88"/>
    </row>
    <row r="271" spans="1:6">
      <c r="A271" s="81">
        <v>68.75</v>
      </c>
      <c r="B271" s="75"/>
      <c r="C271" s="85">
        <f t="shared" si="26"/>
        <v>15.6875</v>
      </c>
      <c r="D271" s="77">
        <f t="shared" si="27"/>
        <v>68.75</v>
      </c>
      <c r="E271" s="77">
        <f t="shared" si="28"/>
        <v>64.75</v>
      </c>
      <c r="F271" s="88"/>
    </row>
    <row r="272" spans="1:6">
      <c r="A272" s="81">
        <v>69</v>
      </c>
      <c r="B272" s="75"/>
      <c r="C272" s="85">
        <f t="shared" si="26"/>
        <v>15.75</v>
      </c>
      <c r="D272" s="77">
        <f t="shared" si="27"/>
        <v>69</v>
      </c>
      <c r="E272" s="77">
        <f t="shared" si="28"/>
        <v>65</v>
      </c>
      <c r="F272" s="88"/>
    </row>
    <row r="273" spans="1:6">
      <c r="A273" s="81">
        <v>69.25</v>
      </c>
      <c r="B273" s="75"/>
      <c r="C273" s="85">
        <f t="shared" si="26"/>
        <v>15.8125</v>
      </c>
      <c r="D273" s="77">
        <f t="shared" si="27"/>
        <v>69.25</v>
      </c>
      <c r="E273" s="77">
        <f t="shared" si="28"/>
        <v>65.25</v>
      </c>
      <c r="F273" s="88"/>
    </row>
    <row r="274" spans="1:6">
      <c r="A274" s="81">
        <v>69.5</v>
      </c>
      <c r="B274" s="75"/>
      <c r="C274" s="85">
        <f t="shared" si="26"/>
        <v>15.875</v>
      </c>
      <c r="D274" s="77">
        <f t="shared" si="27"/>
        <v>69.5</v>
      </c>
      <c r="E274" s="77">
        <f t="shared" si="28"/>
        <v>65.5</v>
      </c>
      <c r="F274" s="88"/>
    </row>
    <row r="275" spans="1:6">
      <c r="A275" s="81">
        <v>69.75</v>
      </c>
      <c r="B275" s="75"/>
      <c r="C275" s="85">
        <f t="shared" si="26"/>
        <v>15.9375</v>
      </c>
      <c r="D275" s="77">
        <f t="shared" si="27"/>
        <v>69.75</v>
      </c>
      <c r="E275" s="77">
        <f t="shared" si="28"/>
        <v>65.75</v>
      </c>
      <c r="F275" s="88"/>
    </row>
    <row r="276" spans="1:6">
      <c r="A276" s="81">
        <v>70</v>
      </c>
      <c r="B276" s="75"/>
      <c r="C276" s="85">
        <f t="shared" si="26"/>
        <v>16</v>
      </c>
      <c r="D276" s="77">
        <f t="shared" si="27"/>
        <v>70</v>
      </c>
      <c r="E276" s="77">
        <f t="shared" si="28"/>
        <v>66</v>
      </c>
      <c r="F276" s="88"/>
    </row>
    <row r="277" spans="1:6">
      <c r="A277" s="81">
        <v>70.25</v>
      </c>
      <c r="B277" s="75"/>
      <c r="C277" s="85">
        <f t="shared" si="26"/>
        <v>16.0625</v>
      </c>
      <c r="D277" s="77">
        <f t="shared" si="27"/>
        <v>70.25</v>
      </c>
      <c r="E277" s="77">
        <f t="shared" si="28"/>
        <v>66.25</v>
      </c>
      <c r="F277" s="88"/>
    </row>
    <row r="278" spans="1:6">
      <c r="A278" s="81">
        <v>70.5</v>
      </c>
      <c r="B278" s="75"/>
      <c r="C278" s="85">
        <f t="shared" si="26"/>
        <v>16.125</v>
      </c>
      <c r="D278" s="77">
        <f t="shared" si="27"/>
        <v>70.5</v>
      </c>
      <c r="E278" s="77">
        <f t="shared" si="28"/>
        <v>66.5</v>
      </c>
      <c r="F278" s="88"/>
    </row>
    <row r="279" spans="1:6">
      <c r="A279" s="81">
        <v>70.75</v>
      </c>
      <c r="B279" s="75"/>
      <c r="C279" s="85">
        <f t="shared" si="26"/>
        <v>16.1875</v>
      </c>
      <c r="D279" s="77">
        <f t="shared" si="27"/>
        <v>70.75</v>
      </c>
      <c r="E279" s="77">
        <f t="shared" si="28"/>
        <v>66.75</v>
      </c>
      <c r="F279" s="88"/>
    </row>
    <row r="280" spans="1:6">
      <c r="A280" s="81">
        <v>71</v>
      </c>
      <c r="B280" s="75"/>
      <c r="C280" s="85">
        <f t="shared" si="26"/>
        <v>16.25</v>
      </c>
      <c r="D280" s="77">
        <f t="shared" si="27"/>
        <v>71</v>
      </c>
      <c r="E280" s="77">
        <f t="shared" si="28"/>
        <v>67</v>
      </c>
      <c r="F280" s="88"/>
    </row>
    <row r="281" spans="1:6">
      <c r="A281" s="81">
        <v>71.25</v>
      </c>
      <c r="B281" s="75"/>
      <c r="C281" s="85">
        <f t="shared" si="26"/>
        <v>16.3125</v>
      </c>
      <c r="D281" s="77">
        <f t="shared" si="27"/>
        <v>71.25</v>
      </c>
      <c r="E281" s="77">
        <f t="shared" si="28"/>
        <v>67.25</v>
      </c>
      <c r="F281" s="88"/>
    </row>
    <row r="282" spans="1:6">
      <c r="A282" s="81">
        <v>71.5</v>
      </c>
      <c r="B282" s="75"/>
      <c r="C282" s="85">
        <f t="shared" si="26"/>
        <v>16.375</v>
      </c>
      <c r="D282" s="77">
        <f t="shared" si="27"/>
        <v>71.5</v>
      </c>
      <c r="E282" s="77">
        <f t="shared" si="28"/>
        <v>67.5</v>
      </c>
      <c r="F282" s="88"/>
    </row>
    <row r="283" spans="1:6">
      <c r="A283" s="81">
        <v>71.75</v>
      </c>
      <c r="B283" s="75"/>
      <c r="C283" s="85">
        <f t="shared" si="26"/>
        <v>16.4375</v>
      </c>
      <c r="D283" s="77">
        <f t="shared" si="27"/>
        <v>71.75</v>
      </c>
      <c r="E283" s="77">
        <f t="shared" si="28"/>
        <v>67.75</v>
      </c>
      <c r="F283" s="88"/>
    </row>
    <row r="284" spans="1:6">
      <c r="A284" s="81">
        <v>72</v>
      </c>
      <c r="B284" s="75"/>
      <c r="C284" s="85">
        <f t="shared" si="26"/>
        <v>16.5</v>
      </c>
      <c r="D284" s="77">
        <f t="shared" si="27"/>
        <v>72</v>
      </c>
      <c r="E284" s="77">
        <f t="shared" si="28"/>
        <v>68</v>
      </c>
      <c r="F284" s="88"/>
    </row>
    <row r="285" spans="1:6">
      <c r="A285" s="81">
        <v>72.25</v>
      </c>
      <c r="B285" s="75"/>
      <c r="C285" s="85">
        <f t="shared" si="26"/>
        <v>16.5625</v>
      </c>
      <c r="D285" s="77">
        <f t="shared" si="27"/>
        <v>72.25</v>
      </c>
      <c r="E285" s="77">
        <f t="shared" si="28"/>
        <v>68.25</v>
      </c>
      <c r="F285" s="88"/>
    </row>
    <row r="286" spans="1:6">
      <c r="A286" s="81">
        <v>72.5</v>
      </c>
      <c r="B286" s="75"/>
      <c r="C286" s="85">
        <f t="shared" si="26"/>
        <v>16.625</v>
      </c>
      <c r="D286" s="77">
        <f t="shared" si="27"/>
        <v>72.5</v>
      </c>
      <c r="E286" s="77">
        <f t="shared" si="28"/>
        <v>68.5</v>
      </c>
      <c r="F286" s="88"/>
    </row>
    <row r="287" spans="1:6">
      <c r="A287" s="81">
        <v>72.75</v>
      </c>
      <c r="B287" s="75"/>
      <c r="C287" s="85">
        <f t="shared" si="26"/>
        <v>16.6875</v>
      </c>
      <c r="D287" s="77">
        <f t="shared" si="27"/>
        <v>72.75</v>
      </c>
      <c r="E287" s="77">
        <f t="shared" si="28"/>
        <v>68.75</v>
      </c>
      <c r="F287" s="88"/>
    </row>
    <row r="288" spans="1:6">
      <c r="A288" s="81">
        <v>73</v>
      </c>
      <c r="B288" s="75"/>
      <c r="C288" s="85">
        <f t="shared" si="26"/>
        <v>16.75</v>
      </c>
      <c r="D288" s="77">
        <f t="shared" si="27"/>
        <v>73</v>
      </c>
      <c r="E288" s="77">
        <f t="shared" si="28"/>
        <v>69</v>
      </c>
      <c r="F288" s="88"/>
    </row>
    <row r="289" spans="1:6">
      <c r="A289" s="81">
        <v>73.25</v>
      </c>
      <c r="B289" s="75"/>
      <c r="C289" s="85">
        <f t="shared" si="26"/>
        <v>16.8125</v>
      </c>
      <c r="D289" s="77">
        <f t="shared" si="27"/>
        <v>73.25</v>
      </c>
      <c r="E289" s="77">
        <f t="shared" si="28"/>
        <v>69.25</v>
      </c>
      <c r="F289" s="88"/>
    </row>
    <row r="290" spans="1:6">
      <c r="A290" s="81">
        <v>73.5</v>
      </c>
      <c r="B290" s="75"/>
      <c r="C290" s="85">
        <f t="shared" ref="C290:C300" si="29">(A290-6)/4</f>
        <v>16.875</v>
      </c>
      <c r="D290" s="77">
        <f t="shared" si="27"/>
        <v>73.5</v>
      </c>
      <c r="E290" s="77">
        <f t="shared" si="28"/>
        <v>69.5</v>
      </c>
      <c r="F290" s="88"/>
    </row>
    <row r="291" spans="1:6">
      <c r="A291" s="81">
        <v>73.75</v>
      </c>
      <c r="B291" s="75"/>
      <c r="C291" s="85">
        <f t="shared" si="29"/>
        <v>16.9375</v>
      </c>
      <c r="D291" s="77">
        <f t="shared" si="27"/>
        <v>73.75</v>
      </c>
      <c r="E291" s="77">
        <f t="shared" si="28"/>
        <v>69.75</v>
      </c>
      <c r="F291" s="88"/>
    </row>
    <row r="292" spans="1:6">
      <c r="A292" s="81">
        <v>74</v>
      </c>
      <c r="B292" s="75"/>
      <c r="C292" s="85">
        <f t="shared" si="29"/>
        <v>17</v>
      </c>
      <c r="D292" s="77">
        <f t="shared" si="27"/>
        <v>74</v>
      </c>
      <c r="E292" s="77">
        <f t="shared" si="28"/>
        <v>70</v>
      </c>
      <c r="F292" s="88"/>
    </row>
    <row r="293" spans="1:6">
      <c r="A293" s="81">
        <v>74.25</v>
      </c>
      <c r="B293" s="75"/>
      <c r="C293" s="85">
        <f t="shared" si="29"/>
        <v>17.0625</v>
      </c>
      <c r="D293" s="77">
        <f t="shared" ref="D293:D356" si="30">A293</f>
        <v>74.25</v>
      </c>
      <c r="E293" s="77">
        <f t="shared" si="28"/>
        <v>70.25</v>
      </c>
      <c r="F293" s="88"/>
    </row>
    <row r="294" spans="1:6">
      <c r="A294" s="81">
        <v>74.5</v>
      </c>
      <c r="B294" s="75"/>
      <c r="C294" s="85">
        <f t="shared" si="29"/>
        <v>17.125</v>
      </c>
      <c r="D294" s="77">
        <f t="shared" si="30"/>
        <v>74.5</v>
      </c>
      <c r="E294" s="77">
        <f t="shared" si="28"/>
        <v>70.5</v>
      </c>
      <c r="F294" s="88"/>
    </row>
    <row r="295" spans="1:6">
      <c r="A295" s="81">
        <v>74.75</v>
      </c>
      <c r="B295" s="75"/>
      <c r="C295" s="85">
        <f t="shared" si="29"/>
        <v>17.1875</v>
      </c>
      <c r="D295" s="77">
        <f t="shared" si="30"/>
        <v>74.75</v>
      </c>
      <c r="E295" s="77">
        <f t="shared" si="28"/>
        <v>70.75</v>
      </c>
      <c r="F295" s="88"/>
    </row>
    <row r="296" spans="1:6">
      <c r="A296" s="81">
        <v>75</v>
      </c>
      <c r="B296" s="75"/>
      <c r="C296" s="85">
        <f t="shared" si="29"/>
        <v>17.25</v>
      </c>
      <c r="D296" s="77">
        <f t="shared" si="30"/>
        <v>75</v>
      </c>
      <c r="E296" s="77">
        <f t="shared" si="28"/>
        <v>71</v>
      </c>
      <c r="F296" s="88"/>
    </row>
    <row r="297" spans="1:6">
      <c r="A297" s="81">
        <v>75.25</v>
      </c>
      <c r="B297" s="75"/>
      <c r="C297" s="85">
        <f t="shared" si="29"/>
        <v>17.3125</v>
      </c>
      <c r="D297" s="77">
        <f t="shared" si="30"/>
        <v>75.25</v>
      </c>
      <c r="E297" s="77">
        <f t="shared" si="28"/>
        <v>71.25</v>
      </c>
      <c r="F297" s="88"/>
    </row>
    <row r="298" spans="1:6">
      <c r="A298" s="81">
        <v>75.5</v>
      </c>
      <c r="B298" s="75"/>
      <c r="C298" s="85">
        <f t="shared" si="29"/>
        <v>17.375</v>
      </c>
      <c r="D298" s="77">
        <f t="shared" si="30"/>
        <v>75.5</v>
      </c>
      <c r="E298" s="77">
        <f t="shared" si="28"/>
        <v>71.5</v>
      </c>
      <c r="F298" s="88"/>
    </row>
    <row r="299" spans="1:6">
      <c r="A299" s="81">
        <v>75.75</v>
      </c>
      <c r="B299" s="75"/>
      <c r="C299" s="85">
        <f t="shared" si="29"/>
        <v>17.4375</v>
      </c>
      <c r="D299" s="77">
        <f t="shared" si="30"/>
        <v>75.75</v>
      </c>
      <c r="E299" s="77">
        <f t="shared" si="28"/>
        <v>71.75</v>
      </c>
      <c r="F299" s="88"/>
    </row>
    <row r="300" spans="1:6">
      <c r="A300" s="81">
        <v>76</v>
      </c>
      <c r="B300" s="75"/>
      <c r="C300" s="85">
        <f t="shared" si="29"/>
        <v>17.5</v>
      </c>
      <c r="D300" s="77">
        <f t="shared" si="30"/>
        <v>76</v>
      </c>
      <c r="E300" s="77">
        <f t="shared" si="28"/>
        <v>72</v>
      </c>
      <c r="F300" s="88"/>
    </row>
    <row r="301" spans="1:6">
      <c r="A301" s="81"/>
      <c r="B301" s="75"/>
      <c r="C301" s="80" t="s">
        <v>1043</v>
      </c>
      <c r="D301" s="77"/>
      <c r="E301" s="77"/>
      <c r="F301" s="88"/>
    </row>
    <row r="302" spans="1:6">
      <c r="A302" s="81">
        <v>76.25</v>
      </c>
      <c r="B302" s="75"/>
      <c r="C302" s="77">
        <f>(A302-7)/5</f>
        <v>13.85</v>
      </c>
      <c r="D302" s="77">
        <f t="shared" si="30"/>
        <v>76.25</v>
      </c>
      <c r="E302" s="77">
        <f t="shared" si="28"/>
        <v>72.25</v>
      </c>
      <c r="F302" s="88"/>
    </row>
    <row r="303" spans="1:6">
      <c r="A303" s="81">
        <v>76.5</v>
      </c>
      <c r="B303" s="75"/>
      <c r="C303" s="77">
        <f t="shared" ref="C303:C366" si="31">(A303-7)/5</f>
        <v>13.9</v>
      </c>
      <c r="D303" s="77">
        <f t="shared" si="30"/>
        <v>76.5</v>
      </c>
      <c r="E303" s="77">
        <f t="shared" si="28"/>
        <v>72.5</v>
      </c>
      <c r="F303" s="88"/>
    </row>
    <row r="304" spans="1:6">
      <c r="A304" s="81">
        <v>76.75</v>
      </c>
      <c r="B304" s="75"/>
      <c r="C304" s="77">
        <f t="shared" si="31"/>
        <v>13.95</v>
      </c>
      <c r="D304" s="77">
        <f t="shared" si="30"/>
        <v>76.75</v>
      </c>
      <c r="E304" s="77">
        <f t="shared" si="28"/>
        <v>72.75</v>
      </c>
      <c r="F304" s="88"/>
    </row>
    <row r="305" spans="1:6">
      <c r="A305" s="81">
        <v>77</v>
      </c>
      <c r="B305" s="75"/>
      <c r="C305" s="77">
        <f t="shared" si="31"/>
        <v>14</v>
      </c>
      <c r="D305" s="77">
        <f t="shared" si="30"/>
        <v>77</v>
      </c>
      <c r="E305" s="77">
        <f t="shared" si="28"/>
        <v>73</v>
      </c>
      <c r="F305" s="88"/>
    </row>
    <row r="306" spans="1:6">
      <c r="A306" s="81">
        <v>77.25</v>
      </c>
      <c r="B306" s="75"/>
      <c r="C306" s="77">
        <f t="shared" si="31"/>
        <v>14.05</v>
      </c>
      <c r="D306" s="77">
        <f t="shared" si="30"/>
        <v>77.25</v>
      </c>
      <c r="E306" s="77">
        <f t="shared" si="28"/>
        <v>73.25</v>
      </c>
      <c r="F306" s="88"/>
    </row>
    <row r="307" spans="1:6">
      <c r="A307" s="81">
        <v>77.5</v>
      </c>
      <c r="B307" s="75"/>
      <c r="C307" s="77">
        <f t="shared" si="31"/>
        <v>14.1</v>
      </c>
      <c r="D307" s="77">
        <f t="shared" si="30"/>
        <v>77.5</v>
      </c>
      <c r="E307" s="77">
        <f t="shared" si="28"/>
        <v>73.5</v>
      </c>
      <c r="F307" s="88"/>
    </row>
    <row r="308" spans="1:6">
      <c r="A308" s="81">
        <v>77.75</v>
      </c>
      <c r="B308" s="75"/>
      <c r="C308" s="77">
        <f t="shared" si="31"/>
        <v>14.15</v>
      </c>
      <c r="D308" s="77">
        <f t="shared" si="30"/>
        <v>77.75</v>
      </c>
      <c r="E308" s="77">
        <f t="shared" si="28"/>
        <v>73.75</v>
      </c>
      <c r="F308" s="88"/>
    </row>
    <row r="309" spans="1:6">
      <c r="A309" s="81">
        <v>78</v>
      </c>
      <c r="B309" s="75"/>
      <c r="C309" s="77">
        <f t="shared" si="31"/>
        <v>14.2</v>
      </c>
      <c r="D309" s="77">
        <f t="shared" si="30"/>
        <v>78</v>
      </c>
      <c r="E309" s="77">
        <f t="shared" si="28"/>
        <v>74</v>
      </c>
      <c r="F309" s="88"/>
    </row>
    <row r="310" spans="1:6">
      <c r="A310" s="81">
        <v>78.25</v>
      </c>
      <c r="B310" s="75"/>
      <c r="C310" s="77">
        <f t="shared" si="31"/>
        <v>14.25</v>
      </c>
      <c r="D310" s="77">
        <f t="shared" si="30"/>
        <v>78.25</v>
      </c>
      <c r="E310" s="77">
        <f t="shared" si="28"/>
        <v>74.25</v>
      </c>
      <c r="F310" s="88"/>
    </row>
    <row r="311" spans="1:6">
      <c r="A311" s="81">
        <v>78.5</v>
      </c>
      <c r="B311" s="75"/>
      <c r="C311" s="77">
        <f t="shared" si="31"/>
        <v>14.3</v>
      </c>
      <c r="D311" s="77">
        <f t="shared" si="30"/>
        <v>78.5</v>
      </c>
      <c r="E311" s="77">
        <f t="shared" si="28"/>
        <v>74.5</v>
      </c>
      <c r="F311" s="88"/>
    </row>
    <row r="312" spans="1:6">
      <c r="A312" s="81">
        <v>78.75</v>
      </c>
      <c r="B312" s="75"/>
      <c r="C312" s="77">
        <f t="shared" si="31"/>
        <v>14.35</v>
      </c>
      <c r="D312" s="77">
        <f t="shared" si="30"/>
        <v>78.75</v>
      </c>
      <c r="E312" s="77">
        <f t="shared" si="28"/>
        <v>74.75</v>
      </c>
      <c r="F312" s="88"/>
    </row>
    <row r="313" spans="1:6">
      <c r="A313" s="81">
        <v>79</v>
      </c>
      <c r="B313" s="75"/>
      <c r="C313" s="77">
        <f t="shared" si="31"/>
        <v>14.4</v>
      </c>
      <c r="D313" s="77">
        <f t="shared" si="30"/>
        <v>79</v>
      </c>
      <c r="E313" s="77">
        <f t="shared" si="28"/>
        <v>75</v>
      </c>
      <c r="F313" s="88"/>
    </row>
    <row r="314" spans="1:6">
      <c r="A314" s="81">
        <v>79.25</v>
      </c>
      <c r="B314" s="75"/>
      <c r="C314" s="77">
        <f t="shared" si="31"/>
        <v>14.45</v>
      </c>
      <c r="D314" s="77">
        <f t="shared" si="30"/>
        <v>79.25</v>
      </c>
      <c r="E314" s="77">
        <f t="shared" si="28"/>
        <v>75.25</v>
      </c>
      <c r="F314" s="88"/>
    </row>
    <row r="315" spans="1:6">
      <c r="A315" s="81">
        <v>79.5</v>
      </c>
      <c r="B315" s="75"/>
      <c r="C315" s="77">
        <f t="shared" si="31"/>
        <v>14.5</v>
      </c>
      <c r="D315" s="77">
        <f t="shared" si="30"/>
        <v>79.5</v>
      </c>
      <c r="E315" s="77">
        <f t="shared" si="28"/>
        <v>75.5</v>
      </c>
      <c r="F315" s="88"/>
    </row>
    <row r="316" spans="1:6">
      <c r="A316" s="81">
        <v>79.75</v>
      </c>
      <c r="B316" s="75"/>
      <c r="C316" s="77">
        <f t="shared" si="31"/>
        <v>14.55</v>
      </c>
      <c r="D316" s="77">
        <f t="shared" si="30"/>
        <v>79.75</v>
      </c>
      <c r="E316" s="77">
        <f t="shared" si="28"/>
        <v>75.75</v>
      </c>
      <c r="F316" s="88"/>
    </row>
    <row r="317" spans="1:6">
      <c r="A317" s="81">
        <v>80</v>
      </c>
      <c r="B317" s="75"/>
      <c r="C317" s="77">
        <f t="shared" si="31"/>
        <v>14.6</v>
      </c>
      <c r="D317" s="77">
        <f t="shared" si="30"/>
        <v>80</v>
      </c>
      <c r="E317" s="77">
        <f t="shared" si="28"/>
        <v>76</v>
      </c>
      <c r="F317" s="88"/>
    </row>
    <row r="318" spans="1:6">
      <c r="A318" s="81">
        <v>80.25</v>
      </c>
      <c r="B318" s="75"/>
      <c r="C318" s="77">
        <f t="shared" si="31"/>
        <v>14.65</v>
      </c>
      <c r="D318" s="77">
        <f t="shared" si="30"/>
        <v>80.25</v>
      </c>
      <c r="E318" s="77">
        <f t="shared" si="28"/>
        <v>76.25</v>
      </c>
      <c r="F318" s="88"/>
    </row>
    <row r="319" spans="1:6">
      <c r="A319" s="81">
        <v>80.5</v>
      </c>
      <c r="B319" s="75"/>
      <c r="C319" s="77">
        <f t="shared" si="31"/>
        <v>14.7</v>
      </c>
      <c r="D319" s="77">
        <f t="shared" si="30"/>
        <v>80.5</v>
      </c>
      <c r="E319" s="77">
        <f t="shared" si="28"/>
        <v>76.5</v>
      </c>
      <c r="F319" s="88"/>
    </row>
    <row r="320" spans="1:6">
      <c r="A320" s="81">
        <v>80.75</v>
      </c>
      <c r="B320" s="75"/>
      <c r="C320" s="77">
        <f t="shared" si="31"/>
        <v>14.75</v>
      </c>
      <c r="D320" s="77">
        <f t="shared" si="30"/>
        <v>80.75</v>
      </c>
      <c r="E320" s="77">
        <f t="shared" si="28"/>
        <v>76.75</v>
      </c>
      <c r="F320" s="88"/>
    </row>
    <row r="321" spans="1:6">
      <c r="A321" s="81">
        <v>81</v>
      </c>
      <c r="B321" s="75"/>
      <c r="C321" s="77">
        <f t="shared" si="31"/>
        <v>14.8</v>
      </c>
      <c r="D321" s="77">
        <f t="shared" si="30"/>
        <v>81</v>
      </c>
      <c r="E321" s="77">
        <f t="shared" si="28"/>
        <v>77</v>
      </c>
      <c r="F321" s="88"/>
    </row>
    <row r="322" spans="1:6">
      <c r="A322" s="81">
        <v>81.25</v>
      </c>
      <c r="B322" s="75"/>
      <c r="C322" s="77">
        <f t="shared" si="31"/>
        <v>14.85</v>
      </c>
      <c r="D322" s="77">
        <f t="shared" si="30"/>
        <v>81.25</v>
      </c>
      <c r="E322" s="77">
        <f t="shared" si="28"/>
        <v>77.25</v>
      </c>
      <c r="F322" s="88"/>
    </row>
    <row r="323" spans="1:6">
      <c r="A323" s="81">
        <v>81.5</v>
      </c>
      <c r="B323" s="75"/>
      <c r="C323" s="77">
        <f t="shared" si="31"/>
        <v>14.9</v>
      </c>
      <c r="D323" s="77">
        <f t="shared" si="30"/>
        <v>81.5</v>
      </c>
      <c r="E323" s="77">
        <f t="shared" si="28"/>
        <v>77.5</v>
      </c>
      <c r="F323" s="88"/>
    </row>
    <row r="324" spans="1:6">
      <c r="A324" s="81">
        <v>81.75</v>
      </c>
      <c r="B324" s="75"/>
      <c r="C324" s="77">
        <f t="shared" si="31"/>
        <v>14.95</v>
      </c>
      <c r="D324" s="77">
        <f t="shared" si="30"/>
        <v>81.75</v>
      </c>
      <c r="E324" s="77">
        <f t="shared" si="28"/>
        <v>77.75</v>
      </c>
      <c r="F324" s="88"/>
    </row>
    <row r="325" spans="1:6">
      <c r="A325" s="81">
        <v>82</v>
      </c>
      <c r="B325" s="75"/>
      <c r="C325" s="77">
        <f t="shared" si="31"/>
        <v>15</v>
      </c>
      <c r="D325" s="77">
        <f t="shared" si="30"/>
        <v>82</v>
      </c>
      <c r="E325" s="77">
        <f t="shared" si="28"/>
        <v>78</v>
      </c>
      <c r="F325" s="88"/>
    </row>
    <row r="326" spans="1:6">
      <c r="A326" s="81">
        <v>82.25</v>
      </c>
      <c r="B326" s="75"/>
      <c r="C326" s="77">
        <f t="shared" si="31"/>
        <v>15.05</v>
      </c>
      <c r="D326" s="77">
        <f t="shared" si="30"/>
        <v>82.25</v>
      </c>
      <c r="E326" s="77">
        <f t="shared" si="28"/>
        <v>78.25</v>
      </c>
      <c r="F326" s="88"/>
    </row>
    <row r="327" spans="1:6">
      <c r="A327" s="81">
        <v>82.5</v>
      </c>
      <c r="B327" s="75"/>
      <c r="C327" s="77">
        <f t="shared" si="31"/>
        <v>15.1</v>
      </c>
      <c r="D327" s="77">
        <f t="shared" si="30"/>
        <v>82.5</v>
      </c>
      <c r="E327" s="77">
        <f t="shared" si="28"/>
        <v>78.5</v>
      </c>
      <c r="F327" s="88"/>
    </row>
    <row r="328" spans="1:6">
      <c r="A328" s="81">
        <v>82.75</v>
      </c>
      <c r="B328" s="75"/>
      <c r="C328" s="77">
        <f t="shared" si="31"/>
        <v>15.15</v>
      </c>
      <c r="D328" s="77">
        <f t="shared" si="30"/>
        <v>82.75</v>
      </c>
      <c r="E328" s="77">
        <f t="shared" ref="E328:E381" si="32">A328-4</f>
        <v>78.75</v>
      </c>
      <c r="F328" s="88"/>
    </row>
    <row r="329" spans="1:6">
      <c r="A329" s="81">
        <v>83</v>
      </c>
      <c r="B329" s="75"/>
      <c r="C329" s="77">
        <f t="shared" si="31"/>
        <v>15.2</v>
      </c>
      <c r="D329" s="77">
        <f t="shared" si="30"/>
        <v>83</v>
      </c>
      <c r="E329" s="77">
        <f t="shared" si="32"/>
        <v>79</v>
      </c>
      <c r="F329" s="88"/>
    </row>
    <row r="330" spans="1:6">
      <c r="A330" s="81">
        <v>83.25</v>
      </c>
      <c r="B330" s="75"/>
      <c r="C330" s="77">
        <f t="shared" si="31"/>
        <v>15.25</v>
      </c>
      <c r="D330" s="77">
        <f t="shared" si="30"/>
        <v>83.25</v>
      </c>
      <c r="E330" s="77">
        <f t="shared" si="32"/>
        <v>79.25</v>
      </c>
      <c r="F330" s="88"/>
    </row>
    <row r="331" spans="1:6">
      <c r="A331" s="81">
        <v>83.5</v>
      </c>
      <c r="B331" s="75"/>
      <c r="C331" s="77">
        <f t="shared" si="31"/>
        <v>15.3</v>
      </c>
      <c r="D331" s="77">
        <f t="shared" si="30"/>
        <v>83.5</v>
      </c>
      <c r="E331" s="77">
        <f t="shared" si="32"/>
        <v>79.5</v>
      </c>
      <c r="F331" s="88"/>
    </row>
    <row r="332" spans="1:6">
      <c r="A332" s="81">
        <v>83.75</v>
      </c>
      <c r="B332" s="75"/>
      <c r="C332" s="77">
        <f t="shared" si="31"/>
        <v>15.35</v>
      </c>
      <c r="D332" s="77">
        <f t="shared" si="30"/>
        <v>83.75</v>
      </c>
      <c r="E332" s="77">
        <f t="shared" si="32"/>
        <v>79.75</v>
      </c>
      <c r="F332" s="88"/>
    </row>
    <row r="333" spans="1:6">
      <c r="A333" s="81">
        <v>84</v>
      </c>
      <c r="B333" s="75"/>
      <c r="C333" s="77">
        <f t="shared" si="31"/>
        <v>15.4</v>
      </c>
      <c r="D333" s="77">
        <f t="shared" si="30"/>
        <v>84</v>
      </c>
      <c r="E333" s="77">
        <f t="shared" si="32"/>
        <v>80</v>
      </c>
      <c r="F333" s="88"/>
    </row>
    <row r="334" spans="1:6">
      <c r="A334" s="81">
        <v>84.25</v>
      </c>
      <c r="B334" s="75"/>
      <c r="C334" s="77">
        <f t="shared" si="31"/>
        <v>15.45</v>
      </c>
      <c r="D334" s="77">
        <f t="shared" si="30"/>
        <v>84.25</v>
      </c>
      <c r="E334" s="77">
        <f t="shared" si="32"/>
        <v>80.25</v>
      </c>
      <c r="F334" s="88"/>
    </row>
    <row r="335" spans="1:6">
      <c r="A335" s="81">
        <v>84.5</v>
      </c>
      <c r="B335" s="75"/>
      <c r="C335" s="77">
        <f t="shared" si="31"/>
        <v>15.5</v>
      </c>
      <c r="D335" s="77">
        <f t="shared" si="30"/>
        <v>84.5</v>
      </c>
      <c r="E335" s="77">
        <f t="shared" si="32"/>
        <v>80.5</v>
      </c>
      <c r="F335" s="88"/>
    </row>
    <row r="336" spans="1:6">
      <c r="A336" s="81">
        <v>84.75</v>
      </c>
      <c r="B336" s="75"/>
      <c r="C336" s="77">
        <f t="shared" si="31"/>
        <v>15.55</v>
      </c>
      <c r="D336" s="77">
        <f t="shared" si="30"/>
        <v>84.75</v>
      </c>
      <c r="E336" s="77">
        <f t="shared" si="32"/>
        <v>80.75</v>
      </c>
      <c r="F336" s="88"/>
    </row>
    <row r="337" spans="1:6">
      <c r="A337" s="81">
        <v>85</v>
      </c>
      <c r="B337" s="75"/>
      <c r="C337" s="77">
        <f t="shared" si="31"/>
        <v>15.6</v>
      </c>
      <c r="D337" s="77">
        <f t="shared" si="30"/>
        <v>85</v>
      </c>
      <c r="E337" s="77">
        <f t="shared" si="32"/>
        <v>81</v>
      </c>
      <c r="F337" s="88"/>
    </row>
    <row r="338" spans="1:6">
      <c r="A338" s="81">
        <v>85.25</v>
      </c>
      <c r="B338" s="75"/>
      <c r="C338" s="77">
        <f t="shared" si="31"/>
        <v>15.65</v>
      </c>
      <c r="D338" s="77">
        <f t="shared" si="30"/>
        <v>85.25</v>
      </c>
      <c r="E338" s="77">
        <f t="shared" si="32"/>
        <v>81.25</v>
      </c>
      <c r="F338" s="88"/>
    </row>
    <row r="339" spans="1:6">
      <c r="A339" s="81">
        <v>85.5</v>
      </c>
      <c r="B339" s="75"/>
      <c r="C339" s="77">
        <f t="shared" si="31"/>
        <v>15.7</v>
      </c>
      <c r="D339" s="77">
        <f t="shared" si="30"/>
        <v>85.5</v>
      </c>
      <c r="E339" s="77">
        <f t="shared" si="32"/>
        <v>81.5</v>
      </c>
      <c r="F339" s="88"/>
    </row>
    <row r="340" spans="1:6">
      <c r="A340" s="81">
        <v>85.75</v>
      </c>
      <c r="B340" s="75"/>
      <c r="C340" s="77">
        <f t="shared" si="31"/>
        <v>15.75</v>
      </c>
      <c r="D340" s="77">
        <f t="shared" si="30"/>
        <v>85.75</v>
      </c>
      <c r="E340" s="77">
        <f t="shared" si="32"/>
        <v>81.75</v>
      </c>
      <c r="F340" s="88"/>
    </row>
    <row r="341" spans="1:6">
      <c r="A341" s="81">
        <v>86</v>
      </c>
      <c r="B341" s="75"/>
      <c r="C341" s="77">
        <f t="shared" si="31"/>
        <v>15.8</v>
      </c>
      <c r="D341" s="77">
        <f t="shared" si="30"/>
        <v>86</v>
      </c>
      <c r="E341" s="77">
        <f t="shared" si="32"/>
        <v>82</v>
      </c>
      <c r="F341" s="88"/>
    </row>
    <row r="342" spans="1:6">
      <c r="A342" s="81">
        <v>86.25</v>
      </c>
      <c r="B342" s="75"/>
      <c r="C342" s="77">
        <f t="shared" si="31"/>
        <v>15.85</v>
      </c>
      <c r="D342" s="77">
        <f t="shared" si="30"/>
        <v>86.25</v>
      </c>
      <c r="E342" s="77">
        <f t="shared" si="32"/>
        <v>82.25</v>
      </c>
      <c r="F342" s="88"/>
    </row>
    <row r="343" spans="1:6">
      <c r="A343" s="81">
        <v>86.5</v>
      </c>
      <c r="B343" s="75"/>
      <c r="C343" s="77">
        <f t="shared" si="31"/>
        <v>15.9</v>
      </c>
      <c r="D343" s="77">
        <f t="shared" si="30"/>
        <v>86.5</v>
      </c>
      <c r="E343" s="77">
        <f t="shared" si="32"/>
        <v>82.5</v>
      </c>
      <c r="F343" s="88"/>
    </row>
    <row r="344" spans="1:6">
      <c r="A344" s="81">
        <v>86.75</v>
      </c>
      <c r="B344" s="75"/>
      <c r="C344" s="77">
        <f t="shared" si="31"/>
        <v>15.95</v>
      </c>
      <c r="D344" s="77">
        <f t="shared" si="30"/>
        <v>86.75</v>
      </c>
      <c r="E344" s="77">
        <f t="shared" si="32"/>
        <v>82.75</v>
      </c>
      <c r="F344" s="88"/>
    </row>
    <row r="345" spans="1:6">
      <c r="A345" s="81">
        <v>87</v>
      </c>
      <c r="B345" s="75"/>
      <c r="C345" s="77">
        <f t="shared" si="31"/>
        <v>16</v>
      </c>
      <c r="D345" s="77">
        <f t="shared" si="30"/>
        <v>87</v>
      </c>
      <c r="E345" s="77">
        <f t="shared" si="32"/>
        <v>83</v>
      </c>
      <c r="F345" s="88"/>
    </row>
    <row r="346" spans="1:6">
      <c r="A346" s="81">
        <v>87.25</v>
      </c>
      <c r="B346" s="75"/>
      <c r="C346" s="77">
        <f t="shared" si="31"/>
        <v>16.05</v>
      </c>
      <c r="D346" s="77">
        <f t="shared" si="30"/>
        <v>87.25</v>
      </c>
      <c r="E346" s="77">
        <f t="shared" si="32"/>
        <v>83.25</v>
      </c>
      <c r="F346" s="88"/>
    </row>
    <row r="347" spans="1:6">
      <c r="A347" s="81">
        <v>87.5</v>
      </c>
      <c r="B347" s="75"/>
      <c r="C347" s="77">
        <f t="shared" si="31"/>
        <v>16.100000000000001</v>
      </c>
      <c r="D347" s="77">
        <f t="shared" si="30"/>
        <v>87.5</v>
      </c>
      <c r="E347" s="77">
        <f t="shared" si="32"/>
        <v>83.5</v>
      </c>
      <c r="F347" s="88"/>
    </row>
    <row r="348" spans="1:6">
      <c r="A348" s="81">
        <v>87.75</v>
      </c>
      <c r="B348" s="75"/>
      <c r="C348" s="77">
        <f t="shared" si="31"/>
        <v>16.149999999999999</v>
      </c>
      <c r="D348" s="77">
        <f t="shared" si="30"/>
        <v>87.75</v>
      </c>
      <c r="E348" s="77">
        <f t="shared" si="32"/>
        <v>83.75</v>
      </c>
      <c r="F348" s="88"/>
    </row>
    <row r="349" spans="1:6">
      <c r="A349" s="81">
        <v>88</v>
      </c>
      <c r="B349" s="75"/>
      <c r="C349" s="77">
        <f t="shared" si="31"/>
        <v>16.2</v>
      </c>
      <c r="D349" s="77">
        <f t="shared" si="30"/>
        <v>88</v>
      </c>
      <c r="E349" s="77">
        <f t="shared" si="32"/>
        <v>84</v>
      </c>
      <c r="F349" s="88"/>
    </row>
    <row r="350" spans="1:6">
      <c r="A350" s="81">
        <v>88.25</v>
      </c>
      <c r="B350" s="75"/>
      <c r="C350" s="77">
        <f t="shared" si="31"/>
        <v>16.25</v>
      </c>
      <c r="D350" s="77">
        <f t="shared" si="30"/>
        <v>88.25</v>
      </c>
      <c r="E350" s="77">
        <f t="shared" si="32"/>
        <v>84.25</v>
      </c>
    </row>
    <row r="351" spans="1:6">
      <c r="A351" s="81">
        <v>88.5</v>
      </c>
      <c r="B351" s="75"/>
      <c r="C351" s="77">
        <f t="shared" si="31"/>
        <v>16.3</v>
      </c>
      <c r="D351" s="77">
        <f t="shared" si="30"/>
        <v>88.5</v>
      </c>
      <c r="E351" s="77">
        <f t="shared" si="32"/>
        <v>84.5</v>
      </c>
    </row>
    <row r="352" spans="1:6">
      <c r="A352" s="81">
        <v>88.75</v>
      </c>
      <c r="B352" s="75"/>
      <c r="C352" s="77">
        <f t="shared" si="31"/>
        <v>16.350000000000001</v>
      </c>
      <c r="D352" s="77">
        <f t="shared" si="30"/>
        <v>88.75</v>
      </c>
      <c r="E352" s="77">
        <f t="shared" si="32"/>
        <v>84.75</v>
      </c>
    </row>
    <row r="353" spans="1:5">
      <c r="A353" s="81">
        <v>89</v>
      </c>
      <c r="B353" s="75"/>
      <c r="C353" s="77">
        <f t="shared" si="31"/>
        <v>16.399999999999999</v>
      </c>
      <c r="D353" s="77">
        <f t="shared" si="30"/>
        <v>89</v>
      </c>
      <c r="E353" s="77">
        <f t="shared" si="32"/>
        <v>85</v>
      </c>
    </row>
    <row r="354" spans="1:5">
      <c r="A354" s="81">
        <v>89.25</v>
      </c>
      <c r="B354" s="75"/>
      <c r="C354" s="77">
        <f t="shared" si="31"/>
        <v>16.45</v>
      </c>
      <c r="D354" s="77">
        <f t="shared" si="30"/>
        <v>89.25</v>
      </c>
      <c r="E354" s="77">
        <f t="shared" si="32"/>
        <v>85.25</v>
      </c>
    </row>
    <row r="355" spans="1:5">
      <c r="A355" s="81">
        <v>89.5</v>
      </c>
      <c r="B355" s="75"/>
      <c r="C355" s="77">
        <f t="shared" si="31"/>
        <v>16.5</v>
      </c>
      <c r="D355" s="77">
        <f t="shared" si="30"/>
        <v>89.5</v>
      </c>
      <c r="E355" s="77">
        <f t="shared" si="32"/>
        <v>85.5</v>
      </c>
    </row>
    <row r="356" spans="1:5">
      <c r="A356" s="81">
        <v>89.75</v>
      </c>
      <c r="B356" s="75"/>
      <c r="C356" s="77">
        <f t="shared" si="31"/>
        <v>16.55</v>
      </c>
      <c r="D356" s="77">
        <f t="shared" si="30"/>
        <v>89.75</v>
      </c>
      <c r="E356" s="77">
        <f t="shared" si="32"/>
        <v>85.75</v>
      </c>
    </row>
    <row r="357" spans="1:5">
      <c r="A357" s="81">
        <v>90</v>
      </c>
      <c r="B357" s="75"/>
      <c r="C357" s="77">
        <f t="shared" si="31"/>
        <v>16.600000000000001</v>
      </c>
      <c r="D357" s="77">
        <f t="shared" ref="D357:D381" si="33">A357</f>
        <v>90</v>
      </c>
      <c r="E357" s="77">
        <f t="shared" si="32"/>
        <v>86</v>
      </c>
    </row>
    <row r="358" spans="1:5">
      <c r="A358" s="81">
        <v>90.25</v>
      </c>
      <c r="B358" s="75"/>
      <c r="C358" s="77">
        <f t="shared" si="31"/>
        <v>16.649999999999999</v>
      </c>
      <c r="D358" s="77">
        <f t="shared" si="33"/>
        <v>90.25</v>
      </c>
      <c r="E358" s="77">
        <f t="shared" si="32"/>
        <v>86.25</v>
      </c>
    </row>
    <row r="359" spans="1:5">
      <c r="A359" s="81">
        <v>90.5</v>
      </c>
      <c r="B359" s="75"/>
      <c r="C359" s="77">
        <f t="shared" si="31"/>
        <v>16.7</v>
      </c>
      <c r="D359" s="77">
        <f t="shared" si="33"/>
        <v>90.5</v>
      </c>
      <c r="E359" s="77">
        <f t="shared" si="32"/>
        <v>86.5</v>
      </c>
    </row>
    <row r="360" spans="1:5">
      <c r="A360" s="81">
        <v>90.75</v>
      </c>
      <c r="B360" s="75"/>
      <c r="C360" s="77">
        <f t="shared" si="31"/>
        <v>16.75</v>
      </c>
      <c r="D360" s="77">
        <f t="shared" si="33"/>
        <v>90.75</v>
      </c>
      <c r="E360" s="77">
        <f t="shared" si="32"/>
        <v>86.75</v>
      </c>
    </row>
    <row r="361" spans="1:5">
      <c r="A361" s="81">
        <v>91</v>
      </c>
      <c r="B361" s="75"/>
      <c r="C361" s="77">
        <f t="shared" si="31"/>
        <v>16.8</v>
      </c>
      <c r="D361" s="77">
        <f t="shared" si="33"/>
        <v>91</v>
      </c>
      <c r="E361" s="77">
        <f t="shared" si="32"/>
        <v>87</v>
      </c>
    </row>
    <row r="362" spans="1:5">
      <c r="A362" s="81">
        <v>91.25</v>
      </c>
      <c r="B362" s="75"/>
      <c r="C362" s="77">
        <f t="shared" si="31"/>
        <v>16.850000000000001</v>
      </c>
      <c r="D362" s="77">
        <f t="shared" si="33"/>
        <v>91.25</v>
      </c>
      <c r="E362" s="77">
        <f t="shared" si="32"/>
        <v>87.25</v>
      </c>
    </row>
    <row r="363" spans="1:5">
      <c r="A363" s="81">
        <v>91.5</v>
      </c>
      <c r="B363" s="75"/>
      <c r="C363" s="77">
        <f t="shared" si="31"/>
        <v>16.899999999999999</v>
      </c>
      <c r="D363" s="77">
        <f t="shared" si="33"/>
        <v>91.5</v>
      </c>
      <c r="E363" s="77">
        <f t="shared" si="32"/>
        <v>87.5</v>
      </c>
    </row>
    <row r="364" spans="1:5">
      <c r="A364" s="81">
        <v>91.75</v>
      </c>
      <c r="B364" s="75"/>
      <c r="C364" s="77">
        <f t="shared" si="31"/>
        <v>16.95</v>
      </c>
      <c r="D364" s="77">
        <f t="shared" si="33"/>
        <v>91.75</v>
      </c>
      <c r="E364" s="77">
        <f t="shared" si="32"/>
        <v>87.75</v>
      </c>
    </row>
    <row r="365" spans="1:5">
      <c r="A365" s="81">
        <v>92</v>
      </c>
      <c r="B365" s="75"/>
      <c r="C365" s="77">
        <f t="shared" si="31"/>
        <v>17</v>
      </c>
      <c r="D365" s="77">
        <f t="shared" si="33"/>
        <v>92</v>
      </c>
      <c r="E365" s="77">
        <f t="shared" si="32"/>
        <v>88</v>
      </c>
    </row>
    <row r="366" spans="1:5">
      <c r="A366" s="81">
        <v>92.25</v>
      </c>
      <c r="B366" s="75"/>
      <c r="C366" s="77">
        <f t="shared" si="31"/>
        <v>17.05</v>
      </c>
      <c r="D366" s="77">
        <f t="shared" si="33"/>
        <v>92.25</v>
      </c>
      <c r="E366" s="77">
        <f t="shared" si="32"/>
        <v>88.25</v>
      </c>
    </row>
    <row r="367" spans="1:5">
      <c r="A367" s="81">
        <v>92.5</v>
      </c>
      <c r="B367" s="75"/>
      <c r="C367" s="77">
        <f t="shared" ref="C367:C381" si="34">(A367-7)/5</f>
        <v>17.100000000000001</v>
      </c>
      <c r="D367" s="77">
        <f t="shared" si="33"/>
        <v>92.5</v>
      </c>
      <c r="E367" s="77">
        <f t="shared" si="32"/>
        <v>88.5</v>
      </c>
    </row>
    <row r="368" spans="1:5">
      <c r="A368" s="81">
        <v>92.75</v>
      </c>
      <c r="B368" s="75"/>
      <c r="C368" s="77">
        <f t="shared" si="34"/>
        <v>17.149999999999999</v>
      </c>
      <c r="D368" s="77">
        <f t="shared" si="33"/>
        <v>92.75</v>
      </c>
      <c r="E368" s="77">
        <f t="shared" si="32"/>
        <v>88.75</v>
      </c>
    </row>
    <row r="369" spans="1:5">
      <c r="A369" s="81">
        <v>93</v>
      </c>
      <c r="B369" s="75"/>
      <c r="C369" s="77">
        <f t="shared" si="34"/>
        <v>17.2</v>
      </c>
      <c r="D369" s="77">
        <f t="shared" si="33"/>
        <v>93</v>
      </c>
      <c r="E369" s="77">
        <f t="shared" si="32"/>
        <v>89</v>
      </c>
    </row>
    <row r="370" spans="1:5">
      <c r="A370" s="81">
        <v>93.25</v>
      </c>
      <c r="B370" s="75"/>
      <c r="C370" s="77">
        <f t="shared" si="34"/>
        <v>17.25</v>
      </c>
      <c r="D370" s="77">
        <f t="shared" si="33"/>
        <v>93.25</v>
      </c>
      <c r="E370" s="77">
        <f t="shared" si="32"/>
        <v>89.25</v>
      </c>
    </row>
    <row r="371" spans="1:5">
      <c r="A371" s="81">
        <v>93.5</v>
      </c>
      <c r="B371" s="75"/>
      <c r="C371" s="77">
        <f t="shared" si="34"/>
        <v>17.3</v>
      </c>
      <c r="D371" s="77">
        <f t="shared" si="33"/>
        <v>93.5</v>
      </c>
      <c r="E371" s="77">
        <f t="shared" si="32"/>
        <v>89.5</v>
      </c>
    </row>
    <row r="372" spans="1:5">
      <c r="A372" s="81">
        <v>93.75</v>
      </c>
      <c r="B372" s="75"/>
      <c r="C372" s="77">
        <f t="shared" si="34"/>
        <v>17.350000000000001</v>
      </c>
      <c r="D372" s="77">
        <f t="shared" si="33"/>
        <v>93.75</v>
      </c>
      <c r="E372" s="77">
        <f t="shared" si="32"/>
        <v>89.75</v>
      </c>
    </row>
    <row r="373" spans="1:5">
      <c r="A373" s="81">
        <v>94</v>
      </c>
      <c r="B373" s="75"/>
      <c r="C373" s="77">
        <f t="shared" si="34"/>
        <v>17.399999999999999</v>
      </c>
      <c r="D373" s="77">
        <f t="shared" si="33"/>
        <v>94</v>
      </c>
      <c r="E373" s="77">
        <f t="shared" si="32"/>
        <v>90</v>
      </c>
    </row>
    <row r="374" spans="1:5">
      <c r="A374" s="81">
        <v>94.25</v>
      </c>
      <c r="B374" s="75"/>
      <c r="C374" s="77">
        <f t="shared" si="34"/>
        <v>17.45</v>
      </c>
      <c r="D374" s="77">
        <f t="shared" si="33"/>
        <v>94.25</v>
      </c>
      <c r="E374" s="77">
        <f t="shared" si="32"/>
        <v>90.25</v>
      </c>
    </row>
    <row r="375" spans="1:5">
      <c r="A375" s="81">
        <v>94.5</v>
      </c>
      <c r="B375" s="75"/>
      <c r="C375" s="77">
        <f t="shared" si="34"/>
        <v>17.5</v>
      </c>
      <c r="D375" s="77">
        <f t="shared" si="33"/>
        <v>94.5</v>
      </c>
      <c r="E375" s="77">
        <f t="shared" si="32"/>
        <v>90.5</v>
      </c>
    </row>
    <row r="376" spans="1:5">
      <c r="A376" s="81">
        <v>94.75</v>
      </c>
      <c r="B376" s="75"/>
      <c r="C376" s="77">
        <f t="shared" si="34"/>
        <v>17.55</v>
      </c>
      <c r="D376" s="77">
        <f t="shared" si="33"/>
        <v>94.75</v>
      </c>
      <c r="E376" s="77">
        <f t="shared" si="32"/>
        <v>90.75</v>
      </c>
    </row>
    <row r="377" spans="1:5">
      <c r="A377" s="81">
        <v>95</v>
      </c>
      <c r="B377" s="75"/>
      <c r="C377" s="77">
        <f t="shared" si="34"/>
        <v>17.600000000000001</v>
      </c>
      <c r="D377" s="77">
        <f t="shared" si="33"/>
        <v>95</v>
      </c>
      <c r="E377" s="77">
        <f t="shared" si="32"/>
        <v>91</v>
      </c>
    </row>
    <row r="378" spans="1:5">
      <c r="A378" s="81">
        <v>95.25</v>
      </c>
      <c r="B378" s="75"/>
      <c r="C378" s="77">
        <f t="shared" si="34"/>
        <v>17.649999999999999</v>
      </c>
      <c r="D378" s="77">
        <f t="shared" si="33"/>
        <v>95.25</v>
      </c>
      <c r="E378" s="77">
        <f t="shared" si="32"/>
        <v>91.25</v>
      </c>
    </row>
    <row r="379" spans="1:5">
      <c r="A379" s="81">
        <v>95.5</v>
      </c>
      <c r="B379" s="75"/>
      <c r="C379" s="77">
        <f t="shared" si="34"/>
        <v>17.7</v>
      </c>
      <c r="D379" s="77">
        <f t="shared" si="33"/>
        <v>95.5</v>
      </c>
      <c r="E379" s="77">
        <f t="shared" si="32"/>
        <v>91.5</v>
      </c>
    </row>
    <row r="380" spans="1:5">
      <c r="A380" s="81">
        <v>95.75</v>
      </c>
      <c r="B380" s="75"/>
      <c r="C380" s="77">
        <f t="shared" si="34"/>
        <v>17.75</v>
      </c>
      <c r="D380" s="77">
        <f t="shared" si="33"/>
        <v>95.75</v>
      </c>
      <c r="E380" s="77">
        <f t="shared" si="32"/>
        <v>91.75</v>
      </c>
    </row>
    <row r="381" spans="1:5">
      <c r="A381" s="81">
        <v>96</v>
      </c>
      <c r="B381" s="75"/>
      <c r="C381" s="77">
        <f t="shared" si="34"/>
        <v>17.8</v>
      </c>
      <c r="D381" s="77">
        <f t="shared" si="33"/>
        <v>96</v>
      </c>
      <c r="E381" s="77">
        <f t="shared" si="32"/>
        <v>92</v>
      </c>
    </row>
  </sheetData>
  <sheetProtection algorithmName="SHA-512" hashValue="AtyB43o2zxaGnggvkGm7ciQKZMgx/cdjw9B4CvrViKK4xXWhBiSxeXpdEa7t8+kzU72s+rj0JNw0soKrO4viyQ==" saltValue="4hoDapyFVsKqCsPktd9aYw==" spinCount="100000" sheet="1" objects="1" scenarios="1"/>
  <mergeCells count="4">
    <mergeCell ref="K29:O29"/>
    <mergeCell ref="A30:D30"/>
    <mergeCell ref="B31:C31"/>
    <mergeCell ref="K32:O32"/>
  </mergeCells>
  <dataValidations count="1">
    <dataValidation type="list" allowBlank="1" showInputMessage="1" showErrorMessage="1" sqref="C20" xr:uid="{39B484F3-45D9-402B-B954-AD451EF6E03A}">
      <formula1>$I$124:$I$125</formula1>
    </dataValidation>
  </dataValidations>
  <pageMargins left="0.7" right="0.7" top="0.75" bottom="0.75" header="0.3" footer="0.3"/>
  <pageSetup scale="64" orientation="landscape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F489-D492-499B-80D2-DA6CFAFEC580}">
  <sheetPr codeName="Sheet13">
    <tabColor rgb="FFFF0000"/>
  </sheetPr>
  <dimension ref="A1:Q47"/>
  <sheetViews>
    <sheetView workbookViewId="0">
      <selection activeCell="E23" sqref="E23"/>
    </sheetView>
  </sheetViews>
  <sheetFormatPr defaultRowHeight="15"/>
  <cols>
    <col min="1" max="1" width="9.140625" style="2"/>
    <col min="2" max="2" width="13.7109375" customWidth="1"/>
    <col min="3" max="3" width="13.85546875" customWidth="1"/>
    <col min="4" max="4" width="12.140625" customWidth="1"/>
    <col min="5" max="5" width="12" customWidth="1"/>
    <col min="6" max="6" width="12.85546875" customWidth="1"/>
    <col min="7" max="7" width="10.85546875" customWidth="1"/>
    <col min="8" max="8" width="11.140625" customWidth="1"/>
    <col min="9" max="9" width="12.85546875" customWidth="1"/>
    <col min="10" max="10" width="9.140625" style="2"/>
    <col min="14" max="14" width="11.42578125" customWidth="1"/>
    <col min="17" max="17" width="10.140625" customWidth="1"/>
  </cols>
  <sheetData>
    <row r="1" spans="1:17">
      <c r="A1" s="303" t="s">
        <v>1044</v>
      </c>
      <c r="B1" s="303"/>
      <c r="C1" s="303"/>
      <c r="D1" s="303"/>
      <c r="E1" s="303"/>
      <c r="F1" s="303"/>
      <c r="G1" s="303"/>
      <c r="H1" s="303"/>
      <c r="I1" s="303"/>
      <c r="J1" s="303"/>
    </row>
    <row r="2" spans="1:17">
      <c r="B2" s="303" t="s">
        <v>393</v>
      </c>
      <c r="C2" s="303"/>
      <c r="D2" s="303"/>
      <c r="E2" s="303"/>
      <c r="F2" s="303"/>
      <c r="G2" s="303"/>
      <c r="H2" s="303"/>
      <c r="I2" s="303"/>
    </row>
    <row r="3" spans="1:17">
      <c r="A3" s="2" t="s">
        <v>438</v>
      </c>
      <c r="B3" s="254">
        <v>12</v>
      </c>
      <c r="C3" s="254">
        <v>24</v>
      </c>
      <c r="D3" s="254">
        <v>36</v>
      </c>
      <c r="E3" s="254">
        <v>48</v>
      </c>
      <c r="F3" s="254">
        <v>60</v>
      </c>
      <c r="G3" s="254">
        <v>72</v>
      </c>
      <c r="H3" s="254">
        <v>84</v>
      </c>
      <c r="I3" s="254">
        <v>96</v>
      </c>
      <c r="J3" s="2" t="s">
        <v>3</v>
      </c>
    </row>
    <row r="4" spans="1:17">
      <c r="A4" s="254">
        <v>10.25</v>
      </c>
      <c r="B4" s="5">
        <f>(((($A$4*2)+($B$3*2))/12*$P$6)+(($J$4*B$3/12)*$P$5)+($A4*$B$3/144*$P$7))*$O$9</f>
        <v>126.30880000000002</v>
      </c>
      <c r="C4" s="5">
        <f>(((($A4*2)+($C$3*2))/12*$P$6)+(($J4*$C$3/12)*$P$5)+($A4*$C$3/144*$P$7))*$O$9</f>
        <v>243.42212000000004</v>
      </c>
      <c r="D4" s="5">
        <f>(((($A4*2)+($D$3*2))/12*$P$6)+(($J4*$D$3/12)*$P$5)+($A4*$D$3/144*$P$7))*$O$9</f>
        <v>360.53543999999999</v>
      </c>
      <c r="E4" s="5">
        <f>(((($A4*2)+($E$3*2))/12*$P$6)+(($J4*$E$3/12)*$P$5)+($A4*$E$3/144*$P$7))*$O$9</f>
        <v>477.64875999999998</v>
      </c>
      <c r="F4" s="5">
        <f>(((($A4*2)+($F$3*2))/12*$P$6)+(($J4*$F$3/12)*$P$5)+($A4*$F$3/144*$P$7))*$O$9</f>
        <v>594.76207999999997</v>
      </c>
      <c r="G4" s="5">
        <f>(((($A4*2)+($G$3*2))/12*$P$6)+(($J4*$G$3/12)*$P$5)+($A4*$G$3/144*$P$7))*$O$9</f>
        <v>711.87540000000001</v>
      </c>
      <c r="H4" s="5">
        <f>(((($A4*2)+($H$3*2))/12*$P$6)+(($J4*$H$3/12)*$P$5)+($A4*$H$3/144*$P$7))*$O$9</f>
        <v>828.98871999999994</v>
      </c>
      <c r="I4" s="5">
        <f>(((($A4*2)+($I$3*2))/12*$P$6)+(($J4*$I$3/12)*$P$5)+($A4*$I$3/144*$P$7))*$O$9</f>
        <v>946.1020400000001</v>
      </c>
      <c r="J4" s="2">
        <v>2</v>
      </c>
      <c r="N4" s="72">
        <v>44630</v>
      </c>
      <c r="O4" t="s">
        <v>616</v>
      </c>
      <c r="P4" t="s">
        <v>1045</v>
      </c>
    </row>
    <row r="5" spans="1:17">
      <c r="A5" s="254">
        <v>14.75</v>
      </c>
      <c r="B5" s="5">
        <f t="shared" ref="B5:B23" si="0">(((($A$4*2)+($B$3*2))/12*$P$6)+(($J$4*B$3/12)*$P$5)+($A5*$B$3/144*$P$7))*$O$9</f>
        <v>166.35880000000003</v>
      </c>
      <c r="C5" s="5">
        <f t="shared" ref="C5:C23" si="1">(((($A5*2)+($C$3*2))/12*$P$6)+(($J5*$C$3/12)*$P$5)+($A5*$C$3/144*$P$7))*$O$9</f>
        <v>342.68204000000003</v>
      </c>
      <c r="D5" s="5">
        <f t="shared" ref="D5:D23" si="2">(((($A5*2)+($D$3*2))/12*$P$6)+(($J5*$D$3/12)*$P$5)+($A5*$D$3/144*$P$7))*$O$9</f>
        <v>507.40680000000003</v>
      </c>
      <c r="E5" s="5">
        <f t="shared" ref="E5:E23" si="3">(((($A5*2)+($E$3*2))/12*$P$6)+(($J5*$E$3/12)*$P$5)+($A5*$E$3/144*$P$7))*$O$9</f>
        <v>672.13155999999992</v>
      </c>
      <c r="F5" s="5">
        <f t="shared" ref="F5:F23" si="4">(((($A5*2)+($F$3*2))/12*$P$6)+(($J5*$F$3/12)*$P$5)+($A5*$F$3/144*$P$7))*$O$9</f>
        <v>836.85631999999998</v>
      </c>
      <c r="G5" s="5">
        <f t="shared" ref="G5:G23" si="5">(((($A5*2)+($G$3*2))/12*$P$6)+(($J5*$G$3/12)*$P$5)+($A5*$G$3/144*$P$7))*$O$9</f>
        <v>1001.58108</v>
      </c>
      <c r="H5" s="5">
        <f t="shared" ref="H5:H23" si="6">(((($A5*2)+($H$3*2))/12*$P$6)+(($J5*$H$3/12)*$P$5)+($A5*$H$3/144*$P$7))*$O$9</f>
        <v>1166.3058400000002</v>
      </c>
      <c r="I5" s="5">
        <f t="shared" ref="I5:I23" si="7">(((($A5*2)+($I$3*2))/12*$P$6)+(($J5*$I$3/12)*$P$5)+($A5*$I$3/144*$P$7))*$O$9</f>
        <v>1331.0306</v>
      </c>
      <c r="J5" s="2">
        <v>3</v>
      </c>
      <c r="N5" s="89" t="s">
        <v>1046</v>
      </c>
      <c r="O5" s="73">
        <v>3.54</v>
      </c>
      <c r="P5" s="73">
        <f>O5*1.2</f>
        <v>4.2480000000000002</v>
      </c>
      <c r="Q5" t="s">
        <v>1047</v>
      </c>
    </row>
    <row r="6" spans="1:17">
      <c r="A6" s="254">
        <v>19.25</v>
      </c>
      <c r="B6" s="5">
        <f t="shared" si="0"/>
        <v>206.40880000000001</v>
      </c>
      <c r="C6" s="5">
        <f t="shared" si="1"/>
        <v>441.94195999999999</v>
      </c>
      <c r="D6" s="5">
        <f t="shared" si="2"/>
        <v>654.27816000000007</v>
      </c>
      <c r="E6" s="5">
        <f t="shared" si="3"/>
        <v>866.61436000000003</v>
      </c>
      <c r="F6" s="5">
        <f t="shared" si="4"/>
        <v>1078.95056</v>
      </c>
      <c r="G6" s="5">
        <f t="shared" si="5"/>
        <v>1291.28676</v>
      </c>
      <c r="H6" s="5">
        <f t="shared" si="6"/>
        <v>1503.6229599999999</v>
      </c>
      <c r="I6" s="5">
        <f t="shared" si="7"/>
        <v>1715.9591599999999</v>
      </c>
      <c r="J6" s="2">
        <v>4</v>
      </c>
      <c r="N6" s="89" t="s">
        <v>1048</v>
      </c>
      <c r="O6">
        <v>2.52</v>
      </c>
      <c r="P6" s="73">
        <f>O6*1.2</f>
        <v>3.024</v>
      </c>
      <c r="Q6" t="s">
        <v>1049</v>
      </c>
    </row>
    <row r="7" spans="1:17">
      <c r="A7" s="254">
        <v>23.75</v>
      </c>
      <c r="B7" s="5">
        <f t="shared" si="0"/>
        <v>246.45880000000002</v>
      </c>
      <c r="C7" s="5">
        <f t="shared" si="1"/>
        <v>541.20187999999996</v>
      </c>
      <c r="D7" s="5">
        <f t="shared" si="2"/>
        <v>801.14952000000005</v>
      </c>
      <c r="E7" s="5">
        <f t="shared" si="3"/>
        <v>1061.09716</v>
      </c>
      <c r="F7" s="5">
        <f t="shared" si="4"/>
        <v>1321.0447999999999</v>
      </c>
      <c r="G7" s="5">
        <f t="shared" si="5"/>
        <v>1580.99244</v>
      </c>
      <c r="H7" s="5">
        <f t="shared" si="6"/>
        <v>1840.9400799999999</v>
      </c>
      <c r="I7" s="5">
        <f t="shared" si="7"/>
        <v>2100.8877199999997</v>
      </c>
      <c r="J7" s="2">
        <v>5</v>
      </c>
      <c r="N7" t="s">
        <v>134</v>
      </c>
      <c r="P7" s="73">
        <v>60</v>
      </c>
      <c r="Q7" t="s">
        <v>1050</v>
      </c>
    </row>
    <row r="8" spans="1:17">
      <c r="A8" s="254">
        <v>28.25</v>
      </c>
      <c r="B8" s="5">
        <f t="shared" si="0"/>
        <v>286.50880000000001</v>
      </c>
      <c r="C8" s="5">
        <f t="shared" si="1"/>
        <v>640.46180000000004</v>
      </c>
      <c r="D8" s="5">
        <f t="shared" si="2"/>
        <v>948.02088000000003</v>
      </c>
      <c r="E8" s="5">
        <f t="shared" si="3"/>
        <v>1255.57996</v>
      </c>
      <c r="F8" s="5">
        <f t="shared" si="4"/>
        <v>1563.13904</v>
      </c>
      <c r="G8" s="5">
        <f t="shared" si="5"/>
        <v>1870.69812</v>
      </c>
      <c r="H8" s="5">
        <f t="shared" si="6"/>
        <v>2178.2572000000005</v>
      </c>
      <c r="I8" s="5">
        <f t="shared" si="7"/>
        <v>2485.81628</v>
      </c>
      <c r="J8" s="2">
        <v>6</v>
      </c>
    </row>
    <row r="9" spans="1:17">
      <c r="A9" s="254">
        <v>32.75</v>
      </c>
      <c r="B9" s="5">
        <f t="shared" si="0"/>
        <v>326.55880000000002</v>
      </c>
      <c r="C9" s="5">
        <f t="shared" si="1"/>
        <v>739.72172</v>
      </c>
      <c r="D9" s="5">
        <f t="shared" si="2"/>
        <v>1094.8922399999999</v>
      </c>
      <c r="E9" s="5">
        <f t="shared" si="3"/>
        <v>1450.06276</v>
      </c>
      <c r="F9" s="5">
        <f t="shared" si="4"/>
        <v>1805.2332800000001</v>
      </c>
      <c r="G9" s="5">
        <f t="shared" si="5"/>
        <v>2160.4038</v>
      </c>
      <c r="H9" s="5">
        <f t="shared" si="6"/>
        <v>2515.5743200000002</v>
      </c>
      <c r="I9" s="5">
        <f t="shared" si="7"/>
        <v>2870.7448400000003</v>
      </c>
      <c r="J9" s="2">
        <v>7</v>
      </c>
      <c r="N9" t="s">
        <v>1051</v>
      </c>
      <c r="O9">
        <f>1+SUM(O10:O13)</f>
        <v>1.78</v>
      </c>
    </row>
    <row r="10" spans="1:17">
      <c r="A10" s="254">
        <v>37.25</v>
      </c>
      <c r="B10" s="5">
        <f t="shared" si="0"/>
        <v>366.60880000000003</v>
      </c>
      <c r="C10" s="5">
        <f t="shared" si="1"/>
        <v>838.98164000000008</v>
      </c>
      <c r="D10" s="5">
        <f t="shared" si="2"/>
        <v>1241.7636</v>
      </c>
      <c r="E10" s="5">
        <f t="shared" si="3"/>
        <v>1644.54556</v>
      </c>
      <c r="F10" s="5">
        <f t="shared" si="4"/>
        <v>2047.32752</v>
      </c>
      <c r="G10" s="5">
        <f t="shared" si="5"/>
        <v>2450.1094800000001</v>
      </c>
      <c r="H10" s="5">
        <f t="shared" si="6"/>
        <v>2852.8914400000003</v>
      </c>
      <c r="I10" s="5">
        <f t="shared" si="7"/>
        <v>3255.6734000000001</v>
      </c>
      <c r="J10" s="2">
        <v>8</v>
      </c>
      <c r="N10" t="s">
        <v>178</v>
      </c>
      <c r="O10">
        <v>0.08</v>
      </c>
    </row>
    <row r="11" spans="1:17">
      <c r="A11" s="254">
        <v>41.75</v>
      </c>
      <c r="B11" s="5">
        <f t="shared" si="0"/>
        <v>406.65880000000004</v>
      </c>
      <c r="C11" s="5">
        <f t="shared" si="1"/>
        <v>938.24155999999994</v>
      </c>
      <c r="D11" s="5">
        <f t="shared" si="2"/>
        <v>1388.6349600000001</v>
      </c>
      <c r="E11" s="5">
        <f t="shared" si="3"/>
        <v>1839.02836</v>
      </c>
      <c r="F11" s="5">
        <f t="shared" si="4"/>
        <v>2289.4217600000002</v>
      </c>
      <c r="G11" s="5">
        <f t="shared" si="5"/>
        <v>2739.8151600000001</v>
      </c>
      <c r="H11" s="5">
        <f t="shared" si="6"/>
        <v>3190.20856</v>
      </c>
      <c r="I11" s="5">
        <f t="shared" si="7"/>
        <v>3640.60196</v>
      </c>
      <c r="J11" s="2">
        <v>9</v>
      </c>
      <c r="N11" t="s">
        <v>1052</v>
      </c>
      <c r="O11">
        <v>0.1</v>
      </c>
    </row>
    <row r="12" spans="1:17">
      <c r="A12" s="254">
        <v>46.25</v>
      </c>
      <c r="B12" s="5">
        <f t="shared" si="0"/>
        <v>446.7088</v>
      </c>
      <c r="C12" s="5">
        <f t="shared" si="1"/>
        <v>1037.5014799999999</v>
      </c>
      <c r="D12" s="5">
        <f t="shared" si="2"/>
        <v>1535.50632</v>
      </c>
      <c r="E12" s="5">
        <f t="shared" si="3"/>
        <v>2033.51116</v>
      </c>
      <c r="F12" s="5">
        <f t="shared" si="4"/>
        <v>2531.5160000000001</v>
      </c>
      <c r="G12" s="5">
        <f t="shared" si="5"/>
        <v>3029.5208400000001</v>
      </c>
      <c r="H12" s="5">
        <f t="shared" si="6"/>
        <v>3527.5256800000002</v>
      </c>
      <c r="I12" s="5">
        <f t="shared" si="7"/>
        <v>4025.5305200000003</v>
      </c>
      <c r="J12" s="2">
        <v>10</v>
      </c>
      <c r="N12" t="s">
        <v>1053</v>
      </c>
      <c r="O12">
        <v>0.4</v>
      </c>
    </row>
    <row r="13" spans="1:17">
      <c r="A13" s="254">
        <v>50.75</v>
      </c>
      <c r="B13" s="5">
        <f t="shared" si="0"/>
        <v>486.75880000000006</v>
      </c>
      <c r="C13" s="5">
        <f t="shared" si="1"/>
        <v>1136.7614000000003</v>
      </c>
      <c r="D13" s="5">
        <f t="shared" si="2"/>
        <v>1682.3776799999998</v>
      </c>
      <c r="E13" s="5">
        <f t="shared" si="3"/>
        <v>2227.9939600000002</v>
      </c>
      <c r="F13" s="5">
        <f t="shared" si="4"/>
        <v>2773.61024</v>
      </c>
      <c r="G13" s="5">
        <f t="shared" si="5"/>
        <v>3319.2265199999997</v>
      </c>
      <c r="H13" s="5">
        <f t="shared" si="6"/>
        <v>3864.8428000000004</v>
      </c>
      <c r="I13" s="5">
        <f t="shared" si="7"/>
        <v>4410.4590800000005</v>
      </c>
      <c r="J13" s="2">
        <v>11</v>
      </c>
      <c r="N13" t="s">
        <v>1054</v>
      </c>
      <c r="O13">
        <v>0.2</v>
      </c>
    </row>
    <row r="14" spans="1:17">
      <c r="A14" s="254">
        <v>55.25</v>
      </c>
      <c r="B14" s="5">
        <f t="shared" si="0"/>
        <v>526.80880000000002</v>
      </c>
      <c r="C14" s="5">
        <f t="shared" si="1"/>
        <v>1236.0213200000001</v>
      </c>
      <c r="D14" s="5">
        <f t="shared" si="2"/>
        <v>1829.2490400000002</v>
      </c>
      <c r="E14" s="5">
        <f t="shared" si="3"/>
        <v>2422.47676</v>
      </c>
      <c r="F14" s="5">
        <f t="shared" si="4"/>
        <v>3015.7044799999999</v>
      </c>
      <c r="G14" s="5">
        <f t="shared" si="5"/>
        <v>3608.9322000000002</v>
      </c>
      <c r="H14" s="5">
        <f t="shared" si="6"/>
        <v>4202.1599199999991</v>
      </c>
      <c r="I14" s="5">
        <f t="shared" si="7"/>
        <v>4795.3876399999999</v>
      </c>
      <c r="J14" s="2">
        <v>12</v>
      </c>
    </row>
    <row r="15" spans="1:17">
      <c r="A15" s="254">
        <v>59.75</v>
      </c>
      <c r="B15" s="5">
        <f t="shared" si="0"/>
        <v>566.85879999999997</v>
      </c>
      <c r="C15" s="5">
        <f t="shared" si="1"/>
        <v>1335.28124</v>
      </c>
      <c r="D15" s="5">
        <f t="shared" si="2"/>
        <v>1976.1204000000002</v>
      </c>
      <c r="E15" s="5">
        <f t="shared" si="3"/>
        <v>2616.9595600000002</v>
      </c>
      <c r="F15" s="5">
        <f t="shared" si="4"/>
        <v>3257.7987199999998</v>
      </c>
      <c r="G15" s="5">
        <f t="shared" si="5"/>
        <v>3898.6378800000002</v>
      </c>
      <c r="H15" s="5">
        <f t="shared" si="6"/>
        <v>4539.4770399999998</v>
      </c>
      <c r="I15" s="5">
        <f t="shared" si="7"/>
        <v>5180.3162000000002</v>
      </c>
      <c r="J15" s="2">
        <v>13</v>
      </c>
    </row>
    <row r="16" spans="1:17">
      <c r="A16" s="254">
        <v>64.25</v>
      </c>
      <c r="B16" s="5">
        <f t="shared" si="0"/>
        <v>606.90879999999993</v>
      </c>
      <c r="C16" s="5">
        <f t="shared" si="1"/>
        <v>1434.54116</v>
      </c>
      <c r="D16" s="5">
        <f t="shared" si="2"/>
        <v>2122.9917599999999</v>
      </c>
      <c r="E16" s="5">
        <f t="shared" si="3"/>
        <v>2811.44236</v>
      </c>
      <c r="F16" s="5">
        <f t="shared" si="4"/>
        <v>3499.8929600000001</v>
      </c>
      <c r="G16" s="5">
        <f t="shared" si="5"/>
        <v>4188.3435600000003</v>
      </c>
      <c r="H16" s="5">
        <f t="shared" si="6"/>
        <v>4876.7941600000004</v>
      </c>
      <c r="I16" s="5">
        <f t="shared" si="7"/>
        <v>5565.2447599999996</v>
      </c>
      <c r="J16" s="2">
        <v>14</v>
      </c>
    </row>
    <row r="17" spans="1:10">
      <c r="A17" s="254">
        <v>68.75</v>
      </c>
      <c r="B17" s="5">
        <f t="shared" si="0"/>
        <v>646.9588</v>
      </c>
      <c r="C17" s="5">
        <f t="shared" si="1"/>
        <v>1533.8010800000002</v>
      </c>
      <c r="D17" s="5">
        <f t="shared" si="2"/>
        <v>2269.86312</v>
      </c>
      <c r="E17" s="5">
        <f t="shared" si="3"/>
        <v>3005.9251600000002</v>
      </c>
      <c r="F17" s="5">
        <f t="shared" si="4"/>
        <v>3741.9871999999996</v>
      </c>
      <c r="G17" s="5">
        <f t="shared" si="5"/>
        <v>4478.0492399999994</v>
      </c>
      <c r="H17" s="5">
        <f t="shared" si="6"/>
        <v>5214.1112800000001</v>
      </c>
      <c r="I17" s="5">
        <f t="shared" si="7"/>
        <v>5950.1733199999999</v>
      </c>
      <c r="J17" s="2">
        <v>15</v>
      </c>
    </row>
    <row r="18" spans="1:10">
      <c r="A18" s="254">
        <v>73.25</v>
      </c>
      <c r="B18" s="5">
        <f t="shared" si="0"/>
        <v>687.00879999999995</v>
      </c>
      <c r="C18" s="5">
        <f t="shared" si="1"/>
        <v>1633.0610000000001</v>
      </c>
      <c r="D18" s="5">
        <f t="shared" si="2"/>
        <v>2416.7344799999996</v>
      </c>
      <c r="E18" s="5">
        <f t="shared" si="3"/>
        <v>3200.40796</v>
      </c>
      <c r="F18" s="5">
        <f t="shared" si="4"/>
        <v>3984.0814399999999</v>
      </c>
      <c r="G18" s="5">
        <f t="shared" si="5"/>
        <v>4767.7549200000003</v>
      </c>
      <c r="H18" s="5">
        <f t="shared" si="6"/>
        <v>5551.4283999999998</v>
      </c>
      <c r="I18" s="5">
        <f t="shared" si="7"/>
        <v>6335.1018800000002</v>
      </c>
      <c r="J18" s="2">
        <v>16</v>
      </c>
    </row>
    <row r="19" spans="1:10">
      <c r="A19" s="254">
        <v>77.75</v>
      </c>
      <c r="B19" s="5">
        <f t="shared" si="0"/>
        <v>727.05880000000002</v>
      </c>
      <c r="C19" s="5">
        <f t="shared" si="1"/>
        <v>1732.3209199999999</v>
      </c>
      <c r="D19" s="5">
        <f t="shared" si="2"/>
        <v>2563.6058400000002</v>
      </c>
      <c r="E19" s="5">
        <f t="shared" si="3"/>
        <v>3394.8907599999998</v>
      </c>
      <c r="F19" s="5">
        <f t="shared" si="4"/>
        <v>4226.1756800000003</v>
      </c>
      <c r="G19" s="5">
        <f t="shared" si="5"/>
        <v>5057.4606000000003</v>
      </c>
      <c r="H19" s="5">
        <f t="shared" si="6"/>
        <v>5888.7455200000004</v>
      </c>
      <c r="I19" s="5">
        <f t="shared" si="7"/>
        <v>6720.0304399999995</v>
      </c>
      <c r="J19" s="2">
        <v>17</v>
      </c>
    </row>
    <row r="20" spans="1:10">
      <c r="A20" s="254">
        <v>82.25</v>
      </c>
      <c r="B20" s="5">
        <f t="shared" si="0"/>
        <v>767.10879999999997</v>
      </c>
      <c r="C20" s="5">
        <f t="shared" si="1"/>
        <v>1831.5808400000001</v>
      </c>
      <c r="D20" s="5">
        <f t="shared" si="2"/>
        <v>2710.4772000000003</v>
      </c>
      <c r="E20" s="5">
        <f t="shared" si="3"/>
        <v>3589.37356</v>
      </c>
      <c r="F20" s="5">
        <f t="shared" si="4"/>
        <v>4468.2699200000006</v>
      </c>
      <c r="G20" s="5">
        <f t="shared" si="5"/>
        <v>5347.1662799999995</v>
      </c>
      <c r="H20" s="5">
        <f t="shared" si="6"/>
        <v>6226.0626400000001</v>
      </c>
      <c r="I20" s="5">
        <f t="shared" si="7"/>
        <v>7104.9590000000007</v>
      </c>
      <c r="J20" s="2">
        <v>18</v>
      </c>
    </row>
    <row r="21" spans="1:10">
      <c r="A21" s="254">
        <v>86.75</v>
      </c>
      <c r="B21" s="5">
        <f t="shared" si="0"/>
        <v>807.15879999999993</v>
      </c>
      <c r="C21" s="5">
        <f t="shared" si="1"/>
        <v>1930.84076</v>
      </c>
      <c r="D21" s="5">
        <f t="shared" si="2"/>
        <v>2857.3485599999999</v>
      </c>
      <c r="E21" s="5">
        <f t="shared" si="3"/>
        <v>3783.8563600000002</v>
      </c>
      <c r="F21" s="5">
        <f t="shared" si="4"/>
        <v>4710.3641600000001</v>
      </c>
      <c r="G21" s="5">
        <f t="shared" si="5"/>
        <v>5636.8719600000004</v>
      </c>
      <c r="H21" s="5">
        <f t="shared" si="6"/>
        <v>6563.3797599999998</v>
      </c>
      <c r="I21" s="5">
        <f t="shared" si="7"/>
        <v>7489.8875599999992</v>
      </c>
      <c r="J21" s="2">
        <v>19</v>
      </c>
    </row>
    <row r="22" spans="1:10">
      <c r="A22" s="254">
        <v>91.25</v>
      </c>
      <c r="B22" s="5">
        <f t="shared" si="0"/>
        <v>847.2088</v>
      </c>
      <c r="C22" s="5">
        <f t="shared" si="1"/>
        <v>2030.1006800000002</v>
      </c>
      <c r="D22" s="5">
        <f t="shared" si="2"/>
        <v>3004.2199200000005</v>
      </c>
      <c r="E22" s="5">
        <f t="shared" si="3"/>
        <v>3978.33916</v>
      </c>
      <c r="F22" s="5">
        <f t="shared" si="4"/>
        <v>4952.4584000000004</v>
      </c>
      <c r="G22" s="5">
        <f t="shared" si="5"/>
        <v>5926.5776400000004</v>
      </c>
      <c r="H22" s="5">
        <f t="shared" si="6"/>
        <v>6900.6968800000004</v>
      </c>
      <c r="I22" s="5">
        <f t="shared" si="7"/>
        <v>7874.8161200000004</v>
      </c>
      <c r="J22" s="2">
        <v>20</v>
      </c>
    </row>
    <row r="23" spans="1:10">
      <c r="A23" s="254">
        <v>95.75</v>
      </c>
      <c r="B23" s="5">
        <f t="shared" si="0"/>
        <v>887.25879999999995</v>
      </c>
      <c r="C23" s="5">
        <f t="shared" si="1"/>
        <v>2129.3606</v>
      </c>
      <c r="D23" s="5">
        <f t="shared" si="2"/>
        <v>3151.0912800000001</v>
      </c>
      <c r="E23" s="5">
        <f t="shared" si="3"/>
        <v>4172.8219600000002</v>
      </c>
      <c r="F23" s="5">
        <f t="shared" si="4"/>
        <v>5194.5526399999999</v>
      </c>
      <c r="G23" s="5">
        <f t="shared" si="5"/>
        <v>6216.2833199999995</v>
      </c>
      <c r="H23" s="5">
        <f t="shared" si="6"/>
        <v>7238.0140000000001</v>
      </c>
      <c r="I23" s="5">
        <f t="shared" si="7"/>
        <v>8259.7446800000016</v>
      </c>
      <c r="J23" s="2">
        <v>21</v>
      </c>
    </row>
    <row r="25" spans="1:10">
      <c r="A25" s="303" t="s">
        <v>1055</v>
      </c>
      <c r="B25" s="303"/>
      <c r="C25" s="303"/>
      <c r="D25" s="303"/>
      <c r="E25" s="303"/>
      <c r="F25" s="303"/>
      <c r="G25" s="303"/>
      <c r="H25" s="303"/>
      <c r="I25" s="303"/>
    </row>
    <row r="27" spans="1:10">
      <c r="A27" s="2" t="s">
        <v>438</v>
      </c>
      <c r="B27" s="254">
        <v>12</v>
      </c>
      <c r="C27" s="254">
        <v>24</v>
      </c>
      <c r="D27" s="254">
        <v>36</v>
      </c>
      <c r="E27" s="254">
        <v>48</v>
      </c>
      <c r="F27" s="254">
        <v>60</v>
      </c>
      <c r="G27" s="254">
        <v>72</v>
      </c>
      <c r="H27" s="254">
        <v>84</v>
      </c>
      <c r="I27" s="254">
        <v>96</v>
      </c>
    </row>
    <row r="28" spans="1:10">
      <c r="A28" s="254">
        <v>10.25</v>
      </c>
      <c r="B28" s="90">
        <f t="shared" ref="B28:B47" si="8">((($A28*$B$27)*2)/144)+(($A28*2+$B$27*2)*4)/144</f>
        <v>2.9444444444444446</v>
      </c>
      <c r="C28" s="90">
        <f t="shared" ref="C28:C47" si="9">((($A28*$C$27)*2)/144)+(($A28*2+$C$27*2)*4)/144</f>
        <v>5.3194444444444446</v>
      </c>
      <c r="D28" s="90">
        <f t="shared" ref="D28:D47" si="10">((($A28*$D$27)*2)/144)+(($A28*2+$D$27*2)*4)/144</f>
        <v>7.6944444444444446</v>
      </c>
      <c r="E28" s="90">
        <f t="shared" ref="E28:E47" si="11">((($A28*$E$27)*2)/144)+(($A28*2+$E$27*2)*4)/144</f>
        <v>10.069444444444445</v>
      </c>
      <c r="F28" s="90">
        <f t="shared" ref="F28:F47" si="12">((($A28*$F$27)*2)/144)+(($A28*2+$F$27*2)*4)/144</f>
        <v>12.444444444444443</v>
      </c>
      <c r="G28" s="90">
        <f t="shared" ref="G28:G47" si="13">((($A28*$G$27)*2)/144)+(($A28*2+$G$27*2)*4)/144</f>
        <v>14.819444444444445</v>
      </c>
      <c r="H28" s="90">
        <f t="shared" ref="H28:H47" si="14">((($A28*$H$27)*2)/144)+(($A28*2+$H$27*2)*4)/144</f>
        <v>17.194444444444443</v>
      </c>
      <c r="I28" s="90">
        <f t="shared" ref="I28:I47" si="15">((($A28*$I$27)*2)/144)+(($A28*2+$I$27*2)*4)/144</f>
        <v>19.569444444444443</v>
      </c>
    </row>
    <row r="29" spans="1:10">
      <c r="A29" s="254">
        <v>14.75</v>
      </c>
      <c r="B29" s="90">
        <f t="shared" si="8"/>
        <v>3.9444444444444446</v>
      </c>
      <c r="C29" s="90">
        <f t="shared" si="9"/>
        <v>7.0694444444444446</v>
      </c>
      <c r="D29" s="90">
        <f t="shared" si="10"/>
        <v>10.194444444444445</v>
      </c>
      <c r="E29" s="90">
        <f t="shared" si="11"/>
        <v>13.319444444444445</v>
      </c>
      <c r="F29" s="90">
        <f t="shared" si="12"/>
        <v>16.444444444444443</v>
      </c>
      <c r="G29" s="90">
        <f t="shared" si="13"/>
        <v>19.569444444444443</v>
      </c>
      <c r="H29" s="90">
        <f t="shared" si="14"/>
        <v>22.694444444444443</v>
      </c>
      <c r="I29" s="90">
        <f t="shared" si="15"/>
        <v>25.819444444444446</v>
      </c>
    </row>
    <row r="30" spans="1:10">
      <c r="A30" s="254">
        <v>19.25</v>
      </c>
      <c r="B30" s="90">
        <f t="shared" si="8"/>
        <v>4.9444444444444446</v>
      </c>
      <c r="C30" s="90">
        <f t="shared" si="9"/>
        <v>8.8194444444444446</v>
      </c>
      <c r="D30" s="90">
        <f t="shared" si="10"/>
        <v>12.694444444444445</v>
      </c>
      <c r="E30" s="90">
        <f t="shared" si="11"/>
        <v>16.569444444444446</v>
      </c>
      <c r="F30" s="90">
        <f t="shared" si="12"/>
        <v>20.444444444444446</v>
      </c>
      <c r="G30" s="90">
        <f t="shared" si="13"/>
        <v>24.319444444444443</v>
      </c>
      <c r="H30" s="90">
        <f t="shared" si="14"/>
        <v>28.194444444444443</v>
      </c>
      <c r="I30" s="90">
        <f t="shared" si="15"/>
        <v>32.069444444444443</v>
      </c>
    </row>
    <row r="31" spans="1:10">
      <c r="A31" s="254">
        <v>23.75</v>
      </c>
      <c r="B31" s="90">
        <f t="shared" si="8"/>
        <v>5.9444444444444446</v>
      </c>
      <c r="C31" s="90">
        <f t="shared" si="9"/>
        <v>10.569444444444445</v>
      </c>
      <c r="D31" s="90">
        <f t="shared" si="10"/>
        <v>15.194444444444445</v>
      </c>
      <c r="E31" s="90">
        <f t="shared" si="11"/>
        <v>19.819444444444446</v>
      </c>
      <c r="F31" s="90">
        <f t="shared" si="12"/>
        <v>24.444444444444446</v>
      </c>
      <c r="G31" s="90">
        <f t="shared" si="13"/>
        <v>29.069444444444443</v>
      </c>
      <c r="H31" s="90">
        <f t="shared" si="14"/>
        <v>33.694444444444443</v>
      </c>
      <c r="I31" s="90">
        <f t="shared" si="15"/>
        <v>38.319444444444443</v>
      </c>
    </row>
    <row r="32" spans="1:10">
      <c r="A32" s="254">
        <v>28.25</v>
      </c>
      <c r="B32" s="90">
        <f t="shared" si="8"/>
        <v>6.9444444444444446</v>
      </c>
      <c r="C32" s="90">
        <f t="shared" si="9"/>
        <v>12.319444444444443</v>
      </c>
      <c r="D32" s="90">
        <f t="shared" si="10"/>
        <v>17.694444444444443</v>
      </c>
      <c r="E32" s="90">
        <f t="shared" si="11"/>
        <v>23.069444444444443</v>
      </c>
      <c r="F32" s="90">
        <f t="shared" si="12"/>
        <v>28.444444444444446</v>
      </c>
      <c r="G32" s="90">
        <f t="shared" si="13"/>
        <v>33.819444444444443</v>
      </c>
      <c r="H32" s="90">
        <f t="shared" si="14"/>
        <v>39.194444444444443</v>
      </c>
      <c r="I32" s="90">
        <f t="shared" si="15"/>
        <v>44.569444444444443</v>
      </c>
    </row>
    <row r="33" spans="1:9">
      <c r="A33" s="254">
        <v>32.75</v>
      </c>
      <c r="B33" s="90">
        <f t="shared" si="8"/>
        <v>7.9444444444444446</v>
      </c>
      <c r="C33" s="90">
        <f t="shared" si="9"/>
        <v>14.069444444444443</v>
      </c>
      <c r="D33" s="90">
        <f t="shared" si="10"/>
        <v>20.194444444444443</v>
      </c>
      <c r="E33" s="90">
        <f t="shared" si="11"/>
        <v>26.319444444444443</v>
      </c>
      <c r="F33" s="90">
        <f t="shared" si="12"/>
        <v>32.444444444444443</v>
      </c>
      <c r="G33" s="90">
        <f t="shared" si="13"/>
        <v>38.569444444444443</v>
      </c>
      <c r="H33" s="90">
        <f t="shared" si="14"/>
        <v>44.694444444444443</v>
      </c>
      <c r="I33" s="90">
        <f t="shared" si="15"/>
        <v>50.819444444444443</v>
      </c>
    </row>
    <row r="34" spans="1:9">
      <c r="A34" s="254">
        <v>37.25</v>
      </c>
      <c r="B34" s="90">
        <f t="shared" si="8"/>
        <v>8.9444444444444446</v>
      </c>
      <c r="C34" s="90">
        <f t="shared" si="9"/>
        <v>15.819444444444443</v>
      </c>
      <c r="D34" s="90">
        <f t="shared" si="10"/>
        <v>22.694444444444443</v>
      </c>
      <c r="E34" s="90">
        <f t="shared" si="11"/>
        <v>29.569444444444443</v>
      </c>
      <c r="F34" s="90">
        <f t="shared" si="12"/>
        <v>36.444444444444443</v>
      </c>
      <c r="G34" s="90">
        <f t="shared" si="13"/>
        <v>43.319444444444443</v>
      </c>
      <c r="H34" s="90">
        <f t="shared" si="14"/>
        <v>50.194444444444443</v>
      </c>
      <c r="I34" s="90">
        <f t="shared" si="15"/>
        <v>57.069444444444443</v>
      </c>
    </row>
    <row r="35" spans="1:9">
      <c r="A35" s="254">
        <v>41.75</v>
      </c>
      <c r="B35" s="90">
        <f t="shared" si="8"/>
        <v>9.9444444444444446</v>
      </c>
      <c r="C35" s="90">
        <f t="shared" si="9"/>
        <v>17.569444444444443</v>
      </c>
      <c r="D35" s="90">
        <f t="shared" si="10"/>
        <v>25.194444444444443</v>
      </c>
      <c r="E35" s="90">
        <f t="shared" si="11"/>
        <v>32.819444444444443</v>
      </c>
      <c r="F35" s="90">
        <f t="shared" si="12"/>
        <v>40.444444444444443</v>
      </c>
      <c r="G35" s="90">
        <f t="shared" si="13"/>
        <v>48.069444444444443</v>
      </c>
      <c r="H35" s="90">
        <f t="shared" si="14"/>
        <v>55.694444444444443</v>
      </c>
      <c r="I35" s="90">
        <f t="shared" si="15"/>
        <v>63.319444444444443</v>
      </c>
    </row>
    <row r="36" spans="1:9">
      <c r="A36" s="254">
        <v>46.25</v>
      </c>
      <c r="B36" s="90">
        <f t="shared" si="8"/>
        <v>10.944444444444445</v>
      </c>
      <c r="C36" s="90">
        <f t="shared" si="9"/>
        <v>19.319444444444443</v>
      </c>
      <c r="D36" s="90">
        <f t="shared" si="10"/>
        <v>27.694444444444443</v>
      </c>
      <c r="E36" s="90">
        <f t="shared" si="11"/>
        <v>36.069444444444443</v>
      </c>
      <c r="F36" s="90">
        <f t="shared" si="12"/>
        <v>44.444444444444443</v>
      </c>
      <c r="G36" s="90">
        <f t="shared" si="13"/>
        <v>52.819444444444443</v>
      </c>
      <c r="H36" s="90">
        <f t="shared" si="14"/>
        <v>61.194444444444443</v>
      </c>
      <c r="I36" s="90">
        <f t="shared" si="15"/>
        <v>69.569444444444443</v>
      </c>
    </row>
    <row r="37" spans="1:9">
      <c r="A37" s="254">
        <v>50.75</v>
      </c>
      <c r="B37" s="90">
        <f t="shared" si="8"/>
        <v>11.944444444444445</v>
      </c>
      <c r="C37" s="90">
        <f t="shared" si="9"/>
        <v>21.069444444444446</v>
      </c>
      <c r="D37" s="90">
        <f t="shared" si="10"/>
        <v>30.194444444444443</v>
      </c>
      <c r="E37" s="90">
        <f t="shared" si="11"/>
        <v>39.319444444444443</v>
      </c>
      <c r="F37" s="90">
        <f t="shared" si="12"/>
        <v>48.444444444444443</v>
      </c>
      <c r="G37" s="90">
        <f t="shared" si="13"/>
        <v>57.569444444444443</v>
      </c>
      <c r="H37" s="90">
        <f t="shared" si="14"/>
        <v>66.694444444444443</v>
      </c>
      <c r="I37" s="90">
        <f t="shared" si="15"/>
        <v>75.819444444444457</v>
      </c>
    </row>
    <row r="38" spans="1:9">
      <c r="A38" s="254">
        <v>55.25</v>
      </c>
      <c r="B38" s="90">
        <f t="shared" si="8"/>
        <v>12.944444444444445</v>
      </c>
      <c r="C38" s="90">
        <f t="shared" si="9"/>
        <v>22.819444444444446</v>
      </c>
      <c r="D38" s="90">
        <f t="shared" si="10"/>
        <v>32.694444444444443</v>
      </c>
      <c r="E38" s="90">
        <f t="shared" si="11"/>
        <v>42.569444444444443</v>
      </c>
      <c r="F38" s="90">
        <f t="shared" si="12"/>
        <v>52.444444444444443</v>
      </c>
      <c r="G38" s="90">
        <f t="shared" si="13"/>
        <v>62.319444444444443</v>
      </c>
      <c r="H38" s="90">
        <f t="shared" si="14"/>
        <v>72.194444444444443</v>
      </c>
      <c r="I38" s="90">
        <f t="shared" si="15"/>
        <v>82.069444444444457</v>
      </c>
    </row>
    <row r="39" spans="1:9">
      <c r="A39" s="254">
        <v>59.75</v>
      </c>
      <c r="B39" s="90">
        <f t="shared" si="8"/>
        <v>13.944444444444445</v>
      </c>
      <c r="C39" s="90">
        <f t="shared" si="9"/>
        <v>24.569444444444446</v>
      </c>
      <c r="D39" s="90">
        <f t="shared" si="10"/>
        <v>35.194444444444443</v>
      </c>
      <c r="E39" s="90">
        <f t="shared" si="11"/>
        <v>45.819444444444443</v>
      </c>
      <c r="F39" s="90">
        <f t="shared" si="12"/>
        <v>56.444444444444443</v>
      </c>
      <c r="G39" s="90">
        <f t="shared" si="13"/>
        <v>67.069444444444443</v>
      </c>
      <c r="H39" s="90">
        <f t="shared" si="14"/>
        <v>77.694444444444443</v>
      </c>
      <c r="I39" s="90">
        <f t="shared" si="15"/>
        <v>88.319444444444457</v>
      </c>
    </row>
    <row r="40" spans="1:9">
      <c r="A40" s="254">
        <v>64.25</v>
      </c>
      <c r="B40" s="90">
        <f t="shared" si="8"/>
        <v>14.944444444444445</v>
      </c>
      <c r="C40" s="90">
        <f t="shared" si="9"/>
        <v>26.319444444444446</v>
      </c>
      <c r="D40" s="90">
        <f t="shared" si="10"/>
        <v>37.694444444444443</v>
      </c>
      <c r="E40" s="90">
        <f t="shared" si="11"/>
        <v>49.069444444444443</v>
      </c>
      <c r="F40" s="90">
        <f t="shared" si="12"/>
        <v>60.444444444444443</v>
      </c>
      <c r="G40" s="90">
        <f t="shared" si="13"/>
        <v>71.819444444444443</v>
      </c>
      <c r="H40" s="90">
        <f t="shared" si="14"/>
        <v>83.194444444444443</v>
      </c>
      <c r="I40" s="90">
        <f t="shared" si="15"/>
        <v>94.569444444444457</v>
      </c>
    </row>
    <row r="41" spans="1:9">
      <c r="A41" s="254">
        <v>68.75</v>
      </c>
      <c r="B41" s="90">
        <f t="shared" si="8"/>
        <v>15.944444444444445</v>
      </c>
      <c r="C41" s="90">
        <f t="shared" si="9"/>
        <v>28.069444444444446</v>
      </c>
      <c r="D41" s="90">
        <f t="shared" si="10"/>
        <v>40.194444444444443</v>
      </c>
      <c r="E41" s="90">
        <f t="shared" si="11"/>
        <v>52.319444444444443</v>
      </c>
      <c r="F41" s="90">
        <f t="shared" si="12"/>
        <v>64.444444444444443</v>
      </c>
      <c r="G41" s="90">
        <f t="shared" si="13"/>
        <v>76.569444444444443</v>
      </c>
      <c r="H41" s="90">
        <f t="shared" si="14"/>
        <v>88.694444444444443</v>
      </c>
      <c r="I41" s="90">
        <f t="shared" si="15"/>
        <v>100.81944444444446</v>
      </c>
    </row>
    <row r="42" spans="1:9">
      <c r="A42" s="254">
        <v>73.25</v>
      </c>
      <c r="B42" s="90">
        <f t="shared" si="8"/>
        <v>16.944444444444443</v>
      </c>
      <c r="C42" s="90">
        <f t="shared" si="9"/>
        <v>29.819444444444446</v>
      </c>
      <c r="D42" s="90">
        <f t="shared" si="10"/>
        <v>42.694444444444443</v>
      </c>
      <c r="E42" s="90">
        <f t="shared" si="11"/>
        <v>55.569444444444443</v>
      </c>
      <c r="F42" s="90">
        <f t="shared" si="12"/>
        <v>68.444444444444443</v>
      </c>
      <c r="G42" s="90">
        <f t="shared" si="13"/>
        <v>81.319444444444443</v>
      </c>
      <c r="H42" s="90">
        <f t="shared" si="14"/>
        <v>94.194444444444443</v>
      </c>
      <c r="I42" s="90">
        <f t="shared" si="15"/>
        <v>107.06944444444446</v>
      </c>
    </row>
    <row r="43" spans="1:9">
      <c r="A43" s="254">
        <v>77.75</v>
      </c>
      <c r="B43" s="90">
        <f t="shared" si="8"/>
        <v>17.944444444444443</v>
      </c>
      <c r="C43" s="90">
        <f t="shared" si="9"/>
        <v>31.569444444444446</v>
      </c>
      <c r="D43" s="90">
        <f t="shared" si="10"/>
        <v>45.194444444444443</v>
      </c>
      <c r="E43" s="90">
        <f t="shared" si="11"/>
        <v>58.819444444444443</v>
      </c>
      <c r="F43" s="90">
        <f t="shared" si="12"/>
        <v>72.444444444444443</v>
      </c>
      <c r="G43" s="90">
        <f t="shared" si="13"/>
        <v>86.069444444444443</v>
      </c>
      <c r="H43" s="90">
        <f t="shared" si="14"/>
        <v>99.694444444444443</v>
      </c>
      <c r="I43" s="90">
        <f t="shared" si="15"/>
        <v>113.31944444444446</v>
      </c>
    </row>
    <row r="44" spans="1:9">
      <c r="A44" s="254">
        <v>82.25</v>
      </c>
      <c r="B44" s="90">
        <f t="shared" si="8"/>
        <v>18.944444444444443</v>
      </c>
      <c r="C44" s="90">
        <f t="shared" si="9"/>
        <v>33.319444444444443</v>
      </c>
      <c r="D44" s="90">
        <f t="shared" si="10"/>
        <v>47.694444444444443</v>
      </c>
      <c r="E44" s="90">
        <f t="shared" si="11"/>
        <v>62.069444444444443</v>
      </c>
      <c r="F44" s="90">
        <f t="shared" si="12"/>
        <v>76.444444444444443</v>
      </c>
      <c r="G44" s="90">
        <f t="shared" si="13"/>
        <v>90.819444444444443</v>
      </c>
      <c r="H44" s="90">
        <f t="shared" si="14"/>
        <v>105.19444444444444</v>
      </c>
      <c r="I44" s="90">
        <f t="shared" si="15"/>
        <v>119.56944444444446</v>
      </c>
    </row>
    <row r="45" spans="1:9">
      <c r="A45" s="254">
        <v>86.75</v>
      </c>
      <c r="B45" s="90">
        <f t="shared" si="8"/>
        <v>19.944444444444443</v>
      </c>
      <c r="C45" s="90">
        <f t="shared" si="9"/>
        <v>35.069444444444443</v>
      </c>
      <c r="D45" s="90">
        <f t="shared" si="10"/>
        <v>50.194444444444443</v>
      </c>
      <c r="E45" s="90">
        <f t="shared" si="11"/>
        <v>65.319444444444443</v>
      </c>
      <c r="F45" s="90">
        <f t="shared" si="12"/>
        <v>80.444444444444457</v>
      </c>
      <c r="G45" s="90">
        <f t="shared" si="13"/>
        <v>95.569444444444443</v>
      </c>
      <c r="H45" s="90">
        <f t="shared" si="14"/>
        <v>110.69444444444444</v>
      </c>
      <c r="I45" s="90">
        <f t="shared" si="15"/>
        <v>125.81944444444446</v>
      </c>
    </row>
    <row r="46" spans="1:9">
      <c r="A46" s="254">
        <v>91.25</v>
      </c>
      <c r="B46" s="90">
        <f t="shared" si="8"/>
        <v>20.944444444444443</v>
      </c>
      <c r="C46" s="90">
        <f t="shared" si="9"/>
        <v>36.819444444444443</v>
      </c>
      <c r="D46" s="90">
        <f t="shared" si="10"/>
        <v>52.694444444444443</v>
      </c>
      <c r="E46" s="90">
        <f t="shared" si="11"/>
        <v>68.569444444444443</v>
      </c>
      <c r="F46" s="90">
        <f t="shared" si="12"/>
        <v>84.444444444444457</v>
      </c>
      <c r="G46" s="90">
        <f t="shared" si="13"/>
        <v>100.31944444444444</v>
      </c>
      <c r="H46" s="90">
        <f t="shared" si="14"/>
        <v>116.19444444444444</v>
      </c>
      <c r="I46" s="90">
        <f t="shared" si="15"/>
        <v>132.06944444444446</v>
      </c>
    </row>
    <row r="47" spans="1:9">
      <c r="A47" s="254">
        <v>95.75</v>
      </c>
      <c r="B47" s="90">
        <f t="shared" si="8"/>
        <v>21.944444444444443</v>
      </c>
      <c r="C47" s="90">
        <f t="shared" si="9"/>
        <v>38.569444444444443</v>
      </c>
      <c r="D47" s="90">
        <f t="shared" si="10"/>
        <v>55.194444444444443</v>
      </c>
      <c r="E47" s="90">
        <f t="shared" si="11"/>
        <v>71.819444444444443</v>
      </c>
      <c r="F47" s="90">
        <f t="shared" si="12"/>
        <v>88.444444444444457</v>
      </c>
      <c r="G47" s="90">
        <f t="shared" si="13"/>
        <v>105.06944444444444</v>
      </c>
      <c r="H47" s="90">
        <f t="shared" si="14"/>
        <v>121.69444444444444</v>
      </c>
      <c r="I47" s="90">
        <f t="shared" si="15"/>
        <v>138.31944444444446</v>
      </c>
    </row>
  </sheetData>
  <sheetProtection algorithmName="SHA-512" hashValue="8ZFtrCZAtjQOX8+1HdubOtfX3mzmy0hn99PlnuRX56uf0eDwBNgU5QrLpMrh5hDGBmQhOcZdOA1p++6s58FuFw==" saltValue="KB/4wwlmoiocrZIEnirZrA==" spinCount="100000" sheet="1" objects="1" scenarios="1"/>
  <mergeCells count="3">
    <mergeCell ref="B2:I2"/>
    <mergeCell ref="A1:J1"/>
    <mergeCell ref="A25:I25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201A-49D8-42E0-9932-CBFE9DD01D31}">
  <sheetPr codeName="Sheet17">
    <tabColor rgb="FFFF0000"/>
    <pageSetUpPr fitToPage="1"/>
  </sheetPr>
  <dimension ref="A1:P187"/>
  <sheetViews>
    <sheetView topLeftCell="A127" workbookViewId="0">
      <selection activeCell="G152" sqref="G152"/>
    </sheetView>
  </sheetViews>
  <sheetFormatPr defaultColWidth="14.42578125" defaultRowHeight="15"/>
  <cols>
    <col min="1" max="1" width="15.140625" style="55" bestFit="1" customWidth="1"/>
    <col min="2" max="2" width="42" style="55" customWidth="1"/>
    <col min="3" max="3" width="8" style="55" bestFit="1" customWidth="1"/>
    <col min="4" max="4" width="21.140625" style="55" bestFit="1" customWidth="1"/>
    <col min="5" max="5" width="10.85546875" style="71" bestFit="1" customWidth="1"/>
    <col min="6" max="6" width="16.7109375" style="71" bestFit="1" customWidth="1"/>
    <col min="7" max="9" width="14.42578125" style="55"/>
    <col min="10" max="10" width="3.42578125" style="55" customWidth="1"/>
    <col min="11" max="16384" width="14.42578125" style="55"/>
  </cols>
  <sheetData>
    <row r="1" spans="1:16">
      <c r="L1" s="55" t="s">
        <v>1056</v>
      </c>
      <c r="M1" s="99">
        <v>1.3</v>
      </c>
      <c r="N1" s="100">
        <v>44827</v>
      </c>
    </row>
    <row r="2" spans="1:16" ht="16.5" customHeight="1">
      <c r="A2" s="53" t="s">
        <v>1057</v>
      </c>
      <c r="B2" s="54" t="s">
        <v>994</v>
      </c>
      <c r="C2" s="54" t="s">
        <v>583</v>
      </c>
      <c r="D2" s="54" t="s">
        <v>1058</v>
      </c>
      <c r="E2" s="54" t="s">
        <v>1059</v>
      </c>
      <c r="F2" s="53" t="s">
        <v>1060</v>
      </c>
      <c r="G2" s="53" t="s">
        <v>1061</v>
      </c>
      <c r="H2" s="53" t="s">
        <v>1062</v>
      </c>
      <c r="I2" s="53" t="s">
        <v>1063</v>
      </c>
      <c r="L2" s="55" t="s">
        <v>1064</v>
      </c>
      <c r="M2" s="55">
        <v>0.53</v>
      </c>
    </row>
    <row r="3" spans="1:16" ht="15.75" customHeight="1">
      <c r="A3" s="56">
        <v>37350</v>
      </c>
      <c r="B3" s="57" t="s">
        <v>1065</v>
      </c>
      <c r="C3" s="57" t="s">
        <v>1066</v>
      </c>
      <c r="D3" s="57" t="s">
        <v>1067</v>
      </c>
      <c r="E3" s="58">
        <v>44.5</v>
      </c>
      <c r="F3" s="59">
        <f>((Table1[[#This Row],[Retail]]*0.4)*$M$1)+$M$2</f>
        <v>23.67</v>
      </c>
      <c r="G3" s="60">
        <f>Table1[[#This Row],[Retail]]*0.95</f>
        <v>42.274999999999999</v>
      </c>
      <c r="H3" s="60">
        <f>Table1[[#This Row],[Retail]]*0.85</f>
        <v>37.824999999999996</v>
      </c>
      <c r="I3" s="60">
        <f>Table1[[#This Row],[Retail]]*0.8</f>
        <v>35.6</v>
      </c>
    </row>
    <row r="4" spans="1:16" ht="15.75" customHeight="1">
      <c r="A4" s="61" t="s">
        <v>1068</v>
      </c>
      <c r="B4" s="62" t="s">
        <v>1069</v>
      </c>
      <c r="C4" s="62" t="s">
        <v>1070</v>
      </c>
      <c r="D4" s="62" t="s">
        <v>1071</v>
      </c>
      <c r="E4" s="63">
        <v>28</v>
      </c>
      <c r="F4" s="59">
        <f>((Table1[[#This Row],[Retail]]*0.4)*$M$1)+$M$2</f>
        <v>15.090000000000002</v>
      </c>
      <c r="G4" s="63">
        <f>Table1[[#This Row],[Retail]]*0.95</f>
        <v>26.599999999999998</v>
      </c>
      <c r="H4" s="63">
        <f>Table1[[#This Row],[Retail]]*0.85</f>
        <v>23.8</v>
      </c>
      <c r="I4" s="63">
        <f>Table1[[#This Row],[Retail]]*0.8</f>
        <v>22.400000000000002</v>
      </c>
    </row>
    <row r="5" spans="1:16" ht="15.75" customHeight="1">
      <c r="A5" s="64" t="s">
        <v>1072</v>
      </c>
      <c r="B5" s="57" t="s">
        <v>1073</v>
      </c>
      <c r="C5" s="57" t="s">
        <v>432</v>
      </c>
      <c r="D5" s="57" t="s">
        <v>1071</v>
      </c>
      <c r="E5" s="58">
        <v>26</v>
      </c>
      <c r="F5" s="59">
        <f>((Table1[[#This Row],[Retail]]*0.4)*$M$1)+$M$2</f>
        <v>14.05</v>
      </c>
      <c r="G5" s="63">
        <f>Table1[[#This Row],[Retail]]*0.95</f>
        <v>24.7</v>
      </c>
      <c r="H5" s="63">
        <f>Table1[[#This Row],[Retail]]*0.85</f>
        <v>22.099999999999998</v>
      </c>
      <c r="I5" s="63">
        <f>Table1[[#This Row],[Retail]]*0.8</f>
        <v>20.8</v>
      </c>
      <c r="L5" s="117" t="s">
        <v>1074</v>
      </c>
      <c r="M5" s="117" t="s">
        <v>195</v>
      </c>
      <c r="N5" s="117" t="s">
        <v>361</v>
      </c>
      <c r="O5" s="117"/>
    </row>
    <row r="6" spans="1:16" ht="15.75" customHeight="1">
      <c r="A6" s="61" t="s">
        <v>1075</v>
      </c>
      <c r="B6" s="62" t="s">
        <v>1076</v>
      </c>
      <c r="C6" s="62" t="s">
        <v>1070</v>
      </c>
      <c r="D6" s="62" t="s">
        <v>1071</v>
      </c>
      <c r="E6" s="63">
        <v>38</v>
      </c>
      <c r="F6" s="59">
        <f>((Table1[[#This Row],[Retail]]*0.4)*$M$1)+$M$2</f>
        <v>20.290000000000003</v>
      </c>
      <c r="G6" s="63">
        <f>Table1[[#This Row],[Retail]]*0.95</f>
        <v>36.1</v>
      </c>
      <c r="H6" s="63">
        <f>Table1[[#This Row],[Retail]]*0.85</f>
        <v>32.299999999999997</v>
      </c>
      <c r="I6" s="63">
        <f>Table1[[#This Row],[Retail]]*0.8</f>
        <v>30.400000000000002</v>
      </c>
      <c r="K6" s="55" t="s">
        <v>1077</v>
      </c>
      <c r="L6" s="118">
        <f>(G70+G98)*2+G152</f>
        <v>148.19999999999999</v>
      </c>
      <c r="M6" s="118">
        <f>(H70+H98)*2+H152</f>
        <v>132.6</v>
      </c>
      <c r="N6" s="118">
        <f>(I70+I98)*2+I152</f>
        <v>124.8</v>
      </c>
      <c r="O6" s="118"/>
      <c r="P6" s="118"/>
    </row>
    <row r="7" spans="1:16" ht="15.75" customHeight="1">
      <c r="A7" s="64" t="s">
        <v>1078</v>
      </c>
      <c r="B7" s="57" t="s">
        <v>1079</v>
      </c>
      <c r="C7" s="57" t="s">
        <v>432</v>
      </c>
      <c r="D7" s="57" t="s">
        <v>1071</v>
      </c>
      <c r="E7" s="58">
        <v>28</v>
      </c>
      <c r="F7" s="59">
        <f>((Table1[[#This Row],[Retail]]*0.4)*$M$1)+$M$2</f>
        <v>15.090000000000002</v>
      </c>
      <c r="G7" s="63">
        <f>Table1[[#This Row],[Retail]]*0.95</f>
        <v>26.599999999999998</v>
      </c>
      <c r="H7" s="63">
        <f>Table1[[#This Row],[Retail]]*0.85</f>
        <v>23.8</v>
      </c>
      <c r="I7" s="63">
        <f>Table1[[#This Row],[Retail]]*0.8</f>
        <v>22.400000000000002</v>
      </c>
      <c r="K7" s="55" t="s">
        <v>1080</v>
      </c>
      <c r="L7" s="118">
        <f>L6*1.5</f>
        <v>222.29999999999998</v>
      </c>
      <c r="M7" s="118">
        <f>M6*1.5</f>
        <v>198.89999999999998</v>
      </c>
      <c r="N7" s="118">
        <f>N6*1.5</f>
        <v>187.2</v>
      </c>
      <c r="O7" s="118"/>
    </row>
    <row r="8" spans="1:16" ht="15.75" customHeight="1">
      <c r="A8" s="61" t="s">
        <v>1081</v>
      </c>
      <c r="B8" s="62" t="s">
        <v>1082</v>
      </c>
      <c r="C8" s="62" t="s">
        <v>432</v>
      </c>
      <c r="D8" s="62" t="s">
        <v>1071</v>
      </c>
      <c r="E8" s="63">
        <v>36</v>
      </c>
      <c r="F8" s="59">
        <f>((Table1[[#This Row],[Retail]]*0.4)*$M$1)+$M$2</f>
        <v>19.250000000000004</v>
      </c>
      <c r="G8" s="63">
        <f>Table1[[#This Row],[Retail]]*0.95</f>
        <v>34.199999999999996</v>
      </c>
      <c r="H8" s="63">
        <f>Table1[[#This Row],[Retail]]*0.85</f>
        <v>30.599999999999998</v>
      </c>
      <c r="I8" s="63">
        <f>Table1[[#This Row],[Retail]]*0.8</f>
        <v>28.8</v>
      </c>
      <c r="K8" s="55" t="s">
        <v>1083</v>
      </c>
      <c r="L8" s="118">
        <f>L6*2</f>
        <v>296.39999999999998</v>
      </c>
      <c r="M8" s="118">
        <f>M6*2</f>
        <v>265.2</v>
      </c>
      <c r="N8" s="118">
        <f>N6*2</f>
        <v>249.6</v>
      </c>
      <c r="O8" s="118"/>
    </row>
    <row r="9" spans="1:16" ht="15.75" customHeight="1">
      <c r="A9" s="64" t="s">
        <v>1084</v>
      </c>
      <c r="B9" s="57" t="s">
        <v>1085</v>
      </c>
      <c r="C9" s="57" t="s">
        <v>432</v>
      </c>
      <c r="D9" s="57" t="s">
        <v>1071</v>
      </c>
      <c r="E9" s="58">
        <v>34</v>
      </c>
      <c r="F9" s="59">
        <f>((Table1[[#This Row],[Retail]]*0.4)*$M$1)+$M$2</f>
        <v>18.210000000000004</v>
      </c>
      <c r="G9" s="63">
        <f>Table1[[#This Row],[Retail]]*0.95</f>
        <v>32.299999999999997</v>
      </c>
      <c r="H9" s="63">
        <f>Table1[[#This Row],[Retail]]*0.85</f>
        <v>28.9</v>
      </c>
      <c r="I9" s="63">
        <f>Table1[[#This Row],[Retail]]*0.8</f>
        <v>27.200000000000003</v>
      </c>
      <c r="K9" s="55" t="s">
        <v>1086</v>
      </c>
      <c r="L9" s="118">
        <f>G58</f>
        <v>38</v>
      </c>
      <c r="M9" s="118">
        <f>H58</f>
        <v>34</v>
      </c>
      <c r="N9" s="118">
        <f>I57</f>
        <v>30.400000000000002</v>
      </c>
    </row>
    <row r="10" spans="1:16" ht="15.75" customHeight="1">
      <c r="A10" s="61" t="s">
        <v>1087</v>
      </c>
      <c r="B10" s="62" t="s">
        <v>1088</v>
      </c>
      <c r="C10" s="62" t="s">
        <v>1066</v>
      </c>
      <c r="D10" s="62" t="s">
        <v>1071</v>
      </c>
      <c r="E10" s="63">
        <v>29</v>
      </c>
      <c r="F10" s="59">
        <f>((Table1[[#This Row],[Retail]]*0.4)*$M$1)+$M$2</f>
        <v>15.610000000000001</v>
      </c>
      <c r="G10" s="63">
        <f>Table1[[#This Row],[Retail]]*0.95</f>
        <v>27.549999999999997</v>
      </c>
      <c r="H10" s="63">
        <f>Table1[[#This Row],[Retail]]*0.85</f>
        <v>24.65</v>
      </c>
      <c r="I10" s="63">
        <f>Table1[[#This Row],[Retail]]*0.8</f>
        <v>23.200000000000003</v>
      </c>
      <c r="K10" s="55" t="s">
        <v>1089</v>
      </c>
      <c r="L10" s="118">
        <f>G20</f>
        <v>42.75</v>
      </c>
      <c r="M10" s="118">
        <f>H20</f>
        <v>38.25</v>
      </c>
      <c r="N10" s="118">
        <f>I58</f>
        <v>32</v>
      </c>
    </row>
    <row r="11" spans="1:16" ht="15.75" customHeight="1">
      <c r="A11" s="64" t="s">
        <v>1090</v>
      </c>
      <c r="B11" s="65" t="s">
        <v>1091</v>
      </c>
      <c r="C11" s="57" t="s">
        <v>432</v>
      </c>
      <c r="D11" s="57" t="s">
        <v>1071</v>
      </c>
      <c r="E11" s="58">
        <v>38</v>
      </c>
      <c r="F11" s="59">
        <f>((Table1[[#This Row],[Retail]]*0.4)*$M$1)+$M$2</f>
        <v>20.290000000000003</v>
      </c>
      <c r="G11" s="63">
        <f>Table1[[#This Row],[Retail]]*0.95</f>
        <v>36.1</v>
      </c>
      <c r="H11" s="63">
        <f>Table1[[#This Row],[Retail]]*0.85</f>
        <v>32.299999999999997</v>
      </c>
      <c r="I11" s="63">
        <f>Table1[[#This Row],[Retail]]*0.8</f>
        <v>30.400000000000002</v>
      </c>
      <c r="K11" s="55" t="s">
        <v>1092</v>
      </c>
      <c r="L11" s="118">
        <f>G104</f>
        <v>53.199999999999996</v>
      </c>
      <c r="M11" s="118">
        <f>H104</f>
        <v>47.6</v>
      </c>
      <c r="N11" s="118">
        <f>I104</f>
        <v>44.800000000000004</v>
      </c>
    </row>
    <row r="12" spans="1:16" ht="15.75" customHeight="1">
      <c r="A12" s="61" t="s">
        <v>1093</v>
      </c>
      <c r="B12" s="62" t="s">
        <v>1094</v>
      </c>
      <c r="C12" s="62" t="s">
        <v>432</v>
      </c>
      <c r="D12" s="62" t="s">
        <v>1071</v>
      </c>
      <c r="E12" s="63">
        <v>20</v>
      </c>
      <c r="F12" s="59">
        <f>((Table1[[#This Row],[Retail]]*0.4)*$M$1)+$M$2</f>
        <v>10.93</v>
      </c>
      <c r="G12" s="63">
        <f>Table1[[#This Row],[Retail]]*0.95</f>
        <v>19</v>
      </c>
      <c r="H12" s="63">
        <f>Table1[[#This Row],[Retail]]*0.85</f>
        <v>17</v>
      </c>
      <c r="I12" s="63">
        <f>Table1[[#This Row],[Retail]]*0.8</f>
        <v>16</v>
      </c>
      <c r="L12" s="118">
        <f>I70+I98</f>
        <v>48.8</v>
      </c>
      <c r="M12" s="118">
        <f>L12*2</f>
        <v>97.6</v>
      </c>
    </row>
    <row r="13" spans="1:16" ht="15.75" customHeight="1">
      <c r="A13" s="64" t="s">
        <v>1095</v>
      </c>
      <c r="B13" s="57" t="s">
        <v>1096</v>
      </c>
      <c r="C13" s="57" t="s">
        <v>432</v>
      </c>
      <c r="D13" s="57" t="s">
        <v>1071</v>
      </c>
      <c r="E13" s="58">
        <v>3.25</v>
      </c>
      <c r="F13" s="59">
        <f>((Table1[[#This Row],[Retail]]*0.4)*$M$1)+$M$2</f>
        <v>2.2200000000000002</v>
      </c>
      <c r="G13" s="63">
        <f>Table1[[#This Row],[Retail]]*0.95</f>
        <v>3.0874999999999999</v>
      </c>
      <c r="H13" s="63">
        <f>Table1[[#This Row],[Retail]]*0.85</f>
        <v>2.7624999999999997</v>
      </c>
      <c r="I13" s="63">
        <f>Table1[[#This Row],[Retail]]*0.8</f>
        <v>2.6</v>
      </c>
      <c r="L13" s="118">
        <f>I152</f>
        <v>27.200000000000003</v>
      </c>
      <c r="M13" s="118">
        <f>L13</f>
        <v>27.200000000000003</v>
      </c>
    </row>
    <row r="14" spans="1:16" ht="15.75" customHeight="1">
      <c r="A14" s="61" t="s">
        <v>1097</v>
      </c>
      <c r="B14" s="62" t="s">
        <v>1098</v>
      </c>
      <c r="C14" s="62" t="s">
        <v>432</v>
      </c>
      <c r="D14" s="62" t="s">
        <v>1071</v>
      </c>
      <c r="E14" s="63">
        <v>2.8</v>
      </c>
      <c r="F14" s="59">
        <f>((Table1[[#This Row],[Retail]]*0.4)*$M$1)+$M$2</f>
        <v>1.986</v>
      </c>
      <c r="G14" s="63">
        <f>Table1[[#This Row],[Retail]]*0.95</f>
        <v>2.6599999999999997</v>
      </c>
      <c r="H14" s="63">
        <f>Table1[[#This Row],[Retail]]*0.85</f>
        <v>2.38</v>
      </c>
      <c r="I14" s="63">
        <f>Table1[[#This Row],[Retail]]*0.8</f>
        <v>2.2399999999999998</v>
      </c>
      <c r="M14" s="118">
        <f>SUM(M12:M13)</f>
        <v>124.8</v>
      </c>
    </row>
    <row r="15" spans="1:16" ht="15.75" customHeight="1">
      <c r="A15" s="64" t="s">
        <v>1099</v>
      </c>
      <c r="B15" s="57" t="s">
        <v>1100</v>
      </c>
      <c r="C15" s="57" t="s">
        <v>432</v>
      </c>
      <c r="D15" s="57" t="s">
        <v>1071</v>
      </c>
      <c r="E15" s="58">
        <v>3</v>
      </c>
      <c r="F15" s="59">
        <f>((Table1[[#This Row],[Retail]]*0.4)*$M$1)+$M$2</f>
        <v>2.0900000000000003</v>
      </c>
      <c r="G15" s="63">
        <f>Table1[[#This Row],[Retail]]*0.95</f>
        <v>2.8499999999999996</v>
      </c>
      <c r="H15" s="63">
        <f>Table1[[#This Row],[Retail]]*0.85</f>
        <v>2.5499999999999998</v>
      </c>
      <c r="I15" s="63">
        <f>Table1[[#This Row],[Retail]]*0.8</f>
        <v>2.4000000000000004</v>
      </c>
    </row>
    <row r="16" spans="1:16" ht="15.75" customHeight="1">
      <c r="A16" s="61" t="s">
        <v>1101</v>
      </c>
      <c r="B16" s="62" t="s">
        <v>1102</v>
      </c>
      <c r="C16" s="62" t="s">
        <v>1070</v>
      </c>
      <c r="D16" s="62" t="s">
        <v>1071</v>
      </c>
      <c r="E16" s="63">
        <v>60</v>
      </c>
      <c r="F16" s="59">
        <f>((Table1[[#This Row],[Retail]]*0.4)*$M$1)+$M$2</f>
        <v>31.730000000000004</v>
      </c>
      <c r="G16" s="63">
        <f>Table1[[#This Row],[Retail]]*0.95</f>
        <v>57</v>
      </c>
      <c r="H16" s="63">
        <f>Table1[[#This Row],[Retail]]*0.85</f>
        <v>51</v>
      </c>
      <c r="I16" s="63">
        <f>Table1[[#This Row],[Retail]]*0.8</f>
        <v>48</v>
      </c>
    </row>
    <row r="17" spans="1:16" ht="15.75" customHeight="1">
      <c r="A17" s="64" t="s">
        <v>1103</v>
      </c>
      <c r="B17" s="57" t="s">
        <v>1104</v>
      </c>
      <c r="C17" s="57" t="s">
        <v>432</v>
      </c>
      <c r="D17" s="57" t="s">
        <v>1071</v>
      </c>
      <c r="E17" s="58">
        <v>4</v>
      </c>
      <c r="F17" s="59">
        <f>((Table1[[#This Row],[Retail]]*0.4)*$M$1)+$M$2</f>
        <v>2.6100000000000003</v>
      </c>
      <c r="G17" s="63">
        <f>Table1[[#This Row],[Retail]]*0.95</f>
        <v>3.8</v>
      </c>
      <c r="H17" s="63">
        <f>Table1[[#This Row],[Retail]]*0.85</f>
        <v>3.4</v>
      </c>
      <c r="I17" s="63">
        <f>Table1[[#This Row],[Retail]]*0.8</f>
        <v>3.2</v>
      </c>
    </row>
    <row r="18" spans="1:16" ht="15.75" customHeight="1">
      <c r="A18" s="61" t="s">
        <v>1105</v>
      </c>
      <c r="B18" s="62" t="s">
        <v>1106</v>
      </c>
      <c r="C18" s="62" t="s">
        <v>432</v>
      </c>
      <c r="D18" s="62" t="s">
        <v>1071</v>
      </c>
      <c r="E18" s="63">
        <v>4</v>
      </c>
      <c r="F18" s="59">
        <f>((Table1[[#This Row],[Retail]]*0.4)*$M$1)+$M$2</f>
        <v>2.6100000000000003</v>
      </c>
      <c r="G18" s="63">
        <f>Table1[[#This Row],[Retail]]*0.95</f>
        <v>3.8</v>
      </c>
      <c r="H18" s="63">
        <f>Table1[[#This Row],[Retail]]*0.85</f>
        <v>3.4</v>
      </c>
      <c r="I18" s="63">
        <f>Table1[[#This Row],[Retail]]*0.8</f>
        <v>3.2</v>
      </c>
    </row>
    <row r="19" spans="1:16" ht="15.75" customHeight="1">
      <c r="A19" s="64" t="s">
        <v>1107</v>
      </c>
      <c r="B19" s="57" t="s">
        <v>1108</v>
      </c>
      <c r="C19" s="57" t="s">
        <v>432</v>
      </c>
      <c r="D19" s="57" t="s">
        <v>1071</v>
      </c>
      <c r="E19" s="58">
        <v>34</v>
      </c>
      <c r="F19" s="59">
        <f>((Table1[[#This Row],[Retail]]*0.4)*$M$1)+$M$2</f>
        <v>18.210000000000004</v>
      </c>
      <c r="G19" s="63">
        <f>Table1[[#This Row],[Retail]]*0.95</f>
        <v>32.299999999999997</v>
      </c>
      <c r="H19" s="63">
        <f>Table1[[#This Row],[Retail]]*0.85</f>
        <v>28.9</v>
      </c>
      <c r="I19" s="63">
        <f>Table1[[#This Row],[Retail]]*0.8</f>
        <v>27.200000000000003</v>
      </c>
    </row>
    <row r="20" spans="1:16" ht="15.75" customHeight="1">
      <c r="A20" s="61" t="s">
        <v>1109</v>
      </c>
      <c r="B20" s="62" t="s">
        <v>1110</v>
      </c>
      <c r="C20" s="62" t="s">
        <v>1070</v>
      </c>
      <c r="D20" s="62" t="s">
        <v>1071</v>
      </c>
      <c r="E20" s="63">
        <v>45</v>
      </c>
      <c r="F20" s="59">
        <f>((Table1[[#This Row],[Retail]]*0.4)*$M$1)+$M$2</f>
        <v>23.930000000000003</v>
      </c>
      <c r="G20" s="63">
        <f>Table1[[#This Row],[Retail]]*0.95</f>
        <v>42.75</v>
      </c>
      <c r="H20" s="63">
        <f>Table1[[#This Row],[Retail]]*0.85</f>
        <v>38.25</v>
      </c>
      <c r="I20" s="63">
        <f>Table1[[#This Row],[Retail]]*0.8</f>
        <v>36</v>
      </c>
      <c r="N20" s="55">
        <f>19.2/18</f>
        <v>1.0666666666666667</v>
      </c>
    </row>
    <row r="21" spans="1:16" ht="15.75" customHeight="1">
      <c r="A21" s="64" t="s">
        <v>1111</v>
      </c>
      <c r="B21" s="57" t="s">
        <v>1112</v>
      </c>
      <c r="C21" s="57" t="s">
        <v>1070</v>
      </c>
      <c r="D21" s="57" t="s">
        <v>1071</v>
      </c>
      <c r="E21" s="58">
        <v>50</v>
      </c>
      <c r="F21" s="59">
        <f>((Table1[[#This Row],[Retail]]*0.4)*$M$1)+$M$2</f>
        <v>26.53</v>
      </c>
      <c r="G21" s="63">
        <f>Table1[[#This Row],[Retail]]*0.95</f>
        <v>47.5</v>
      </c>
      <c r="H21" s="63">
        <f>Table1[[#This Row],[Retail]]*0.85</f>
        <v>42.5</v>
      </c>
      <c r="I21" s="63">
        <f>Table1[[#This Row],[Retail]]*0.8</f>
        <v>40</v>
      </c>
      <c r="P21" s="55">
        <f>300.84/560</f>
        <v>0.53721428571428564</v>
      </c>
    </row>
    <row r="22" spans="1:16" ht="15.75" customHeight="1">
      <c r="A22" s="61" t="s">
        <v>1113</v>
      </c>
      <c r="B22" s="62" t="s">
        <v>1114</v>
      </c>
      <c r="C22" s="62" t="s">
        <v>432</v>
      </c>
      <c r="D22" s="62" t="s">
        <v>1071</v>
      </c>
      <c r="E22" s="63">
        <v>48</v>
      </c>
      <c r="F22" s="59">
        <f>((Table1[[#This Row],[Retail]]*0.4)*$M$1)+$M$2</f>
        <v>25.490000000000006</v>
      </c>
      <c r="G22" s="63">
        <f>Table1[[#This Row],[Retail]]*0.95</f>
        <v>45.599999999999994</v>
      </c>
      <c r="H22" s="63">
        <f>Table1[[#This Row],[Retail]]*0.85</f>
        <v>40.799999999999997</v>
      </c>
      <c r="I22" s="63">
        <f>Table1[[#This Row],[Retail]]*0.8</f>
        <v>38.400000000000006</v>
      </c>
    </row>
    <row r="23" spans="1:16" ht="15.75" customHeight="1">
      <c r="A23" s="64" t="s">
        <v>1115</v>
      </c>
      <c r="B23" s="57" t="s">
        <v>1116</v>
      </c>
      <c r="C23" s="57" t="s">
        <v>1066</v>
      </c>
      <c r="D23" s="57" t="s">
        <v>1071</v>
      </c>
      <c r="E23" s="58">
        <v>100</v>
      </c>
      <c r="F23" s="59">
        <f>((Table1[[#This Row],[Retail]]*0.4)*$M$1)+$M$2</f>
        <v>52.53</v>
      </c>
      <c r="G23" s="63">
        <f>Table1[[#This Row],[Retail]]*0.95</f>
        <v>95</v>
      </c>
      <c r="H23" s="63">
        <f>Table1[[#This Row],[Retail]]*0.85</f>
        <v>85</v>
      </c>
      <c r="I23" s="63">
        <f>Table1[[#This Row],[Retail]]*0.8</f>
        <v>80</v>
      </c>
    </row>
    <row r="24" spans="1:16" ht="15.75" customHeight="1">
      <c r="A24" s="61" t="s">
        <v>1117</v>
      </c>
      <c r="B24" s="62" t="s">
        <v>1118</v>
      </c>
      <c r="C24" s="62" t="s">
        <v>1066</v>
      </c>
      <c r="D24" s="62" t="s">
        <v>1071</v>
      </c>
      <c r="E24" s="63">
        <v>100</v>
      </c>
      <c r="F24" s="59">
        <f>((Table1[[#This Row],[Retail]]*0.4)*$M$1)+$M$2</f>
        <v>52.53</v>
      </c>
      <c r="G24" s="63">
        <f>Table1[[#This Row],[Retail]]*0.95</f>
        <v>95</v>
      </c>
      <c r="H24" s="63">
        <f>Table1[[#This Row],[Retail]]*0.85</f>
        <v>85</v>
      </c>
      <c r="I24" s="63">
        <f>Table1[[#This Row],[Retail]]*0.8</f>
        <v>80</v>
      </c>
      <c r="K24" s="55" t="s">
        <v>95</v>
      </c>
    </row>
    <row r="25" spans="1:16" ht="15.75" customHeight="1">
      <c r="A25" s="64" t="s">
        <v>1119</v>
      </c>
      <c r="B25" s="57" t="s">
        <v>1120</v>
      </c>
      <c r="C25" s="57" t="s">
        <v>432</v>
      </c>
      <c r="D25" s="57" t="s">
        <v>1071</v>
      </c>
      <c r="E25" s="58">
        <v>65</v>
      </c>
      <c r="F25" s="59">
        <f>((Table1[[#This Row],[Retail]]*0.4)*$M$1)+$M$2</f>
        <v>34.330000000000005</v>
      </c>
      <c r="G25" s="63">
        <f>Table1[[#This Row],[Retail]]*0.95</f>
        <v>61.75</v>
      </c>
      <c r="H25" s="63">
        <f>Table1[[#This Row],[Retail]]*0.85</f>
        <v>55.25</v>
      </c>
      <c r="I25" s="63">
        <f>Table1[[#This Row],[Retail]]*0.8</f>
        <v>52</v>
      </c>
    </row>
    <row r="26" spans="1:16" ht="15.75" customHeight="1">
      <c r="A26" s="61" t="s">
        <v>1121</v>
      </c>
      <c r="B26" s="62" t="s">
        <v>1122</v>
      </c>
      <c r="C26" s="62" t="s">
        <v>1070</v>
      </c>
      <c r="D26" s="62" t="s">
        <v>1071</v>
      </c>
      <c r="E26" s="63">
        <v>72</v>
      </c>
      <c r="F26" s="59">
        <f>((Table1[[#This Row],[Retail]]*0.4)*$M$1)+$M$2</f>
        <v>37.970000000000006</v>
      </c>
      <c r="G26" s="63">
        <f>Table1[[#This Row],[Retail]]*0.95</f>
        <v>68.399999999999991</v>
      </c>
      <c r="H26" s="63">
        <f>Table1[[#This Row],[Retail]]*0.85</f>
        <v>61.199999999999996</v>
      </c>
      <c r="I26" s="63">
        <f>Table1[[#This Row],[Retail]]*0.8</f>
        <v>57.6</v>
      </c>
    </row>
    <row r="27" spans="1:16" ht="15.75" customHeight="1">
      <c r="A27" s="64" t="s">
        <v>1123</v>
      </c>
      <c r="B27" s="57" t="s">
        <v>1124</v>
      </c>
      <c r="C27" s="57" t="s">
        <v>1070</v>
      </c>
      <c r="D27" s="57" t="s">
        <v>1071</v>
      </c>
      <c r="E27" s="58">
        <v>73</v>
      </c>
      <c r="F27" s="59">
        <f>((Table1[[#This Row],[Retail]]*0.4)*$M$1)+$M$2</f>
        <v>38.490000000000009</v>
      </c>
      <c r="G27" s="63">
        <f>Table1[[#This Row],[Retail]]*0.95</f>
        <v>69.349999999999994</v>
      </c>
      <c r="H27" s="63">
        <f>Table1[[#This Row],[Retail]]*0.85</f>
        <v>62.05</v>
      </c>
      <c r="I27" s="63">
        <f>Table1[[#This Row],[Retail]]*0.8</f>
        <v>58.400000000000006</v>
      </c>
    </row>
    <row r="28" spans="1:16" ht="15.75" customHeight="1">
      <c r="A28" s="61" t="s">
        <v>1125</v>
      </c>
      <c r="B28" s="62" t="s">
        <v>1126</v>
      </c>
      <c r="C28" s="62" t="s">
        <v>1070</v>
      </c>
      <c r="D28" s="62" t="s">
        <v>1071</v>
      </c>
      <c r="E28" s="63">
        <v>97</v>
      </c>
      <c r="F28" s="59">
        <f>((Table1[[#This Row],[Retail]]*0.4)*$M$1)+$M$2</f>
        <v>50.970000000000006</v>
      </c>
      <c r="G28" s="63">
        <f>Table1[[#This Row],[Retail]]*0.95</f>
        <v>92.149999999999991</v>
      </c>
      <c r="H28" s="63">
        <f>Table1[[#This Row],[Retail]]*0.85</f>
        <v>82.45</v>
      </c>
      <c r="I28" s="63">
        <f>Table1[[#This Row],[Retail]]*0.8</f>
        <v>77.600000000000009</v>
      </c>
    </row>
    <row r="29" spans="1:16" ht="15.75" customHeight="1">
      <c r="A29" s="64" t="s">
        <v>1127</v>
      </c>
      <c r="B29" s="57" t="s">
        <v>1128</v>
      </c>
      <c r="C29" s="57" t="s">
        <v>1070</v>
      </c>
      <c r="D29" s="57" t="s">
        <v>1071</v>
      </c>
      <c r="E29" s="58">
        <v>18</v>
      </c>
      <c r="F29" s="59">
        <f>((Table1[[#This Row],[Retail]]*0.4)*$M$1)+$M$2</f>
        <v>9.89</v>
      </c>
      <c r="G29" s="63">
        <f>Table1[[#This Row],[Retail]]*0.95</f>
        <v>17.099999999999998</v>
      </c>
      <c r="H29" s="63">
        <f>Table1[[#This Row],[Retail]]*0.85</f>
        <v>15.299999999999999</v>
      </c>
      <c r="I29" s="63">
        <f>Table1[[#This Row],[Retail]]*0.8</f>
        <v>14.4</v>
      </c>
    </row>
    <row r="30" spans="1:16" ht="15.75" customHeight="1">
      <c r="A30" s="61" t="s">
        <v>1129</v>
      </c>
      <c r="B30" s="62" t="s">
        <v>1130</v>
      </c>
      <c r="C30" s="62" t="s">
        <v>1070</v>
      </c>
      <c r="D30" s="62" t="s">
        <v>1071</v>
      </c>
      <c r="E30" s="63">
        <v>40</v>
      </c>
      <c r="F30" s="59">
        <f>((Table1[[#This Row],[Retail]]*0.4)*$M$1)+$M$2</f>
        <v>21.330000000000002</v>
      </c>
      <c r="G30" s="63">
        <f>Table1[[#This Row],[Retail]]*0.95</f>
        <v>38</v>
      </c>
      <c r="H30" s="63">
        <f>Table1[[#This Row],[Retail]]*0.85</f>
        <v>34</v>
      </c>
      <c r="I30" s="63">
        <f>Table1[[#This Row],[Retail]]*0.8</f>
        <v>32</v>
      </c>
    </row>
    <row r="31" spans="1:16" ht="15.75" customHeight="1">
      <c r="A31" s="64" t="s">
        <v>1131</v>
      </c>
      <c r="B31" s="57" t="s">
        <v>1132</v>
      </c>
      <c r="C31" s="57" t="s">
        <v>1070</v>
      </c>
      <c r="D31" s="57" t="s">
        <v>1071</v>
      </c>
      <c r="E31" s="58">
        <v>54</v>
      </c>
      <c r="F31" s="59">
        <f>((Table1[[#This Row],[Retail]]*0.4)*$M$1)+$M$2</f>
        <v>28.610000000000003</v>
      </c>
      <c r="G31" s="63">
        <f>Table1[[#This Row],[Retail]]*0.95</f>
        <v>51.3</v>
      </c>
      <c r="H31" s="63">
        <f>Table1[[#This Row],[Retail]]*0.85</f>
        <v>45.9</v>
      </c>
      <c r="I31" s="63">
        <f>Table1[[#This Row],[Retail]]*0.8</f>
        <v>43.2</v>
      </c>
    </row>
    <row r="32" spans="1:16" ht="15.75" customHeight="1">
      <c r="A32" s="61" t="s">
        <v>1133</v>
      </c>
      <c r="B32" s="62" t="s">
        <v>1134</v>
      </c>
      <c r="C32" s="62" t="s">
        <v>1070</v>
      </c>
      <c r="D32" s="62" t="s">
        <v>1071</v>
      </c>
      <c r="E32" s="63">
        <v>72</v>
      </c>
      <c r="F32" s="59">
        <f>((Table1[[#This Row],[Retail]]*0.4)*$M$1)+$M$2</f>
        <v>37.970000000000006</v>
      </c>
      <c r="G32" s="63">
        <f>Table1[[#This Row],[Retail]]*0.95</f>
        <v>68.399999999999991</v>
      </c>
      <c r="H32" s="63">
        <f>Table1[[#This Row],[Retail]]*0.85</f>
        <v>61.199999999999996</v>
      </c>
      <c r="I32" s="63">
        <f>Table1[[#This Row],[Retail]]*0.8</f>
        <v>57.6</v>
      </c>
    </row>
    <row r="33" spans="1:9" ht="15.75" customHeight="1">
      <c r="A33" s="64" t="s">
        <v>1135</v>
      </c>
      <c r="B33" s="57" t="s">
        <v>1136</v>
      </c>
      <c r="C33" s="57" t="s">
        <v>1070</v>
      </c>
      <c r="D33" s="57" t="s">
        <v>1071</v>
      </c>
      <c r="E33" s="58">
        <v>88</v>
      </c>
      <c r="F33" s="59">
        <f>((Table1[[#This Row],[Retail]]*0.4)*$M$1)+$M$2</f>
        <v>46.290000000000006</v>
      </c>
      <c r="G33" s="63">
        <f>Table1[[#This Row],[Retail]]*0.95</f>
        <v>83.6</v>
      </c>
      <c r="H33" s="63">
        <f>Table1[[#This Row],[Retail]]*0.85</f>
        <v>74.8</v>
      </c>
      <c r="I33" s="63">
        <f>Table1[[#This Row],[Retail]]*0.8</f>
        <v>70.400000000000006</v>
      </c>
    </row>
    <row r="34" spans="1:9" ht="15.75" customHeight="1">
      <c r="A34" s="61" t="s">
        <v>1137</v>
      </c>
      <c r="B34" s="62" t="s">
        <v>1138</v>
      </c>
      <c r="C34" s="62" t="s">
        <v>1070</v>
      </c>
      <c r="D34" s="62" t="s">
        <v>1071</v>
      </c>
      <c r="E34" s="63">
        <v>96</v>
      </c>
      <c r="F34" s="59">
        <f>((Table1[[#This Row],[Retail]]*0.4)*$M$1)+$M$2</f>
        <v>50.45000000000001</v>
      </c>
      <c r="G34" s="63">
        <f>Table1[[#This Row],[Retail]]*0.95</f>
        <v>91.199999999999989</v>
      </c>
      <c r="H34" s="63">
        <f>Table1[[#This Row],[Retail]]*0.85</f>
        <v>81.599999999999994</v>
      </c>
      <c r="I34" s="63">
        <f>Table1[[#This Row],[Retail]]*0.8</f>
        <v>76.800000000000011</v>
      </c>
    </row>
    <row r="35" spans="1:9" ht="15.75" customHeight="1">
      <c r="A35" s="64" t="s">
        <v>1139</v>
      </c>
      <c r="B35" s="57" t="s">
        <v>1140</v>
      </c>
      <c r="C35" s="57" t="s">
        <v>1070</v>
      </c>
      <c r="D35" s="57" t="s">
        <v>1071</v>
      </c>
      <c r="E35" s="58">
        <v>110</v>
      </c>
      <c r="F35" s="59">
        <f>((Table1[[#This Row],[Retail]]*0.4)*$M$1)+$M$2</f>
        <v>57.730000000000004</v>
      </c>
      <c r="G35" s="63">
        <f>Table1[[#This Row],[Retail]]*0.95</f>
        <v>104.5</v>
      </c>
      <c r="H35" s="63">
        <f>Table1[[#This Row],[Retail]]*0.85</f>
        <v>93.5</v>
      </c>
      <c r="I35" s="63">
        <f>Table1[[#This Row],[Retail]]*0.8</f>
        <v>88</v>
      </c>
    </row>
    <row r="36" spans="1:9" ht="15.75" customHeight="1">
      <c r="A36" s="61" t="s">
        <v>1141</v>
      </c>
      <c r="B36" s="62" t="s">
        <v>1142</v>
      </c>
      <c r="C36" s="62" t="s">
        <v>1070</v>
      </c>
      <c r="D36" s="62" t="s">
        <v>1071</v>
      </c>
      <c r="E36" s="63">
        <v>130</v>
      </c>
      <c r="F36" s="59">
        <f>((Table1[[#This Row],[Retail]]*0.4)*$M$1)+$M$2</f>
        <v>68.13000000000001</v>
      </c>
      <c r="G36" s="63">
        <f>Table1[[#This Row],[Retail]]*0.95</f>
        <v>123.5</v>
      </c>
      <c r="H36" s="63">
        <f>Table1[[#This Row],[Retail]]*0.85</f>
        <v>110.5</v>
      </c>
      <c r="I36" s="63">
        <f>Table1[[#This Row],[Retail]]*0.8</f>
        <v>104</v>
      </c>
    </row>
    <row r="37" spans="1:9" ht="15.75" customHeight="1">
      <c r="A37" s="64" t="s">
        <v>1143</v>
      </c>
      <c r="B37" s="57" t="s">
        <v>1144</v>
      </c>
      <c r="C37" s="57" t="s">
        <v>1070</v>
      </c>
      <c r="D37" s="57" t="s">
        <v>1071</v>
      </c>
      <c r="E37" s="58">
        <v>120</v>
      </c>
      <c r="F37" s="59">
        <f>((Table1[[#This Row],[Retail]]*0.4)*$M$1)+$M$2</f>
        <v>62.930000000000007</v>
      </c>
      <c r="G37" s="63">
        <f>Table1[[#This Row],[Retail]]*0.95</f>
        <v>114</v>
      </c>
      <c r="H37" s="63">
        <f>Table1[[#This Row],[Retail]]*0.85</f>
        <v>102</v>
      </c>
      <c r="I37" s="63">
        <f>Table1[[#This Row],[Retail]]*0.8</f>
        <v>96</v>
      </c>
    </row>
    <row r="38" spans="1:9" ht="15.75" customHeight="1">
      <c r="A38" s="61" t="s">
        <v>1145</v>
      </c>
      <c r="B38" s="62" t="s">
        <v>1146</v>
      </c>
      <c r="C38" s="62" t="s">
        <v>1070</v>
      </c>
      <c r="D38" s="62" t="s">
        <v>1071</v>
      </c>
      <c r="E38" s="63">
        <v>62</v>
      </c>
      <c r="F38" s="59">
        <f>((Table1[[#This Row],[Retail]]*0.4)*$M$1)+$M$2</f>
        <v>32.770000000000003</v>
      </c>
      <c r="G38" s="63">
        <f>Table1[[#This Row],[Retail]]*0.95</f>
        <v>58.9</v>
      </c>
      <c r="H38" s="63">
        <f>Table1[[#This Row],[Retail]]*0.85</f>
        <v>52.699999999999996</v>
      </c>
      <c r="I38" s="63">
        <f>Table1[[#This Row],[Retail]]*0.8</f>
        <v>49.6</v>
      </c>
    </row>
    <row r="39" spans="1:9" ht="15.75" customHeight="1">
      <c r="A39" s="64" t="s">
        <v>1147</v>
      </c>
      <c r="B39" s="57" t="s">
        <v>1148</v>
      </c>
      <c r="C39" s="57" t="s">
        <v>1070</v>
      </c>
      <c r="D39" s="57" t="s">
        <v>1071</v>
      </c>
      <c r="E39" s="58">
        <v>72</v>
      </c>
      <c r="F39" s="59">
        <f>((Table1[[#This Row],[Retail]]*0.4)*$M$1)+$M$2</f>
        <v>37.970000000000006</v>
      </c>
      <c r="G39" s="63">
        <f>Table1[[#This Row],[Retail]]*0.95</f>
        <v>68.399999999999991</v>
      </c>
      <c r="H39" s="63">
        <f>Table1[[#This Row],[Retail]]*0.85</f>
        <v>61.199999999999996</v>
      </c>
      <c r="I39" s="63">
        <f>Table1[[#This Row],[Retail]]*0.8</f>
        <v>57.6</v>
      </c>
    </row>
    <row r="40" spans="1:9" ht="15.75" customHeight="1">
      <c r="A40" s="61" t="s">
        <v>1149</v>
      </c>
      <c r="B40" s="62" t="s">
        <v>1150</v>
      </c>
      <c r="C40" s="62" t="s">
        <v>432</v>
      </c>
      <c r="D40" s="62" t="s">
        <v>1071</v>
      </c>
      <c r="E40" s="63">
        <v>6</v>
      </c>
      <c r="F40" s="59">
        <f>((Table1[[#This Row],[Retail]]*0.4)*$M$1)+$M$2</f>
        <v>3.6500000000000004</v>
      </c>
      <c r="G40" s="63">
        <f>Table1[[#This Row],[Retail]]*0.95</f>
        <v>5.6999999999999993</v>
      </c>
      <c r="H40" s="63">
        <f>Table1[[#This Row],[Retail]]*0.85</f>
        <v>5.0999999999999996</v>
      </c>
      <c r="I40" s="63">
        <f>Table1[[#This Row],[Retail]]*0.8</f>
        <v>4.8000000000000007</v>
      </c>
    </row>
    <row r="41" spans="1:9" ht="15.75" customHeight="1">
      <c r="A41" s="64" t="s">
        <v>1151</v>
      </c>
      <c r="B41" s="57" t="s">
        <v>1152</v>
      </c>
      <c r="C41" s="57" t="s">
        <v>432</v>
      </c>
      <c r="D41" s="57" t="s">
        <v>1071</v>
      </c>
      <c r="E41" s="58">
        <v>40</v>
      </c>
      <c r="F41" s="59">
        <f>((Table1[[#This Row],[Retail]]*0.4)*$M$1)+$M$2</f>
        <v>21.330000000000002</v>
      </c>
      <c r="G41" s="63">
        <f>Table1[[#This Row],[Retail]]*0.95</f>
        <v>38</v>
      </c>
      <c r="H41" s="63">
        <f>Table1[[#This Row],[Retail]]*0.85</f>
        <v>34</v>
      </c>
      <c r="I41" s="63">
        <f>Table1[[#This Row],[Retail]]*0.8</f>
        <v>32</v>
      </c>
    </row>
    <row r="42" spans="1:9" ht="15.75" customHeight="1">
      <c r="A42" s="61" t="s">
        <v>1153</v>
      </c>
      <c r="B42" s="62" t="s">
        <v>1154</v>
      </c>
      <c r="C42" s="62" t="s">
        <v>432</v>
      </c>
      <c r="D42" s="62" t="s">
        <v>1071</v>
      </c>
      <c r="E42" s="63">
        <v>45</v>
      </c>
      <c r="F42" s="59">
        <f>((Table1[[#This Row],[Retail]]*0.4)*$M$1)+$M$2</f>
        <v>23.930000000000003</v>
      </c>
      <c r="G42" s="63">
        <f>Table1[[#This Row],[Retail]]*0.95</f>
        <v>42.75</v>
      </c>
      <c r="H42" s="63">
        <f>Table1[[#This Row],[Retail]]*0.85</f>
        <v>38.25</v>
      </c>
      <c r="I42" s="63">
        <f>Table1[[#This Row],[Retail]]*0.8</f>
        <v>36</v>
      </c>
    </row>
    <row r="43" spans="1:9" ht="15.75" customHeight="1">
      <c r="A43" s="64" t="s">
        <v>1155</v>
      </c>
      <c r="B43" s="57" t="s">
        <v>1156</v>
      </c>
      <c r="C43" s="57" t="s">
        <v>432</v>
      </c>
      <c r="D43" s="57" t="s">
        <v>1071</v>
      </c>
      <c r="E43" s="58">
        <v>45</v>
      </c>
      <c r="F43" s="59">
        <f>((Table1[[#This Row],[Retail]]*0.4)*$M$1)+$M$2</f>
        <v>23.930000000000003</v>
      </c>
      <c r="G43" s="63">
        <f>Table1[[#This Row],[Retail]]*0.95</f>
        <v>42.75</v>
      </c>
      <c r="H43" s="63">
        <f>Table1[[#This Row],[Retail]]*0.85</f>
        <v>38.25</v>
      </c>
      <c r="I43" s="63">
        <f>Table1[[#This Row],[Retail]]*0.8</f>
        <v>36</v>
      </c>
    </row>
    <row r="44" spans="1:9" ht="15.75" customHeight="1">
      <c r="A44" s="61" t="s">
        <v>1157</v>
      </c>
      <c r="B44" s="62" t="s">
        <v>1158</v>
      </c>
      <c r="C44" s="62" t="s">
        <v>432</v>
      </c>
      <c r="D44" s="62" t="s">
        <v>1071</v>
      </c>
      <c r="E44" s="63">
        <v>16</v>
      </c>
      <c r="F44" s="59">
        <f>((Table1[[#This Row],[Retail]]*0.4)*$M$1)+$M$2</f>
        <v>8.85</v>
      </c>
      <c r="G44" s="63">
        <f>Table1[[#This Row],[Retail]]*0.95</f>
        <v>15.2</v>
      </c>
      <c r="H44" s="63">
        <f>Table1[[#This Row],[Retail]]*0.85</f>
        <v>13.6</v>
      </c>
      <c r="I44" s="63">
        <f>Table1[[#This Row],[Retail]]*0.8</f>
        <v>12.8</v>
      </c>
    </row>
    <row r="45" spans="1:9" ht="15.75" customHeight="1">
      <c r="A45" s="64" t="s">
        <v>1159</v>
      </c>
      <c r="B45" s="57" t="s">
        <v>1160</v>
      </c>
      <c r="C45" s="57" t="s">
        <v>432</v>
      </c>
      <c r="D45" s="57" t="s">
        <v>1071</v>
      </c>
      <c r="E45" s="58">
        <v>40</v>
      </c>
      <c r="F45" s="59">
        <f>((Table1[[#This Row],[Retail]]*0.4)*$M$1)+$M$2</f>
        <v>21.330000000000002</v>
      </c>
      <c r="G45" s="63">
        <f>Table1[[#This Row],[Retail]]*0.95</f>
        <v>38</v>
      </c>
      <c r="H45" s="63">
        <f>Table1[[#This Row],[Retail]]*0.85</f>
        <v>34</v>
      </c>
      <c r="I45" s="63">
        <f>Table1[[#This Row],[Retail]]*0.8</f>
        <v>32</v>
      </c>
    </row>
    <row r="46" spans="1:9" ht="15.75" customHeight="1">
      <c r="A46" s="61" t="s">
        <v>1161</v>
      </c>
      <c r="B46" s="62" t="s">
        <v>1162</v>
      </c>
      <c r="C46" s="62" t="s">
        <v>432</v>
      </c>
      <c r="D46" s="62" t="s">
        <v>1071</v>
      </c>
      <c r="E46" s="63">
        <v>38</v>
      </c>
      <c r="F46" s="59">
        <f>((Table1[[#This Row],[Retail]]*0.4)*$M$1)+$M$2</f>
        <v>20.290000000000003</v>
      </c>
      <c r="G46" s="63">
        <f>Table1[[#This Row],[Retail]]*0.95</f>
        <v>36.1</v>
      </c>
      <c r="H46" s="63">
        <f>Table1[[#This Row],[Retail]]*0.85</f>
        <v>32.299999999999997</v>
      </c>
      <c r="I46" s="63">
        <f>Table1[[#This Row],[Retail]]*0.8</f>
        <v>30.400000000000002</v>
      </c>
    </row>
    <row r="47" spans="1:9" ht="15.75" customHeight="1">
      <c r="A47" s="61" t="s">
        <v>1163</v>
      </c>
      <c r="B47" s="62" t="s">
        <v>1164</v>
      </c>
      <c r="C47" s="62" t="s">
        <v>432</v>
      </c>
      <c r="D47" s="62" t="s">
        <v>1071</v>
      </c>
      <c r="E47" s="63">
        <v>28</v>
      </c>
      <c r="F47" s="59">
        <f>((Table1[[#This Row],[Retail]]*0.4)*$M$1)+$M$2</f>
        <v>15.090000000000002</v>
      </c>
      <c r="G47" s="63">
        <f>Table1[[#This Row],[Retail]]*0.95</f>
        <v>26.599999999999998</v>
      </c>
      <c r="H47" s="63">
        <f>Table1[[#This Row],[Retail]]*0.85</f>
        <v>23.8</v>
      </c>
      <c r="I47" s="63">
        <f>Table1[[#This Row],[Retail]]*0.8</f>
        <v>22.400000000000002</v>
      </c>
    </row>
    <row r="48" spans="1:9" ht="15.75" customHeight="1">
      <c r="A48" s="61" t="s">
        <v>1165</v>
      </c>
      <c r="B48" s="62" t="s">
        <v>1166</v>
      </c>
      <c r="C48" s="62" t="s">
        <v>1066</v>
      </c>
      <c r="D48" s="62" t="s">
        <v>1071</v>
      </c>
      <c r="E48" s="63">
        <v>99</v>
      </c>
      <c r="F48" s="59">
        <f>((Table1[[#This Row],[Retail]]*0.4)*$M$1)+$M$2</f>
        <v>52.010000000000005</v>
      </c>
      <c r="G48" s="63">
        <f>Table1[[#This Row],[Retail]]*0.95</f>
        <v>94.05</v>
      </c>
      <c r="H48" s="63">
        <f>Table1[[#This Row],[Retail]]*0.85</f>
        <v>84.149999999999991</v>
      </c>
      <c r="I48" s="63">
        <f>Table1[[#This Row],[Retail]]*0.8</f>
        <v>79.2</v>
      </c>
    </row>
    <row r="49" spans="1:9" ht="15.75" customHeight="1">
      <c r="A49" s="61" t="s">
        <v>1167</v>
      </c>
      <c r="B49" s="62" t="s">
        <v>1168</v>
      </c>
      <c r="C49" s="62" t="s">
        <v>1066</v>
      </c>
      <c r="D49" s="62" t="s">
        <v>1071</v>
      </c>
      <c r="E49" s="63">
        <v>104</v>
      </c>
      <c r="F49" s="59">
        <f>((Table1[[#This Row],[Retail]]*0.4)*$M$1)+$M$2</f>
        <v>54.610000000000007</v>
      </c>
      <c r="G49" s="63">
        <f>Table1[[#This Row],[Retail]]*0.95</f>
        <v>98.8</v>
      </c>
      <c r="H49" s="63">
        <f>Table1[[#This Row],[Retail]]*0.85</f>
        <v>88.399999999999991</v>
      </c>
      <c r="I49" s="63">
        <f>Table1[[#This Row],[Retail]]*0.8</f>
        <v>83.2</v>
      </c>
    </row>
    <row r="50" spans="1:9" ht="15.75" customHeight="1">
      <c r="A50" s="61" t="s">
        <v>1169</v>
      </c>
      <c r="B50" s="62" t="s">
        <v>1170</v>
      </c>
      <c r="C50" s="62" t="s">
        <v>1066</v>
      </c>
      <c r="D50" s="62" t="s">
        <v>1071</v>
      </c>
      <c r="E50" s="63">
        <v>104</v>
      </c>
      <c r="F50" s="59">
        <f>((Table1[[#This Row],[Retail]]*0.4)*$M$1)+$M$2</f>
        <v>54.610000000000007</v>
      </c>
      <c r="G50" s="63">
        <f>Table1[[#This Row],[Retail]]*0.95</f>
        <v>98.8</v>
      </c>
      <c r="H50" s="63">
        <f>Table1[[#This Row],[Retail]]*0.85</f>
        <v>88.399999999999991</v>
      </c>
      <c r="I50" s="63">
        <f>Table1[[#This Row],[Retail]]*0.8</f>
        <v>83.2</v>
      </c>
    </row>
    <row r="51" spans="1:9" ht="15.75" customHeight="1">
      <c r="A51" s="61" t="s">
        <v>1171</v>
      </c>
      <c r="B51" s="62" t="s">
        <v>1172</v>
      </c>
      <c r="C51" s="62" t="s">
        <v>1066</v>
      </c>
      <c r="D51" s="62" t="s">
        <v>1173</v>
      </c>
      <c r="E51" s="63">
        <v>34</v>
      </c>
      <c r="F51" s="59">
        <f>((Table1[[#This Row],[Retail]]*0.4)*$M$1)+$M$2</f>
        <v>18.210000000000004</v>
      </c>
      <c r="G51" s="63">
        <f>Table1[[#This Row],[Retail]]*0.95</f>
        <v>32.299999999999997</v>
      </c>
      <c r="H51" s="63">
        <f>Table1[[#This Row],[Retail]]*0.85</f>
        <v>28.9</v>
      </c>
      <c r="I51" s="63">
        <f>Table1[[#This Row],[Retail]]*0.8</f>
        <v>27.200000000000003</v>
      </c>
    </row>
    <row r="52" spans="1:9" ht="15.75" customHeight="1">
      <c r="A52" s="61" t="s">
        <v>1174</v>
      </c>
      <c r="B52" s="62" t="s">
        <v>1175</v>
      </c>
      <c r="C52" s="62" t="s">
        <v>1066</v>
      </c>
      <c r="D52" s="62" t="s">
        <v>1176</v>
      </c>
      <c r="E52" s="63">
        <v>40</v>
      </c>
      <c r="F52" s="59">
        <f>((Table1[[#This Row],[Retail]]*0.4)*$M$1)+$M$2</f>
        <v>21.330000000000002</v>
      </c>
      <c r="G52" s="63">
        <f>Table1[[#This Row],[Retail]]*0.95</f>
        <v>38</v>
      </c>
      <c r="H52" s="63">
        <f>Table1[[#This Row],[Retail]]*0.85</f>
        <v>34</v>
      </c>
      <c r="I52" s="63">
        <f>Table1[[#This Row],[Retail]]*0.8</f>
        <v>32</v>
      </c>
    </row>
    <row r="53" spans="1:9" ht="15.75" customHeight="1">
      <c r="A53" s="61" t="s">
        <v>1177</v>
      </c>
      <c r="B53" s="62" t="s">
        <v>1178</v>
      </c>
      <c r="C53" s="62" t="s">
        <v>1066</v>
      </c>
      <c r="D53" s="62" t="s">
        <v>1173</v>
      </c>
      <c r="E53" s="63">
        <v>52</v>
      </c>
      <c r="F53" s="59">
        <f>((Table1[[#This Row],[Retail]]*0.4)*$M$1)+$M$2</f>
        <v>27.570000000000004</v>
      </c>
      <c r="G53" s="63">
        <f>Table1[[#This Row],[Retail]]*0.95</f>
        <v>49.4</v>
      </c>
      <c r="H53" s="63">
        <f>Table1[[#This Row],[Retail]]*0.85</f>
        <v>44.199999999999996</v>
      </c>
      <c r="I53" s="63">
        <f>Table1[[#This Row],[Retail]]*0.8</f>
        <v>41.6</v>
      </c>
    </row>
    <row r="54" spans="1:9" ht="15.75" customHeight="1">
      <c r="A54" s="61" t="s">
        <v>1179</v>
      </c>
      <c r="B54" s="62" t="s">
        <v>1180</v>
      </c>
      <c r="C54" s="62" t="s">
        <v>1066</v>
      </c>
      <c r="D54" s="62" t="s">
        <v>1173</v>
      </c>
      <c r="E54" s="63">
        <v>124</v>
      </c>
      <c r="F54" s="59">
        <f>((Table1[[#This Row],[Retail]]*0.4)*$M$1)+$M$2</f>
        <v>65.010000000000005</v>
      </c>
      <c r="G54" s="63">
        <f>Table1[[#This Row],[Retail]]*0.95</f>
        <v>117.8</v>
      </c>
      <c r="H54" s="63">
        <f>Table1[[#This Row],[Retail]]*0.85</f>
        <v>105.39999999999999</v>
      </c>
      <c r="I54" s="63">
        <f>Table1[[#This Row],[Retail]]*0.8</f>
        <v>99.2</v>
      </c>
    </row>
    <row r="55" spans="1:9" ht="15.75" customHeight="1">
      <c r="A55" s="61" t="s">
        <v>1181</v>
      </c>
      <c r="B55" s="62" t="s">
        <v>1182</v>
      </c>
      <c r="C55" s="62" t="s">
        <v>432</v>
      </c>
      <c r="D55" s="62" t="s">
        <v>1173</v>
      </c>
      <c r="E55" s="63">
        <v>22</v>
      </c>
      <c r="F55" s="59">
        <f>((Table1[[#This Row],[Retail]]*0.4)*$M$1)+$M$2</f>
        <v>11.97</v>
      </c>
      <c r="G55" s="63">
        <f>Table1[[#This Row],[Retail]]*0.95</f>
        <v>20.9</v>
      </c>
      <c r="H55" s="63">
        <f>Table1[[#This Row],[Retail]]*0.85</f>
        <v>18.7</v>
      </c>
      <c r="I55" s="63">
        <f>Table1[[#This Row],[Retail]]*0.8</f>
        <v>17.600000000000001</v>
      </c>
    </row>
    <row r="56" spans="1:9" ht="15.75" customHeight="1">
      <c r="A56" s="61" t="s">
        <v>1183</v>
      </c>
      <c r="B56" s="62" t="s">
        <v>1184</v>
      </c>
      <c r="C56" s="62" t="s">
        <v>432</v>
      </c>
      <c r="D56" s="62" t="s">
        <v>1173</v>
      </c>
      <c r="E56" s="63">
        <v>25</v>
      </c>
      <c r="F56" s="59">
        <f>((Table1[[#This Row],[Retail]]*0.4)*$M$1)+$M$2</f>
        <v>13.53</v>
      </c>
      <c r="G56" s="63">
        <f>Table1[[#This Row],[Retail]]*0.95</f>
        <v>23.75</v>
      </c>
      <c r="H56" s="63">
        <f>Table1[[#This Row],[Retail]]*0.85</f>
        <v>21.25</v>
      </c>
      <c r="I56" s="63">
        <f>Table1[[#This Row],[Retail]]*0.8</f>
        <v>20</v>
      </c>
    </row>
    <row r="57" spans="1:9" ht="15.75" customHeight="1">
      <c r="A57" s="61" t="s">
        <v>1185</v>
      </c>
      <c r="B57" s="62" t="s">
        <v>1186</v>
      </c>
      <c r="C57" s="62" t="s">
        <v>1070</v>
      </c>
      <c r="D57" s="62" t="s">
        <v>1173</v>
      </c>
      <c r="E57" s="63">
        <v>38</v>
      </c>
      <c r="F57" s="59">
        <f>((Table1[[#This Row],[Retail]]*0.4)*$M$1)+$M$2</f>
        <v>20.290000000000003</v>
      </c>
      <c r="G57" s="63">
        <f>Table1[[#This Row],[Retail]]*0.95</f>
        <v>36.1</v>
      </c>
      <c r="H57" s="63">
        <f>Table1[[#This Row],[Retail]]*0.85</f>
        <v>32.299999999999997</v>
      </c>
      <c r="I57" s="63">
        <f>Table1[[#This Row],[Retail]]*0.8</f>
        <v>30.400000000000002</v>
      </c>
    </row>
    <row r="58" spans="1:9" ht="15.75" customHeight="1">
      <c r="A58" s="119" t="s">
        <v>1187</v>
      </c>
      <c r="B58" s="62" t="s">
        <v>1188</v>
      </c>
      <c r="C58" s="62" t="s">
        <v>1070</v>
      </c>
      <c r="D58" s="62" t="s">
        <v>1173</v>
      </c>
      <c r="E58" s="63">
        <v>40</v>
      </c>
      <c r="F58" s="59">
        <f>((Table1[[#This Row],[Retail]]*0.4)*$M$1)+$M$2</f>
        <v>21.330000000000002</v>
      </c>
      <c r="G58" s="63">
        <f>Table1[[#This Row],[Retail]]*0.95</f>
        <v>38</v>
      </c>
      <c r="H58" s="63">
        <f>Table1[[#This Row],[Retail]]*0.85</f>
        <v>34</v>
      </c>
      <c r="I58" s="63">
        <f>Table1[[#This Row],[Retail]]*0.8</f>
        <v>32</v>
      </c>
    </row>
    <row r="59" spans="1:9" ht="15.75" customHeight="1">
      <c r="A59" s="61" t="s">
        <v>1189</v>
      </c>
      <c r="B59" s="62" t="s">
        <v>1190</v>
      </c>
      <c r="C59" s="62" t="s">
        <v>1070</v>
      </c>
      <c r="D59" s="62" t="s">
        <v>1173</v>
      </c>
      <c r="E59" s="63">
        <v>42</v>
      </c>
      <c r="F59" s="59">
        <f>((Table1[[#This Row],[Retail]]*0.4)*$M$1)+$M$2</f>
        <v>22.370000000000005</v>
      </c>
      <c r="G59" s="63">
        <f>Table1[[#This Row],[Retail]]*0.95</f>
        <v>39.9</v>
      </c>
      <c r="H59" s="63">
        <f>Table1[[#This Row],[Retail]]*0.85</f>
        <v>35.699999999999996</v>
      </c>
      <c r="I59" s="63">
        <f>Table1[[#This Row],[Retail]]*0.8</f>
        <v>33.6</v>
      </c>
    </row>
    <row r="60" spans="1:9" ht="15.75" customHeight="1">
      <c r="A60" s="61" t="s">
        <v>1191</v>
      </c>
      <c r="B60" s="62" t="s">
        <v>1192</v>
      </c>
      <c r="C60" s="62" t="s">
        <v>1070</v>
      </c>
      <c r="D60" s="62" t="s">
        <v>1173</v>
      </c>
      <c r="E60" s="63">
        <v>44</v>
      </c>
      <c r="F60" s="59">
        <f>((Table1[[#This Row],[Retail]]*0.4)*$M$1)+$M$2</f>
        <v>23.410000000000004</v>
      </c>
      <c r="G60" s="63">
        <f>Table1[[#This Row],[Retail]]*0.95</f>
        <v>41.8</v>
      </c>
      <c r="H60" s="63">
        <f>Table1[[#This Row],[Retail]]*0.85</f>
        <v>37.4</v>
      </c>
      <c r="I60" s="63">
        <f>Table1[[#This Row],[Retail]]*0.8</f>
        <v>35.200000000000003</v>
      </c>
    </row>
    <row r="61" spans="1:9" ht="15.75" customHeight="1">
      <c r="A61" s="61" t="s">
        <v>1193</v>
      </c>
      <c r="B61" s="62" t="s">
        <v>1194</v>
      </c>
      <c r="C61" s="62" t="s">
        <v>1070</v>
      </c>
      <c r="D61" s="62" t="s">
        <v>1071</v>
      </c>
      <c r="E61" s="63">
        <v>30</v>
      </c>
      <c r="F61" s="59">
        <f>((Table1[[#This Row],[Retail]]*0.4)*$M$1)+$M$2</f>
        <v>16.130000000000003</v>
      </c>
      <c r="G61" s="63">
        <f>Table1[[#This Row],[Retail]]*0.95</f>
        <v>28.5</v>
      </c>
      <c r="H61" s="63">
        <f>Table1[[#This Row],[Retail]]*0.85</f>
        <v>25.5</v>
      </c>
      <c r="I61" s="63">
        <f>Table1[[#This Row],[Retail]]*0.8</f>
        <v>24</v>
      </c>
    </row>
    <row r="62" spans="1:9" ht="15.75" customHeight="1">
      <c r="A62" s="61" t="s">
        <v>1195</v>
      </c>
      <c r="B62" s="62" t="s">
        <v>1196</v>
      </c>
      <c r="C62" s="62" t="s">
        <v>1070</v>
      </c>
      <c r="D62" s="62" t="s">
        <v>1071</v>
      </c>
      <c r="E62" s="63">
        <v>32</v>
      </c>
      <c r="F62" s="59">
        <f>((Table1[[#This Row],[Retail]]*0.4)*$M$1)+$M$2</f>
        <v>17.170000000000002</v>
      </c>
      <c r="G62" s="63">
        <f>Table1[[#This Row],[Retail]]*0.95</f>
        <v>30.4</v>
      </c>
      <c r="H62" s="63">
        <f>Table1[[#This Row],[Retail]]*0.85</f>
        <v>27.2</v>
      </c>
      <c r="I62" s="63">
        <f>Table1[[#This Row],[Retail]]*0.8</f>
        <v>25.6</v>
      </c>
    </row>
    <row r="63" spans="1:9" ht="15.75" customHeight="1">
      <c r="A63" s="61" t="s">
        <v>1197</v>
      </c>
      <c r="B63" s="62" t="s">
        <v>1198</v>
      </c>
      <c r="C63" s="62" t="s">
        <v>1070</v>
      </c>
      <c r="D63" s="62" t="s">
        <v>1176</v>
      </c>
      <c r="E63" s="63">
        <v>26</v>
      </c>
      <c r="F63" s="59">
        <f>((Table1[[#This Row],[Retail]]*0.4)*$M$1)+$M$2</f>
        <v>14.05</v>
      </c>
      <c r="G63" s="63">
        <f>Table1[[#This Row],[Retail]]*0.95</f>
        <v>24.7</v>
      </c>
      <c r="H63" s="63">
        <f>Table1[[#This Row],[Retail]]*0.85</f>
        <v>22.099999999999998</v>
      </c>
      <c r="I63" s="63">
        <f>Table1[[#This Row],[Retail]]*0.8</f>
        <v>20.8</v>
      </c>
    </row>
    <row r="64" spans="1:9" ht="15.75" customHeight="1">
      <c r="A64" s="61" t="s">
        <v>1199</v>
      </c>
      <c r="B64" s="62" t="s">
        <v>1200</v>
      </c>
      <c r="C64" s="62" t="s">
        <v>1070</v>
      </c>
      <c r="D64" s="62" t="s">
        <v>1176</v>
      </c>
      <c r="E64" s="63">
        <v>26</v>
      </c>
      <c r="F64" s="59">
        <f>((Table1[[#This Row],[Retail]]*0.4)*$M$1)+$M$2</f>
        <v>14.05</v>
      </c>
      <c r="G64" s="63">
        <f>Table1[[#This Row],[Retail]]*0.95</f>
        <v>24.7</v>
      </c>
      <c r="H64" s="63">
        <f>Table1[[#This Row],[Retail]]*0.85</f>
        <v>22.099999999999998</v>
      </c>
      <c r="I64" s="63">
        <f>Table1[[#This Row],[Retail]]*0.8</f>
        <v>20.8</v>
      </c>
    </row>
    <row r="65" spans="1:13" ht="15.75" customHeight="1">
      <c r="A65" s="61" t="s">
        <v>1201</v>
      </c>
      <c r="B65" s="62" t="s">
        <v>1202</v>
      </c>
      <c r="C65" s="62" t="s">
        <v>1070</v>
      </c>
      <c r="D65" s="62" t="s">
        <v>1176</v>
      </c>
      <c r="E65" s="63">
        <v>27</v>
      </c>
      <c r="F65" s="59">
        <f>((Table1[[#This Row],[Retail]]*0.4)*$M$1)+$M$2</f>
        <v>14.57</v>
      </c>
      <c r="G65" s="63">
        <f>Table1[[#This Row],[Retail]]*0.95</f>
        <v>25.65</v>
      </c>
      <c r="H65" s="63">
        <f>Table1[[#This Row],[Retail]]*0.85</f>
        <v>22.95</v>
      </c>
      <c r="I65" s="63">
        <f>Table1[[#This Row],[Retail]]*0.8</f>
        <v>21.6</v>
      </c>
    </row>
    <row r="66" spans="1:13" ht="15.75" customHeight="1">
      <c r="A66" s="61" t="s">
        <v>1203</v>
      </c>
      <c r="B66" s="62" t="s">
        <v>1204</v>
      </c>
      <c r="C66" s="62" t="s">
        <v>1070</v>
      </c>
      <c r="D66" s="62" t="s">
        <v>1176</v>
      </c>
      <c r="E66" s="63">
        <v>28</v>
      </c>
      <c r="F66" s="59">
        <f>((Table1[[#This Row],[Retail]]*0.4)*$M$1)+$M$2</f>
        <v>15.090000000000002</v>
      </c>
      <c r="G66" s="63">
        <f>Table1[[#This Row],[Retail]]*0.95</f>
        <v>26.599999999999998</v>
      </c>
      <c r="H66" s="63">
        <f>Table1[[#This Row],[Retail]]*0.85</f>
        <v>23.8</v>
      </c>
      <c r="I66" s="63">
        <f>Table1[[#This Row],[Retail]]*0.8</f>
        <v>22.400000000000002</v>
      </c>
    </row>
    <row r="67" spans="1:13" ht="15.75" customHeight="1">
      <c r="A67" s="61" t="s">
        <v>1205</v>
      </c>
      <c r="B67" s="62" t="s">
        <v>1206</v>
      </c>
      <c r="C67" s="62" t="s">
        <v>1070</v>
      </c>
      <c r="D67" s="62" t="s">
        <v>1176</v>
      </c>
      <c r="E67" s="63">
        <v>30</v>
      </c>
      <c r="F67" s="59">
        <f>((Table1[[#This Row],[Retail]]*0.4)*$M$1)+$M$2</f>
        <v>16.130000000000003</v>
      </c>
      <c r="G67" s="63">
        <f>Table1[[#This Row],[Retail]]*0.95</f>
        <v>28.5</v>
      </c>
      <c r="H67" s="63">
        <f>Table1[[#This Row],[Retail]]*0.85</f>
        <v>25.5</v>
      </c>
      <c r="I67" s="63">
        <f>Table1[[#This Row],[Retail]]*0.8</f>
        <v>24</v>
      </c>
    </row>
    <row r="68" spans="1:13" ht="15.75" customHeight="1">
      <c r="A68" s="61" t="s">
        <v>1207</v>
      </c>
      <c r="B68" s="62" t="s">
        <v>1208</v>
      </c>
      <c r="C68" s="62" t="s">
        <v>1070</v>
      </c>
      <c r="D68" s="62" t="s">
        <v>1176</v>
      </c>
      <c r="E68" s="63">
        <v>20</v>
      </c>
      <c r="F68" s="59">
        <f>((Table1[[#This Row],[Retail]]*0.4)*$M$1)+$M$2</f>
        <v>10.93</v>
      </c>
      <c r="G68" s="63">
        <f>Table1[[#This Row],[Retail]]*0.95</f>
        <v>19</v>
      </c>
      <c r="H68" s="63">
        <f>Table1[[#This Row],[Retail]]*0.85</f>
        <v>17</v>
      </c>
      <c r="I68" s="63">
        <f>Table1[[#This Row],[Retail]]*0.8</f>
        <v>16</v>
      </c>
    </row>
    <row r="69" spans="1:13" ht="15.75" customHeight="1">
      <c r="A69" s="61" t="s">
        <v>1209</v>
      </c>
      <c r="B69" s="62" t="s">
        <v>1210</v>
      </c>
      <c r="C69" s="62" t="s">
        <v>1070</v>
      </c>
      <c r="D69" s="62" t="s">
        <v>1173</v>
      </c>
      <c r="E69" s="63">
        <v>33</v>
      </c>
      <c r="F69" s="59">
        <f>((Table1[[#This Row],[Retail]]*0.4)*$M$1)+$M$2</f>
        <v>17.690000000000005</v>
      </c>
      <c r="G69" s="63">
        <f>Table1[[#This Row],[Retail]]*0.95</f>
        <v>31.349999999999998</v>
      </c>
      <c r="H69" s="63">
        <f>Table1[[#This Row],[Retail]]*0.85</f>
        <v>28.05</v>
      </c>
      <c r="I69" s="63">
        <f>Table1[[#This Row],[Retail]]*0.8</f>
        <v>26.400000000000002</v>
      </c>
      <c r="M69" s="55">
        <f>17.2/13.2</f>
        <v>1.303030303030303</v>
      </c>
    </row>
    <row r="70" spans="1:13" ht="15.75" customHeight="1">
      <c r="A70" s="101" t="s">
        <v>1211</v>
      </c>
      <c r="B70" s="62" t="s">
        <v>1200</v>
      </c>
      <c r="C70" s="62" t="s">
        <v>1070</v>
      </c>
      <c r="D70" s="62" t="s">
        <v>1173</v>
      </c>
      <c r="E70" s="63">
        <v>35</v>
      </c>
      <c r="F70" s="59">
        <f>((Table1[[#This Row],[Retail]]*0.4)*$M$1)+$M$2</f>
        <v>18.73</v>
      </c>
      <c r="G70" s="63">
        <f>Table1[[#This Row],[Retail]]*0.95</f>
        <v>33.25</v>
      </c>
      <c r="H70" s="63">
        <f>Table1[[#This Row],[Retail]]*0.85</f>
        <v>29.75</v>
      </c>
      <c r="I70" s="63">
        <f>Table1[[#This Row],[Retail]]*0.8</f>
        <v>28</v>
      </c>
      <c r="M70" s="55">
        <f>17.6/14</f>
        <v>1.2571428571428573</v>
      </c>
    </row>
    <row r="71" spans="1:13" ht="15.75" customHeight="1">
      <c r="A71" s="61" t="s">
        <v>1212</v>
      </c>
      <c r="B71" s="62" t="s">
        <v>1202</v>
      </c>
      <c r="C71" s="62" t="s">
        <v>1070</v>
      </c>
      <c r="D71" s="62" t="s">
        <v>1173</v>
      </c>
      <c r="E71" s="63">
        <v>36</v>
      </c>
      <c r="F71" s="59">
        <f>((Table1[[#This Row],[Retail]]*0.4)*$M$1)+$M$2</f>
        <v>19.250000000000004</v>
      </c>
      <c r="G71" s="63">
        <f>Table1[[#This Row],[Retail]]*0.95</f>
        <v>34.199999999999996</v>
      </c>
      <c r="H71" s="63">
        <f>Table1[[#This Row],[Retail]]*0.85</f>
        <v>30.599999999999998</v>
      </c>
      <c r="I71" s="63">
        <f>Table1[[#This Row],[Retail]]*0.8</f>
        <v>28.8</v>
      </c>
    </row>
    <row r="72" spans="1:13" ht="15.75" customHeight="1">
      <c r="A72" s="61" t="s">
        <v>1213</v>
      </c>
      <c r="B72" s="62" t="s">
        <v>1204</v>
      </c>
      <c r="C72" s="62" t="s">
        <v>1070</v>
      </c>
      <c r="D72" s="62" t="s">
        <v>1173</v>
      </c>
      <c r="E72" s="63">
        <v>37</v>
      </c>
      <c r="F72" s="59">
        <f>((Table1[[#This Row],[Retail]]*0.4)*$M$1)+$M$2</f>
        <v>19.770000000000003</v>
      </c>
      <c r="G72" s="63">
        <f>Table1[[#This Row],[Retail]]*0.95</f>
        <v>35.15</v>
      </c>
      <c r="H72" s="63">
        <f>Table1[[#This Row],[Retail]]*0.85</f>
        <v>31.45</v>
      </c>
      <c r="I72" s="63">
        <f>Table1[[#This Row],[Retail]]*0.8</f>
        <v>29.6</v>
      </c>
    </row>
    <row r="73" spans="1:13" ht="15.75" customHeight="1">
      <c r="A73" s="61" t="s">
        <v>1214</v>
      </c>
      <c r="B73" s="62" t="s">
        <v>1206</v>
      </c>
      <c r="C73" s="62" t="s">
        <v>1070</v>
      </c>
      <c r="D73" s="62" t="s">
        <v>1173</v>
      </c>
      <c r="E73" s="63">
        <v>39</v>
      </c>
      <c r="F73" s="59">
        <f>((Table1[[#This Row],[Retail]]*0.4)*$M$1)+$M$2</f>
        <v>20.810000000000002</v>
      </c>
      <c r="G73" s="63">
        <f>Table1[[#This Row],[Retail]]*0.95</f>
        <v>37.049999999999997</v>
      </c>
      <c r="H73" s="63">
        <f>Table1[[#This Row],[Retail]]*0.85</f>
        <v>33.15</v>
      </c>
      <c r="I73" s="63">
        <f>Table1[[#This Row],[Retail]]*0.8</f>
        <v>31.200000000000003</v>
      </c>
    </row>
    <row r="74" spans="1:13" ht="15.75" customHeight="1">
      <c r="A74" s="61" t="s">
        <v>1215</v>
      </c>
      <c r="B74" s="62" t="s">
        <v>1216</v>
      </c>
      <c r="C74" s="62" t="s">
        <v>1070</v>
      </c>
      <c r="D74" s="62" t="s">
        <v>1217</v>
      </c>
      <c r="E74" s="63">
        <v>48</v>
      </c>
      <c r="F74" s="59">
        <f>((Table1[[#This Row],[Retail]]*0.4)*$M$1)+$M$2</f>
        <v>25.490000000000006</v>
      </c>
      <c r="G74" s="63">
        <f>Table1[[#This Row],[Retail]]*0.95</f>
        <v>45.599999999999994</v>
      </c>
      <c r="H74" s="63">
        <f>Table1[[#This Row],[Retail]]*0.85</f>
        <v>40.799999999999997</v>
      </c>
      <c r="I74" s="63">
        <f>Table1[[#This Row],[Retail]]*0.8</f>
        <v>38.400000000000006</v>
      </c>
    </row>
    <row r="75" spans="1:13" ht="15.75" customHeight="1">
      <c r="A75" s="61" t="s">
        <v>1218</v>
      </c>
      <c r="B75" s="62" t="s">
        <v>1219</v>
      </c>
      <c r="C75" s="62" t="s">
        <v>1066</v>
      </c>
      <c r="D75" s="62" t="s">
        <v>1176</v>
      </c>
      <c r="E75" s="63">
        <v>50</v>
      </c>
      <c r="F75" s="59">
        <f>((Table1[[#This Row],[Retail]]*0.4)*$M$1)+$M$2</f>
        <v>26.53</v>
      </c>
      <c r="G75" s="63">
        <f>Table1[[#This Row],[Retail]]*0.95</f>
        <v>47.5</v>
      </c>
      <c r="H75" s="63">
        <f>Table1[[#This Row],[Retail]]*0.85</f>
        <v>42.5</v>
      </c>
      <c r="I75" s="63">
        <f>Table1[[#This Row],[Retail]]*0.8</f>
        <v>40</v>
      </c>
    </row>
    <row r="76" spans="1:13" ht="15.75" customHeight="1">
      <c r="A76" s="61" t="s">
        <v>1220</v>
      </c>
      <c r="B76" s="62" t="s">
        <v>1221</v>
      </c>
      <c r="C76" s="62" t="s">
        <v>1070</v>
      </c>
      <c r="D76" s="62" t="s">
        <v>1173</v>
      </c>
      <c r="E76" s="63">
        <v>28</v>
      </c>
      <c r="F76" s="59">
        <f>((Table1[[#This Row],[Retail]]*0.4)*$M$1)+$M$2</f>
        <v>15.090000000000002</v>
      </c>
      <c r="G76" s="63">
        <f>Table1[[#This Row],[Retail]]*0.95</f>
        <v>26.599999999999998</v>
      </c>
      <c r="H76" s="63">
        <f>Table1[[#This Row],[Retail]]*0.85</f>
        <v>23.8</v>
      </c>
      <c r="I76" s="63">
        <f>Table1[[#This Row],[Retail]]*0.8</f>
        <v>22.400000000000002</v>
      </c>
    </row>
    <row r="77" spans="1:13" ht="15.75" customHeight="1">
      <c r="A77" s="61" t="s">
        <v>1222</v>
      </c>
      <c r="B77" s="62" t="s">
        <v>1223</v>
      </c>
      <c r="C77" s="62" t="s">
        <v>1070</v>
      </c>
      <c r="D77" s="62" t="s">
        <v>1173</v>
      </c>
      <c r="E77" s="63">
        <v>29</v>
      </c>
      <c r="F77" s="59">
        <f>((Table1[[#This Row],[Retail]]*0.4)*$M$1)+$M$2</f>
        <v>15.610000000000001</v>
      </c>
      <c r="G77" s="63">
        <f>Table1[[#This Row],[Retail]]*0.95</f>
        <v>27.549999999999997</v>
      </c>
      <c r="H77" s="63">
        <f>Table1[[#This Row],[Retail]]*0.85</f>
        <v>24.65</v>
      </c>
      <c r="I77" s="63">
        <f>Table1[[#This Row],[Retail]]*0.8</f>
        <v>23.200000000000003</v>
      </c>
    </row>
    <row r="78" spans="1:13" ht="15.75" customHeight="1">
      <c r="A78" s="61" t="s">
        <v>1224</v>
      </c>
      <c r="B78" s="62" t="s">
        <v>1225</v>
      </c>
      <c r="C78" s="62" t="s">
        <v>1070</v>
      </c>
      <c r="D78" s="62" t="s">
        <v>1173</v>
      </c>
      <c r="E78" s="63">
        <v>30</v>
      </c>
      <c r="F78" s="59">
        <f>((Table1[[#This Row],[Retail]]*0.4)*$M$1)+$M$2</f>
        <v>16.130000000000003</v>
      </c>
      <c r="G78" s="63">
        <f>Table1[[#This Row],[Retail]]*0.95</f>
        <v>28.5</v>
      </c>
      <c r="H78" s="63">
        <f>Table1[[#This Row],[Retail]]*0.85</f>
        <v>25.5</v>
      </c>
      <c r="I78" s="63">
        <f>Table1[[#This Row],[Retail]]*0.8</f>
        <v>24</v>
      </c>
    </row>
    <row r="79" spans="1:13" ht="15.75" customHeight="1">
      <c r="A79" s="61" t="s">
        <v>1226</v>
      </c>
      <c r="B79" s="62" t="s">
        <v>1227</v>
      </c>
      <c r="C79" s="62" t="s">
        <v>1070</v>
      </c>
      <c r="D79" s="62" t="s">
        <v>1173</v>
      </c>
      <c r="E79" s="63">
        <v>32</v>
      </c>
      <c r="F79" s="59">
        <f>((Table1[[#This Row],[Retail]]*0.4)*$M$1)+$M$2</f>
        <v>17.170000000000002</v>
      </c>
      <c r="G79" s="63">
        <f>Table1[[#This Row],[Retail]]*0.95</f>
        <v>30.4</v>
      </c>
      <c r="H79" s="63">
        <f>Table1[[#This Row],[Retail]]*0.85</f>
        <v>27.2</v>
      </c>
      <c r="I79" s="63">
        <f>Table1[[#This Row],[Retail]]*0.8</f>
        <v>25.6</v>
      </c>
    </row>
    <row r="80" spans="1:13" ht="15.75" customHeight="1">
      <c r="A80" s="61" t="s">
        <v>1228</v>
      </c>
      <c r="B80" s="62" t="s">
        <v>1229</v>
      </c>
      <c r="C80" s="62" t="s">
        <v>1066</v>
      </c>
      <c r="D80" s="62" t="s">
        <v>1176</v>
      </c>
      <c r="E80" s="63">
        <v>26</v>
      </c>
      <c r="F80" s="59">
        <f>((Table1[[#This Row],[Retail]]*0.4)*$M$1)+$M$2</f>
        <v>14.05</v>
      </c>
      <c r="G80" s="63">
        <f>Table1[[#This Row],[Retail]]*0.95</f>
        <v>24.7</v>
      </c>
      <c r="H80" s="63">
        <f>Table1[[#This Row],[Retail]]*0.85</f>
        <v>22.099999999999998</v>
      </c>
      <c r="I80" s="63">
        <f>Table1[[#This Row],[Retail]]*0.8</f>
        <v>20.8</v>
      </c>
    </row>
    <row r="81" spans="1:9" ht="15.75" customHeight="1">
      <c r="A81" s="61" t="s">
        <v>1230</v>
      </c>
      <c r="B81" s="62" t="s">
        <v>1231</v>
      </c>
      <c r="C81" s="62" t="s">
        <v>1070</v>
      </c>
      <c r="D81" s="62" t="s">
        <v>1176</v>
      </c>
      <c r="E81" s="63">
        <v>20</v>
      </c>
      <c r="F81" s="59">
        <f>((Table1[[#This Row],[Retail]]*0.4)*$M$1)+$M$2</f>
        <v>10.93</v>
      </c>
      <c r="G81" s="63">
        <f>Table1[[#This Row],[Retail]]*0.95</f>
        <v>19</v>
      </c>
      <c r="H81" s="63">
        <f>Table1[[#This Row],[Retail]]*0.85</f>
        <v>17</v>
      </c>
      <c r="I81" s="63">
        <f>Table1[[#This Row],[Retail]]*0.8</f>
        <v>16</v>
      </c>
    </row>
    <row r="82" spans="1:9" ht="15.75" customHeight="1">
      <c r="A82" s="61" t="s">
        <v>1232</v>
      </c>
      <c r="B82" s="62" t="s">
        <v>1233</v>
      </c>
      <c r="C82" s="62" t="s">
        <v>1070</v>
      </c>
      <c r="D82" s="62" t="s">
        <v>1176</v>
      </c>
      <c r="E82" s="63">
        <v>16</v>
      </c>
      <c r="F82" s="59">
        <f>((Table1[[#This Row],[Retail]]*0.4)*$M$1)+$M$2</f>
        <v>8.85</v>
      </c>
      <c r="G82" s="63">
        <f>Table1[[#This Row],[Retail]]*0.95</f>
        <v>15.2</v>
      </c>
      <c r="H82" s="63">
        <f>Table1[[#This Row],[Retail]]*0.85</f>
        <v>13.6</v>
      </c>
      <c r="I82" s="63">
        <f>Table1[[#This Row],[Retail]]*0.8</f>
        <v>12.8</v>
      </c>
    </row>
    <row r="83" spans="1:9" ht="15.75" customHeight="1">
      <c r="A83" s="61" t="s">
        <v>1234</v>
      </c>
      <c r="B83" s="62" t="s">
        <v>1235</v>
      </c>
      <c r="C83" s="62" t="s">
        <v>1070</v>
      </c>
      <c r="D83" s="62" t="s">
        <v>1176</v>
      </c>
      <c r="E83" s="63">
        <v>17</v>
      </c>
      <c r="F83" s="59">
        <f>((Table1[[#This Row],[Retail]]*0.4)*$M$1)+$M$2</f>
        <v>9.370000000000001</v>
      </c>
      <c r="G83" s="63">
        <f>Table1[[#This Row],[Retail]]*0.95</f>
        <v>16.149999999999999</v>
      </c>
      <c r="H83" s="63">
        <f>Table1[[#This Row],[Retail]]*0.85</f>
        <v>14.45</v>
      </c>
      <c r="I83" s="63">
        <f>Table1[[#This Row],[Retail]]*0.8</f>
        <v>13.600000000000001</v>
      </c>
    </row>
    <row r="84" spans="1:9" ht="15.75" customHeight="1">
      <c r="A84" s="61" t="s">
        <v>1236</v>
      </c>
      <c r="B84" s="62" t="s">
        <v>1237</v>
      </c>
      <c r="C84" s="62" t="s">
        <v>1070</v>
      </c>
      <c r="D84" s="62" t="s">
        <v>1176</v>
      </c>
      <c r="E84" s="63">
        <v>9</v>
      </c>
      <c r="F84" s="59">
        <f>((Table1[[#This Row],[Retail]]*0.4)*$M$1)+$M$2</f>
        <v>5.2100000000000009</v>
      </c>
      <c r="G84" s="63">
        <f>Table1[[#This Row],[Retail]]*0.95</f>
        <v>8.5499999999999989</v>
      </c>
      <c r="H84" s="63">
        <f>Table1[[#This Row],[Retail]]*0.85</f>
        <v>7.6499999999999995</v>
      </c>
      <c r="I84" s="63">
        <f>Table1[[#This Row],[Retail]]*0.8</f>
        <v>7.2</v>
      </c>
    </row>
    <row r="85" spans="1:9" ht="15.75" customHeight="1">
      <c r="A85" s="61" t="s">
        <v>1238</v>
      </c>
      <c r="B85" s="62" t="s">
        <v>1239</v>
      </c>
      <c r="C85" s="62" t="s">
        <v>1070</v>
      </c>
      <c r="D85" s="62" t="s">
        <v>1176</v>
      </c>
      <c r="E85" s="63">
        <v>17</v>
      </c>
      <c r="F85" s="59">
        <f>((Table1[[#This Row],[Retail]]*0.4)*$M$1)+$M$2</f>
        <v>9.370000000000001</v>
      </c>
      <c r="G85" s="63">
        <f>Table1[[#This Row],[Retail]]*0.95</f>
        <v>16.149999999999999</v>
      </c>
      <c r="H85" s="63">
        <f>Table1[[#This Row],[Retail]]*0.85</f>
        <v>14.45</v>
      </c>
      <c r="I85" s="63">
        <f>Table1[[#This Row],[Retail]]*0.8</f>
        <v>13.600000000000001</v>
      </c>
    </row>
    <row r="86" spans="1:9" ht="15.75" customHeight="1">
      <c r="A86" s="61" t="s">
        <v>1240</v>
      </c>
      <c r="B86" s="62" t="s">
        <v>1241</v>
      </c>
      <c r="C86" s="62" t="s">
        <v>1070</v>
      </c>
      <c r="D86" s="62" t="s">
        <v>1176</v>
      </c>
      <c r="E86" s="63">
        <v>18</v>
      </c>
      <c r="F86" s="59">
        <f>((Table1[[#This Row],[Retail]]*0.4)*$M$1)+$M$2</f>
        <v>9.89</v>
      </c>
      <c r="G86" s="63">
        <f>Table1[[#This Row],[Retail]]*0.95</f>
        <v>17.099999999999998</v>
      </c>
      <c r="H86" s="63">
        <f>Table1[[#This Row],[Retail]]*0.85</f>
        <v>15.299999999999999</v>
      </c>
      <c r="I86" s="63">
        <f>Table1[[#This Row],[Retail]]*0.8</f>
        <v>14.4</v>
      </c>
    </row>
    <row r="87" spans="1:9" ht="15.75" customHeight="1">
      <c r="A87" s="61" t="s">
        <v>1242</v>
      </c>
      <c r="B87" s="62" t="s">
        <v>1243</v>
      </c>
      <c r="C87" s="62" t="s">
        <v>1070</v>
      </c>
      <c r="D87" s="62" t="s">
        <v>1176</v>
      </c>
      <c r="E87" s="63">
        <v>22</v>
      </c>
      <c r="F87" s="59">
        <f>((Table1[[#This Row],[Retail]]*0.4)*$M$1)+$M$2</f>
        <v>11.97</v>
      </c>
      <c r="G87" s="63">
        <f>Table1[[#This Row],[Retail]]*0.95</f>
        <v>20.9</v>
      </c>
      <c r="H87" s="63">
        <f>Table1[[#This Row],[Retail]]*0.85</f>
        <v>18.7</v>
      </c>
      <c r="I87" s="63">
        <f>Table1[[#This Row],[Retail]]*0.8</f>
        <v>17.600000000000001</v>
      </c>
    </row>
    <row r="88" spans="1:9" ht="15.75" customHeight="1">
      <c r="A88" s="61" t="s">
        <v>1244</v>
      </c>
      <c r="B88" s="62" t="s">
        <v>1245</v>
      </c>
      <c r="C88" s="62" t="s">
        <v>1070</v>
      </c>
      <c r="D88" s="62" t="s">
        <v>1176</v>
      </c>
      <c r="E88" s="63">
        <v>14</v>
      </c>
      <c r="F88" s="59">
        <f>((Table1[[#This Row],[Retail]]*0.4)*$M$1)+$M$2</f>
        <v>7.8100000000000014</v>
      </c>
      <c r="G88" s="63">
        <f>Table1[[#This Row],[Retail]]*0.95</f>
        <v>13.299999999999999</v>
      </c>
      <c r="H88" s="63">
        <f>Table1[[#This Row],[Retail]]*0.85</f>
        <v>11.9</v>
      </c>
      <c r="I88" s="63">
        <f>Table1[[#This Row],[Retail]]*0.8</f>
        <v>11.200000000000001</v>
      </c>
    </row>
    <row r="89" spans="1:9" ht="15.75" customHeight="1">
      <c r="A89" s="61" t="s">
        <v>1246</v>
      </c>
      <c r="B89" s="62" t="s">
        <v>1247</v>
      </c>
      <c r="C89" s="62" t="s">
        <v>1070</v>
      </c>
      <c r="D89" s="62" t="s">
        <v>1176</v>
      </c>
      <c r="E89" s="63">
        <v>16</v>
      </c>
      <c r="F89" s="59">
        <f>((Table1[[#This Row],[Retail]]*0.4)*$M$1)+$M$2</f>
        <v>8.85</v>
      </c>
      <c r="G89" s="63">
        <f>Table1[[#This Row],[Retail]]*0.95</f>
        <v>15.2</v>
      </c>
      <c r="H89" s="63">
        <f>Table1[[#This Row],[Retail]]*0.85</f>
        <v>13.6</v>
      </c>
      <c r="I89" s="63">
        <f>Table1[[#This Row],[Retail]]*0.8</f>
        <v>12.8</v>
      </c>
    </row>
    <row r="90" spans="1:9" ht="15.75" customHeight="1">
      <c r="A90" s="61" t="s">
        <v>1248</v>
      </c>
      <c r="B90" s="62" t="s">
        <v>1249</v>
      </c>
      <c r="C90" s="62" t="s">
        <v>1070</v>
      </c>
      <c r="D90" s="62" t="s">
        <v>1176</v>
      </c>
      <c r="E90" s="63">
        <v>24</v>
      </c>
      <c r="F90" s="59">
        <f>((Table1[[#This Row],[Retail]]*0.4)*$M$1)+$M$2</f>
        <v>13.010000000000002</v>
      </c>
      <c r="G90" s="63">
        <f>Table1[[#This Row],[Retail]]*0.95</f>
        <v>22.799999999999997</v>
      </c>
      <c r="H90" s="63">
        <f>Table1[[#This Row],[Retail]]*0.85</f>
        <v>20.399999999999999</v>
      </c>
      <c r="I90" s="63">
        <f>Table1[[#This Row],[Retail]]*0.8</f>
        <v>19.200000000000003</v>
      </c>
    </row>
    <row r="91" spans="1:9" ht="15.75" customHeight="1">
      <c r="A91" s="61" t="s">
        <v>1250</v>
      </c>
      <c r="B91" s="62" t="s">
        <v>1251</v>
      </c>
      <c r="C91" s="62" t="s">
        <v>432</v>
      </c>
      <c r="D91" s="62" t="s">
        <v>1252</v>
      </c>
      <c r="E91" s="63">
        <v>1.8</v>
      </c>
      <c r="F91" s="59">
        <f>((Table1[[#This Row],[Retail]]*0.4)*$M$1)+$M$2</f>
        <v>1.4660000000000002</v>
      </c>
      <c r="G91" s="63">
        <f>Table1[[#This Row],[Retail]]*0.95</f>
        <v>1.71</v>
      </c>
      <c r="H91" s="63">
        <f>Table1[[#This Row],[Retail]]*0.85</f>
        <v>1.53</v>
      </c>
      <c r="I91" s="63">
        <f>Table1[[#This Row],[Retail]]*0.8</f>
        <v>1.4400000000000002</v>
      </c>
    </row>
    <row r="92" spans="1:9" ht="15.75" customHeight="1">
      <c r="A92" s="61" t="s">
        <v>1253</v>
      </c>
      <c r="B92" s="62" t="s">
        <v>1254</v>
      </c>
      <c r="C92" s="62" t="s">
        <v>1070</v>
      </c>
      <c r="D92" s="62" t="s">
        <v>1071</v>
      </c>
      <c r="E92" s="63">
        <v>22</v>
      </c>
      <c r="F92" s="59">
        <f>((Table1[[#This Row],[Retail]]*0.4)*$M$1)+$M$2</f>
        <v>11.97</v>
      </c>
      <c r="G92" s="63">
        <f>Table1[[#This Row],[Retail]]*0.95</f>
        <v>20.9</v>
      </c>
      <c r="H92" s="63">
        <f>Table1[[#This Row],[Retail]]*0.85</f>
        <v>18.7</v>
      </c>
      <c r="I92" s="63">
        <f>Table1[[#This Row],[Retail]]*0.8</f>
        <v>17.600000000000001</v>
      </c>
    </row>
    <row r="93" spans="1:9" ht="15.75" customHeight="1">
      <c r="A93" s="61" t="s">
        <v>1255</v>
      </c>
      <c r="B93" s="62" t="s">
        <v>1256</v>
      </c>
      <c r="C93" s="62" t="s">
        <v>1070</v>
      </c>
      <c r="D93" s="62" t="s">
        <v>1176</v>
      </c>
      <c r="E93" s="63">
        <v>19</v>
      </c>
      <c r="F93" s="59">
        <f>((Table1[[#This Row],[Retail]]*0.4)*$M$1)+$M$2</f>
        <v>10.41</v>
      </c>
      <c r="G93" s="63">
        <f>Table1[[#This Row],[Retail]]*0.95</f>
        <v>18.05</v>
      </c>
      <c r="H93" s="63">
        <f>Table1[[#This Row],[Retail]]*0.85</f>
        <v>16.149999999999999</v>
      </c>
      <c r="I93" s="63">
        <f>Table1[[#This Row],[Retail]]*0.8</f>
        <v>15.200000000000001</v>
      </c>
    </row>
    <row r="94" spans="1:9" ht="15.75" customHeight="1">
      <c r="A94" s="61" t="s">
        <v>1257</v>
      </c>
      <c r="B94" s="62" t="s">
        <v>1258</v>
      </c>
      <c r="C94" s="62" t="s">
        <v>1070</v>
      </c>
      <c r="D94" s="62" t="s">
        <v>1176</v>
      </c>
      <c r="E94" s="63">
        <v>20</v>
      </c>
      <c r="F94" s="59">
        <f>((Table1[[#This Row],[Retail]]*0.4)*$M$1)+$M$2</f>
        <v>10.93</v>
      </c>
      <c r="G94" s="63">
        <f>Table1[[#This Row],[Retail]]*0.95</f>
        <v>19</v>
      </c>
      <c r="H94" s="63">
        <f>Table1[[#This Row],[Retail]]*0.85</f>
        <v>17</v>
      </c>
      <c r="I94" s="63">
        <f>Table1[[#This Row],[Retail]]*0.8</f>
        <v>16</v>
      </c>
    </row>
    <row r="95" spans="1:9" ht="15.75" customHeight="1">
      <c r="A95" s="61" t="s">
        <v>1259</v>
      </c>
      <c r="B95" s="62" t="s">
        <v>1260</v>
      </c>
      <c r="C95" s="62" t="s">
        <v>1070</v>
      </c>
      <c r="D95" s="62" t="s">
        <v>1176</v>
      </c>
      <c r="E95" s="63">
        <v>21</v>
      </c>
      <c r="F95" s="59">
        <f>((Table1[[#This Row],[Retail]]*0.4)*$M$1)+$M$2</f>
        <v>11.450000000000001</v>
      </c>
      <c r="G95" s="63">
        <f>Table1[[#This Row],[Retail]]*0.95</f>
        <v>19.95</v>
      </c>
      <c r="H95" s="63">
        <f>Table1[[#This Row],[Retail]]*0.85</f>
        <v>17.849999999999998</v>
      </c>
      <c r="I95" s="63">
        <f>Table1[[#This Row],[Retail]]*0.8</f>
        <v>16.8</v>
      </c>
    </row>
    <row r="96" spans="1:9" ht="15.75" customHeight="1">
      <c r="A96" s="61" t="s">
        <v>1261</v>
      </c>
      <c r="B96" s="62" t="s">
        <v>1262</v>
      </c>
      <c r="C96" s="66" t="s">
        <v>432</v>
      </c>
      <c r="D96" s="62" t="s">
        <v>1252</v>
      </c>
      <c r="E96" s="67">
        <v>1.8</v>
      </c>
      <c r="F96" s="59">
        <f>((Table1[[#This Row],[Retail]]*0.4)*$M$1)+$M$2</f>
        <v>1.4660000000000002</v>
      </c>
      <c r="G96" s="63">
        <f>Table1[[#This Row],[Retail]]*0.95</f>
        <v>1.71</v>
      </c>
      <c r="H96" s="63">
        <f>Table1[[#This Row],[Retail]]*0.85</f>
        <v>1.53</v>
      </c>
      <c r="I96" s="63">
        <f>Table1[[#This Row],[Retail]]*0.8</f>
        <v>1.4400000000000002</v>
      </c>
    </row>
    <row r="97" spans="1:13" ht="15.75" customHeight="1">
      <c r="A97" s="61" t="s">
        <v>1263</v>
      </c>
      <c r="B97" s="62" t="s">
        <v>1256</v>
      </c>
      <c r="C97" s="62" t="s">
        <v>1070</v>
      </c>
      <c r="D97" s="62" t="s">
        <v>1173</v>
      </c>
      <c r="E97" s="63">
        <v>25</v>
      </c>
      <c r="F97" s="59">
        <f>((Table1[[#This Row],[Retail]]*0.4)*$M$1)+$M$2</f>
        <v>13.53</v>
      </c>
      <c r="G97" s="63">
        <f>Table1[[#This Row],[Retail]]*0.95</f>
        <v>23.75</v>
      </c>
      <c r="H97" s="63">
        <f>Table1[[#This Row],[Retail]]*0.85</f>
        <v>21.25</v>
      </c>
      <c r="I97" s="63">
        <f>Table1[[#This Row],[Retail]]*0.8</f>
        <v>20</v>
      </c>
    </row>
    <row r="98" spans="1:13" ht="15.75" customHeight="1">
      <c r="A98" s="101" t="s">
        <v>1264</v>
      </c>
      <c r="B98" s="62" t="s">
        <v>1258</v>
      </c>
      <c r="C98" s="62" t="s">
        <v>1070</v>
      </c>
      <c r="D98" s="62" t="s">
        <v>1173</v>
      </c>
      <c r="E98" s="63">
        <v>26</v>
      </c>
      <c r="F98" s="59">
        <f>((Table1[[#This Row],[Retail]]*0.4)*$M$1)+$M$2</f>
        <v>14.05</v>
      </c>
      <c r="G98" s="63">
        <f>Table1[[#This Row],[Retail]]*0.95</f>
        <v>24.7</v>
      </c>
      <c r="H98" s="63">
        <f>Table1[[#This Row],[Retail]]*0.85</f>
        <v>22.099999999999998</v>
      </c>
      <c r="I98" s="63">
        <f>Table1[[#This Row],[Retail]]*0.8</f>
        <v>20.8</v>
      </c>
      <c r="M98" s="55">
        <f>13.6/10.4</f>
        <v>1.3076923076923077</v>
      </c>
    </row>
    <row r="99" spans="1:13" ht="15.75" customHeight="1">
      <c r="A99" s="61" t="s">
        <v>1265</v>
      </c>
      <c r="B99" s="62" t="s">
        <v>1260</v>
      </c>
      <c r="C99" s="62" t="s">
        <v>1070</v>
      </c>
      <c r="D99" s="62" t="s">
        <v>1173</v>
      </c>
      <c r="E99" s="63">
        <v>27</v>
      </c>
      <c r="F99" s="59">
        <f>((Table1[[#This Row],[Retail]]*0.4)*$M$1)+$M$2</f>
        <v>14.57</v>
      </c>
      <c r="G99" s="63">
        <f>Table1[[#This Row],[Retail]]*0.95</f>
        <v>25.65</v>
      </c>
      <c r="H99" s="63">
        <f>Table1[[#This Row],[Retail]]*0.85</f>
        <v>22.95</v>
      </c>
      <c r="I99" s="63">
        <f>Table1[[#This Row],[Retail]]*0.8</f>
        <v>21.6</v>
      </c>
    </row>
    <row r="100" spans="1:13" ht="15.75" customHeight="1">
      <c r="A100" s="61" t="s">
        <v>1266</v>
      </c>
      <c r="B100" s="62" t="s">
        <v>1267</v>
      </c>
      <c r="C100" s="62" t="s">
        <v>1070</v>
      </c>
      <c r="D100" s="62" t="s">
        <v>1173</v>
      </c>
      <c r="E100" s="63">
        <v>31</v>
      </c>
      <c r="F100" s="59">
        <f>((Table1[[#This Row],[Retail]]*0.4)*$M$1)+$M$2</f>
        <v>16.650000000000002</v>
      </c>
      <c r="G100" s="63">
        <f>Table1[[#This Row],[Retail]]*0.95</f>
        <v>29.45</v>
      </c>
      <c r="H100" s="63">
        <f>Table1[[#This Row],[Retail]]*0.85</f>
        <v>26.349999999999998</v>
      </c>
      <c r="I100" s="63">
        <f>Table1[[#This Row],[Retail]]*0.8</f>
        <v>24.8</v>
      </c>
    </row>
    <row r="101" spans="1:13" ht="15.75" customHeight="1">
      <c r="A101" s="61" t="s">
        <v>1268</v>
      </c>
      <c r="B101" s="62" t="s">
        <v>1269</v>
      </c>
      <c r="C101" s="62" t="s">
        <v>1070</v>
      </c>
      <c r="D101" s="62" t="s">
        <v>1176</v>
      </c>
      <c r="E101" s="63">
        <v>44</v>
      </c>
      <c r="F101" s="59">
        <f>((Table1[[#This Row],[Retail]]*0.4)*$M$1)+$M$2</f>
        <v>23.410000000000004</v>
      </c>
      <c r="G101" s="63">
        <f>Table1[[#This Row],[Retail]]*0.95</f>
        <v>41.8</v>
      </c>
      <c r="H101" s="63">
        <f>Table1[[#This Row],[Retail]]*0.85</f>
        <v>37.4</v>
      </c>
      <c r="I101" s="63">
        <f>Table1[[#This Row],[Retail]]*0.8</f>
        <v>35.200000000000003</v>
      </c>
    </row>
    <row r="102" spans="1:13" ht="15.75" customHeight="1">
      <c r="A102" s="61" t="s">
        <v>1270</v>
      </c>
      <c r="B102" s="62" t="s">
        <v>1271</v>
      </c>
      <c r="C102" s="62" t="s">
        <v>1070</v>
      </c>
      <c r="D102" s="62" t="s">
        <v>1176</v>
      </c>
      <c r="E102" s="63">
        <v>64</v>
      </c>
      <c r="F102" s="59">
        <f>((Table1[[#This Row],[Retail]]*0.4)*$M$1)+$M$2</f>
        <v>33.81</v>
      </c>
      <c r="G102" s="63">
        <f>Table1[[#This Row],[Retail]]*0.95</f>
        <v>60.8</v>
      </c>
      <c r="H102" s="63">
        <f>Table1[[#This Row],[Retail]]*0.85</f>
        <v>54.4</v>
      </c>
      <c r="I102" s="63">
        <f>Table1[[#This Row],[Retail]]*0.8</f>
        <v>51.2</v>
      </c>
    </row>
    <row r="103" spans="1:13" ht="15.75" customHeight="1">
      <c r="A103" s="61" t="s">
        <v>1272</v>
      </c>
      <c r="B103" s="62" t="s">
        <v>1273</v>
      </c>
      <c r="C103" s="62" t="s">
        <v>1070</v>
      </c>
      <c r="D103" s="62" t="s">
        <v>1173</v>
      </c>
      <c r="E103" s="63">
        <v>54</v>
      </c>
      <c r="F103" s="59">
        <f>((Table1[[#This Row],[Retail]]*0.4)*$M$1)+$M$2</f>
        <v>28.610000000000003</v>
      </c>
      <c r="G103" s="63">
        <f>Table1[[#This Row],[Retail]]*0.95</f>
        <v>51.3</v>
      </c>
      <c r="H103" s="63">
        <f>Table1[[#This Row],[Retail]]*0.85</f>
        <v>45.9</v>
      </c>
      <c r="I103" s="63">
        <f>Table1[[#This Row],[Retail]]*0.8</f>
        <v>43.2</v>
      </c>
    </row>
    <row r="104" spans="1:13" ht="15.75" customHeight="1">
      <c r="A104" s="61" t="s">
        <v>1274</v>
      </c>
      <c r="B104" s="62" t="s">
        <v>1275</v>
      </c>
      <c r="C104" s="62" t="s">
        <v>1070</v>
      </c>
      <c r="D104" s="62" t="s">
        <v>1173</v>
      </c>
      <c r="E104" s="63">
        <v>56</v>
      </c>
      <c r="F104" s="59">
        <f>((Table1[[#This Row],[Retail]]*0.4)*$M$1)+$M$2</f>
        <v>29.650000000000006</v>
      </c>
      <c r="G104" s="63">
        <f>Table1[[#This Row],[Retail]]*0.95</f>
        <v>53.199999999999996</v>
      </c>
      <c r="H104" s="63">
        <f>Table1[[#This Row],[Retail]]*0.85</f>
        <v>47.6</v>
      </c>
      <c r="I104" s="63">
        <f>Table1[[#This Row],[Retail]]*0.8</f>
        <v>44.800000000000004</v>
      </c>
    </row>
    <row r="105" spans="1:13" ht="15.75" customHeight="1">
      <c r="A105" s="61" t="s">
        <v>1276</v>
      </c>
      <c r="B105" s="62" t="s">
        <v>1277</v>
      </c>
      <c r="C105" s="62" t="s">
        <v>1070</v>
      </c>
      <c r="D105" s="62" t="s">
        <v>1173</v>
      </c>
      <c r="E105" s="63">
        <v>58</v>
      </c>
      <c r="F105" s="59">
        <f>((Table1[[#This Row],[Retail]]*0.4)*$M$1)+$M$2</f>
        <v>30.690000000000005</v>
      </c>
      <c r="G105" s="63">
        <f>Table1[[#This Row],[Retail]]*0.95</f>
        <v>55.099999999999994</v>
      </c>
      <c r="H105" s="63">
        <f>Table1[[#This Row],[Retail]]*0.85</f>
        <v>49.3</v>
      </c>
      <c r="I105" s="63">
        <f>Table1[[#This Row],[Retail]]*0.8</f>
        <v>46.400000000000006</v>
      </c>
    </row>
    <row r="106" spans="1:13" ht="15.75" customHeight="1">
      <c r="A106" s="61" t="s">
        <v>1278</v>
      </c>
      <c r="B106" s="62" t="s">
        <v>1279</v>
      </c>
      <c r="C106" s="62" t="s">
        <v>1070</v>
      </c>
      <c r="D106" s="62" t="s">
        <v>1173</v>
      </c>
      <c r="E106" s="63">
        <v>60</v>
      </c>
      <c r="F106" s="59">
        <f>((Table1[[#This Row],[Retail]]*0.4)*$M$1)+$M$2</f>
        <v>31.730000000000004</v>
      </c>
      <c r="G106" s="63">
        <f>Table1[[#This Row],[Retail]]*0.95</f>
        <v>57</v>
      </c>
      <c r="H106" s="63">
        <f>Table1[[#This Row],[Retail]]*0.85</f>
        <v>51</v>
      </c>
      <c r="I106" s="63">
        <f>Table1[[#This Row],[Retail]]*0.8</f>
        <v>48</v>
      </c>
    </row>
    <row r="107" spans="1:13" ht="15.75" customHeight="1">
      <c r="A107" s="61" t="s">
        <v>1280</v>
      </c>
      <c r="B107" s="62" t="s">
        <v>1281</v>
      </c>
      <c r="C107" s="62" t="s">
        <v>1066</v>
      </c>
      <c r="D107" s="62" t="s">
        <v>1173</v>
      </c>
      <c r="E107" s="63">
        <v>48</v>
      </c>
      <c r="F107" s="59">
        <f>((Table1[[#This Row],[Retail]]*0.4)*$M$1)+$M$2</f>
        <v>25.490000000000006</v>
      </c>
      <c r="G107" s="63">
        <f>Table1[[#This Row],[Retail]]*0.95</f>
        <v>45.599999999999994</v>
      </c>
      <c r="H107" s="63">
        <f>Table1[[#This Row],[Retail]]*0.85</f>
        <v>40.799999999999997</v>
      </c>
      <c r="I107" s="63">
        <f>Table1[[#This Row],[Retail]]*0.8</f>
        <v>38.400000000000006</v>
      </c>
    </row>
    <row r="108" spans="1:13" ht="15.75" customHeight="1">
      <c r="A108" s="61" t="s">
        <v>1282</v>
      </c>
      <c r="B108" s="62" t="s">
        <v>1283</v>
      </c>
      <c r="C108" s="62" t="s">
        <v>1070</v>
      </c>
      <c r="D108" s="62" t="s">
        <v>1173</v>
      </c>
      <c r="E108" s="63">
        <v>28</v>
      </c>
      <c r="F108" s="59">
        <f>((Table1[[#This Row],[Retail]]*0.4)*$M$1)+$M$2</f>
        <v>15.090000000000002</v>
      </c>
      <c r="G108" s="63">
        <f>Table1[[#This Row],[Retail]]*0.95</f>
        <v>26.599999999999998</v>
      </c>
      <c r="H108" s="63">
        <f>Table1[[#This Row],[Retail]]*0.85</f>
        <v>23.8</v>
      </c>
      <c r="I108" s="63">
        <f>Table1[[#This Row],[Retail]]*0.8</f>
        <v>22.400000000000002</v>
      </c>
    </row>
    <row r="109" spans="1:13" ht="15.75" customHeight="1">
      <c r="A109" s="61" t="s">
        <v>1284</v>
      </c>
      <c r="B109" s="62" t="s">
        <v>1285</v>
      </c>
      <c r="C109" s="62" t="s">
        <v>1070</v>
      </c>
      <c r="D109" s="62" t="s">
        <v>1173</v>
      </c>
      <c r="E109" s="63">
        <v>29</v>
      </c>
      <c r="F109" s="59">
        <f>((Table1[[#This Row],[Retail]]*0.4)*$M$1)+$M$2</f>
        <v>15.610000000000001</v>
      </c>
      <c r="G109" s="63">
        <f>Table1[[#This Row],[Retail]]*0.95</f>
        <v>27.549999999999997</v>
      </c>
      <c r="H109" s="63">
        <f>Table1[[#This Row],[Retail]]*0.85</f>
        <v>24.65</v>
      </c>
      <c r="I109" s="63">
        <f>Table1[[#This Row],[Retail]]*0.8</f>
        <v>23.200000000000003</v>
      </c>
    </row>
    <row r="110" spans="1:13" ht="15.75" customHeight="1">
      <c r="A110" s="61" t="s">
        <v>1286</v>
      </c>
      <c r="B110" s="62" t="s">
        <v>1287</v>
      </c>
      <c r="C110" s="62" t="s">
        <v>1070</v>
      </c>
      <c r="D110" s="62" t="s">
        <v>1173</v>
      </c>
      <c r="E110" s="63">
        <v>32</v>
      </c>
      <c r="F110" s="59">
        <f>((Table1[[#This Row],[Retail]]*0.4)*$M$1)+$M$2</f>
        <v>17.170000000000002</v>
      </c>
      <c r="G110" s="63">
        <f>Table1[[#This Row],[Retail]]*0.95</f>
        <v>30.4</v>
      </c>
      <c r="H110" s="63">
        <f>Table1[[#This Row],[Retail]]*0.85</f>
        <v>27.2</v>
      </c>
      <c r="I110" s="63">
        <f>Table1[[#This Row],[Retail]]*0.8</f>
        <v>25.6</v>
      </c>
    </row>
    <row r="111" spans="1:13" ht="15.75" customHeight="1">
      <c r="A111" s="61" t="s">
        <v>1288</v>
      </c>
      <c r="B111" s="62" t="s">
        <v>1289</v>
      </c>
      <c r="C111" s="62" t="s">
        <v>1070</v>
      </c>
      <c r="D111" s="62" t="s">
        <v>1173</v>
      </c>
      <c r="E111" s="63">
        <v>34</v>
      </c>
      <c r="F111" s="59">
        <f>((Table1[[#This Row],[Retail]]*0.4)*$M$1)+$M$2</f>
        <v>18.210000000000004</v>
      </c>
      <c r="G111" s="63">
        <f>Table1[[#This Row],[Retail]]*0.95</f>
        <v>32.299999999999997</v>
      </c>
      <c r="H111" s="63">
        <f>Table1[[#This Row],[Retail]]*0.85</f>
        <v>28.9</v>
      </c>
      <c r="I111" s="63">
        <f>Table1[[#This Row],[Retail]]*0.8</f>
        <v>27.200000000000003</v>
      </c>
    </row>
    <row r="112" spans="1:13" ht="15.75" customHeight="1">
      <c r="A112" s="61" t="s">
        <v>1290</v>
      </c>
      <c r="B112" s="62" t="s">
        <v>1291</v>
      </c>
      <c r="C112" s="62" t="s">
        <v>1070</v>
      </c>
      <c r="D112" s="62" t="s">
        <v>1176</v>
      </c>
      <c r="E112" s="63">
        <v>32</v>
      </c>
      <c r="F112" s="59">
        <f>((Table1[[#This Row],[Retail]]*0.4)*$M$1)+$M$2</f>
        <v>17.170000000000002</v>
      </c>
      <c r="G112" s="63">
        <f>Table1[[#This Row],[Retail]]*0.95</f>
        <v>30.4</v>
      </c>
      <c r="H112" s="63">
        <f>Table1[[#This Row],[Retail]]*0.85</f>
        <v>27.2</v>
      </c>
      <c r="I112" s="63">
        <f>Table1[[#This Row],[Retail]]*0.8</f>
        <v>25.6</v>
      </c>
    </row>
    <row r="113" spans="1:9" ht="15.75" customHeight="1">
      <c r="A113" s="61" t="s">
        <v>1292</v>
      </c>
      <c r="B113" s="62" t="s">
        <v>1293</v>
      </c>
      <c r="C113" s="62" t="s">
        <v>1070</v>
      </c>
      <c r="D113" s="62" t="s">
        <v>1176</v>
      </c>
      <c r="E113" s="63">
        <v>36</v>
      </c>
      <c r="F113" s="59">
        <f>((Table1[[#This Row],[Retail]]*0.4)*$M$1)+$M$2</f>
        <v>19.250000000000004</v>
      </c>
      <c r="G113" s="63">
        <f>Table1[[#This Row],[Retail]]*0.95</f>
        <v>34.199999999999996</v>
      </c>
      <c r="H113" s="63">
        <f>Table1[[#This Row],[Retail]]*0.85</f>
        <v>30.599999999999998</v>
      </c>
      <c r="I113" s="63">
        <f>Table1[[#This Row],[Retail]]*0.8</f>
        <v>28.8</v>
      </c>
    </row>
    <row r="114" spans="1:9" ht="15.75" customHeight="1">
      <c r="A114" s="61" t="s">
        <v>1294</v>
      </c>
      <c r="B114" s="62" t="s">
        <v>1291</v>
      </c>
      <c r="C114" s="62" t="s">
        <v>1070</v>
      </c>
      <c r="D114" s="62" t="s">
        <v>1173</v>
      </c>
      <c r="E114" s="63">
        <v>44</v>
      </c>
      <c r="F114" s="59">
        <f>((Table1[[#This Row],[Retail]]*0.4)*$M$1)+$M$2</f>
        <v>23.410000000000004</v>
      </c>
      <c r="G114" s="63">
        <f>Table1[[#This Row],[Retail]]*0.95</f>
        <v>41.8</v>
      </c>
      <c r="H114" s="63">
        <f>Table1[[#This Row],[Retail]]*0.85</f>
        <v>37.4</v>
      </c>
      <c r="I114" s="63">
        <f>Table1[[#This Row],[Retail]]*0.8</f>
        <v>35.200000000000003</v>
      </c>
    </row>
    <row r="115" spans="1:9" ht="15.75" customHeight="1">
      <c r="A115" s="61" t="s">
        <v>1295</v>
      </c>
      <c r="B115" s="62" t="s">
        <v>1293</v>
      </c>
      <c r="C115" s="62" t="s">
        <v>1070</v>
      </c>
      <c r="D115" s="62" t="s">
        <v>1173</v>
      </c>
      <c r="E115" s="63">
        <v>45</v>
      </c>
      <c r="F115" s="59">
        <f>((Table1[[#This Row],[Retail]]*0.4)*$M$1)+$M$2</f>
        <v>23.930000000000003</v>
      </c>
      <c r="G115" s="63">
        <f>Table1[[#This Row],[Retail]]*0.95</f>
        <v>42.75</v>
      </c>
      <c r="H115" s="63">
        <f>Table1[[#This Row],[Retail]]*0.85</f>
        <v>38.25</v>
      </c>
      <c r="I115" s="63">
        <f>Table1[[#This Row],[Retail]]*0.8</f>
        <v>36</v>
      </c>
    </row>
    <row r="116" spans="1:9" ht="15.75" customHeight="1">
      <c r="A116" s="61" t="s">
        <v>1296</v>
      </c>
      <c r="B116" s="62" t="s">
        <v>1297</v>
      </c>
      <c r="C116" s="62" t="s">
        <v>1070</v>
      </c>
      <c r="D116" s="62" t="s">
        <v>1173</v>
      </c>
      <c r="E116" s="63">
        <v>28</v>
      </c>
      <c r="F116" s="59">
        <f>((Table1[[#This Row],[Retail]]*0.4)*$M$1)+$M$2</f>
        <v>15.090000000000002</v>
      </c>
      <c r="G116" s="63">
        <f>Table1[[#This Row],[Retail]]*0.95</f>
        <v>26.599999999999998</v>
      </c>
      <c r="H116" s="63">
        <f>Table1[[#This Row],[Retail]]*0.85</f>
        <v>23.8</v>
      </c>
      <c r="I116" s="63">
        <f>Table1[[#This Row],[Retail]]*0.8</f>
        <v>22.400000000000002</v>
      </c>
    </row>
    <row r="117" spans="1:9" ht="15.75" customHeight="1">
      <c r="A117" s="61" t="s">
        <v>1298</v>
      </c>
      <c r="B117" s="62" t="s">
        <v>1299</v>
      </c>
      <c r="C117" s="62" t="s">
        <v>1070</v>
      </c>
      <c r="D117" s="62" t="s">
        <v>1176</v>
      </c>
      <c r="E117" s="63">
        <v>60</v>
      </c>
      <c r="F117" s="59">
        <f>((Table1[[#This Row],[Retail]]*0.4)*$M$1)+$M$2</f>
        <v>31.730000000000004</v>
      </c>
      <c r="G117" s="63">
        <f>Table1[[#This Row],[Retail]]*0.95</f>
        <v>57</v>
      </c>
      <c r="H117" s="63">
        <f>Table1[[#This Row],[Retail]]*0.85</f>
        <v>51</v>
      </c>
      <c r="I117" s="63">
        <f>Table1[[#This Row],[Retail]]*0.8</f>
        <v>48</v>
      </c>
    </row>
    <row r="118" spans="1:9" ht="15.75" customHeight="1">
      <c r="A118" s="61" t="s">
        <v>1300</v>
      </c>
      <c r="B118" s="62" t="s">
        <v>1301</v>
      </c>
      <c r="C118" s="62" t="s">
        <v>1066</v>
      </c>
      <c r="D118" s="62" t="s">
        <v>1176</v>
      </c>
      <c r="E118" s="63">
        <v>68</v>
      </c>
      <c r="F118" s="59">
        <f>((Table1[[#This Row],[Retail]]*0.4)*$M$1)+$M$2</f>
        <v>35.890000000000008</v>
      </c>
      <c r="G118" s="63">
        <f>Table1[[#This Row],[Retail]]*0.95</f>
        <v>64.599999999999994</v>
      </c>
      <c r="H118" s="63">
        <f>Table1[[#This Row],[Retail]]*0.85</f>
        <v>57.8</v>
      </c>
      <c r="I118" s="63">
        <f>Table1[[#This Row],[Retail]]*0.8</f>
        <v>54.400000000000006</v>
      </c>
    </row>
    <row r="119" spans="1:9" ht="15.75" customHeight="1">
      <c r="A119" s="61" t="s">
        <v>1302</v>
      </c>
      <c r="B119" s="62" t="s">
        <v>1303</v>
      </c>
      <c r="C119" s="62" t="s">
        <v>1066</v>
      </c>
      <c r="D119" s="62" t="s">
        <v>1176</v>
      </c>
      <c r="E119" s="63">
        <v>76</v>
      </c>
      <c r="F119" s="59">
        <f>((Table1[[#This Row],[Retail]]*0.4)*$M$1)+$M$2</f>
        <v>40.050000000000004</v>
      </c>
      <c r="G119" s="63">
        <f>Table1[[#This Row],[Retail]]*0.95</f>
        <v>72.2</v>
      </c>
      <c r="H119" s="63">
        <f>Table1[[#This Row],[Retail]]*0.85</f>
        <v>64.599999999999994</v>
      </c>
      <c r="I119" s="63">
        <f>Table1[[#This Row],[Retail]]*0.8</f>
        <v>60.800000000000004</v>
      </c>
    </row>
    <row r="120" spans="1:9" ht="15.75" customHeight="1">
      <c r="A120" s="61" t="s">
        <v>1304</v>
      </c>
      <c r="B120" s="62" t="s">
        <v>1305</v>
      </c>
      <c r="C120" s="62" t="s">
        <v>1066</v>
      </c>
      <c r="D120" s="62" t="s">
        <v>1176</v>
      </c>
      <c r="E120" s="63">
        <v>88</v>
      </c>
      <c r="F120" s="59">
        <f>((Table1[[#This Row],[Retail]]*0.4)*$M$1)+$M$2</f>
        <v>46.290000000000006</v>
      </c>
      <c r="G120" s="63">
        <f>Table1[[#This Row],[Retail]]*0.95</f>
        <v>83.6</v>
      </c>
      <c r="H120" s="63">
        <f>Table1[[#This Row],[Retail]]*0.85</f>
        <v>74.8</v>
      </c>
      <c r="I120" s="63">
        <f>Table1[[#This Row],[Retail]]*0.8</f>
        <v>70.400000000000006</v>
      </c>
    </row>
    <row r="121" spans="1:9" ht="15.75" customHeight="1">
      <c r="A121" s="61" t="s">
        <v>1306</v>
      </c>
      <c r="B121" s="62" t="s">
        <v>1307</v>
      </c>
      <c r="C121" s="62" t="s">
        <v>1066</v>
      </c>
      <c r="D121" s="62" t="s">
        <v>1176</v>
      </c>
      <c r="E121" s="63">
        <v>96</v>
      </c>
      <c r="F121" s="59">
        <f>((Table1[[#This Row],[Retail]]*0.4)*$M$1)+$M$2</f>
        <v>50.45000000000001</v>
      </c>
      <c r="G121" s="63">
        <f>Table1[[#This Row],[Retail]]*0.95</f>
        <v>91.199999999999989</v>
      </c>
      <c r="H121" s="63">
        <f>Table1[[#This Row],[Retail]]*0.85</f>
        <v>81.599999999999994</v>
      </c>
      <c r="I121" s="63">
        <f>Table1[[#This Row],[Retail]]*0.8</f>
        <v>76.800000000000011</v>
      </c>
    </row>
    <row r="122" spans="1:9" ht="15.75" customHeight="1">
      <c r="A122" s="61" t="s">
        <v>1308</v>
      </c>
      <c r="B122" s="62" t="s">
        <v>1303</v>
      </c>
      <c r="C122" s="62" t="s">
        <v>1066</v>
      </c>
      <c r="D122" s="62" t="s">
        <v>1173</v>
      </c>
      <c r="E122" s="63">
        <v>100</v>
      </c>
      <c r="F122" s="59">
        <f>((Table1[[#This Row],[Retail]]*0.4)*$M$1)+$M$2</f>
        <v>52.53</v>
      </c>
      <c r="G122" s="63">
        <f>Table1[[#This Row],[Retail]]*0.95</f>
        <v>95</v>
      </c>
      <c r="H122" s="63">
        <f>Table1[[#This Row],[Retail]]*0.85</f>
        <v>85</v>
      </c>
      <c r="I122" s="63">
        <f>Table1[[#This Row],[Retail]]*0.8</f>
        <v>80</v>
      </c>
    </row>
    <row r="123" spans="1:9" ht="15.75" customHeight="1">
      <c r="A123" s="61" t="s">
        <v>1309</v>
      </c>
      <c r="B123" s="62" t="s">
        <v>1310</v>
      </c>
      <c r="C123" s="62" t="s">
        <v>1066</v>
      </c>
      <c r="D123" s="62" t="s">
        <v>1071</v>
      </c>
      <c r="E123" s="63">
        <v>199</v>
      </c>
      <c r="F123" s="59">
        <f>((Table1[[#This Row],[Retail]]*0.4)*$M$1)+$M$2</f>
        <v>104.01000000000002</v>
      </c>
      <c r="G123" s="63">
        <f>Table1[[#This Row],[Retail]]*0.95</f>
        <v>189.04999999999998</v>
      </c>
      <c r="H123" s="63">
        <f>Table1[[#This Row],[Retail]]*0.85</f>
        <v>169.15</v>
      </c>
      <c r="I123" s="63">
        <f>Table1[[#This Row],[Retail]]*0.8</f>
        <v>159.20000000000002</v>
      </c>
    </row>
    <row r="124" spans="1:9" ht="15.75" customHeight="1">
      <c r="A124" s="61" t="s">
        <v>1311</v>
      </c>
      <c r="B124" s="62" t="s">
        <v>1312</v>
      </c>
      <c r="C124" s="62" t="s">
        <v>1066</v>
      </c>
      <c r="D124" s="62" t="s">
        <v>1071</v>
      </c>
      <c r="E124" s="63">
        <v>199</v>
      </c>
      <c r="F124" s="59">
        <f>((Table1[[#This Row],[Retail]]*0.4)*$M$1)+$M$2</f>
        <v>104.01000000000002</v>
      </c>
      <c r="G124" s="63">
        <f>Table1[[#This Row],[Retail]]*0.95</f>
        <v>189.04999999999998</v>
      </c>
      <c r="H124" s="63">
        <f>Table1[[#This Row],[Retail]]*0.85</f>
        <v>169.15</v>
      </c>
      <c r="I124" s="63">
        <f>Table1[[#This Row],[Retail]]*0.8</f>
        <v>159.20000000000002</v>
      </c>
    </row>
    <row r="125" spans="1:9" ht="15.75" customHeight="1">
      <c r="A125" s="61" t="s">
        <v>1313</v>
      </c>
      <c r="B125" s="62" t="s">
        <v>1314</v>
      </c>
      <c r="C125" s="62" t="s">
        <v>1066</v>
      </c>
      <c r="D125" s="62" t="s">
        <v>1071</v>
      </c>
      <c r="E125" s="63">
        <v>219</v>
      </c>
      <c r="F125" s="59">
        <f>((Table1[[#This Row],[Retail]]*0.4)*$M$1)+$M$2</f>
        <v>114.41000000000001</v>
      </c>
      <c r="G125" s="63">
        <f>Table1[[#This Row],[Retail]]*0.95</f>
        <v>208.04999999999998</v>
      </c>
      <c r="H125" s="63">
        <f>Table1[[#This Row],[Retail]]*0.85</f>
        <v>186.15</v>
      </c>
      <c r="I125" s="63">
        <f>Table1[[#This Row],[Retail]]*0.8</f>
        <v>175.20000000000002</v>
      </c>
    </row>
    <row r="126" spans="1:9" ht="15.75" customHeight="1">
      <c r="A126" s="61" t="s">
        <v>1315</v>
      </c>
      <c r="B126" s="62" t="s">
        <v>1316</v>
      </c>
      <c r="C126" s="62" t="s">
        <v>1066</v>
      </c>
      <c r="D126" s="62" t="s">
        <v>1071</v>
      </c>
      <c r="E126" s="63">
        <v>199</v>
      </c>
      <c r="F126" s="59">
        <f>((Table1[[#This Row],[Retail]]*0.4)*$M$1)+$M$2</f>
        <v>104.01000000000002</v>
      </c>
      <c r="G126" s="63">
        <f>Table1[[#This Row],[Retail]]*0.95</f>
        <v>189.04999999999998</v>
      </c>
      <c r="H126" s="63">
        <f>Table1[[#This Row],[Retail]]*0.85</f>
        <v>169.15</v>
      </c>
      <c r="I126" s="63">
        <f>Table1[[#This Row],[Retail]]*0.8</f>
        <v>159.20000000000002</v>
      </c>
    </row>
    <row r="127" spans="1:9" ht="15.75" customHeight="1">
      <c r="A127" s="61" t="s">
        <v>1317</v>
      </c>
      <c r="B127" s="62" t="s">
        <v>1318</v>
      </c>
      <c r="C127" s="62" t="s">
        <v>1066</v>
      </c>
      <c r="D127" s="62" t="s">
        <v>1071</v>
      </c>
      <c r="E127" s="63">
        <v>219</v>
      </c>
      <c r="F127" s="59">
        <f>((Table1[[#This Row],[Retail]]*0.4)*$M$1)+$M$2</f>
        <v>114.41000000000001</v>
      </c>
      <c r="G127" s="63">
        <f>Table1[[#This Row],[Retail]]*0.95</f>
        <v>208.04999999999998</v>
      </c>
      <c r="H127" s="63">
        <f>Table1[[#This Row],[Retail]]*0.85</f>
        <v>186.15</v>
      </c>
      <c r="I127" s="63">
        <f>Table1[[#This Row],[Retail]]*0.8</f>
        <v>175.20000000000002</v>
      </c>
    </row>
    <row r="128" spans="1:9" ht="15.75" customHeight="1">
      <c r="A128" s="61" t="s">
        <v>1319</v>
      </c>
      <c r="B128" s="62" t="s">
        <v>1320</v>
      </c>
      <c r="C128" s="62" t="s">
        <v>1066</v>
      </c>
      <c r="D128" s="62" t="s">
        <v>1071</v>
      </c>
      <c r="E128" s="63">
        <v>249</v>
      </c>
      <c r="F128" s="59">
        <f>((Table1[[#This Row],[Retail]]*0.4)*$M$1)+$M$2</f>
        <v>130.01000000000002</v>
      </c>
      <c r="G128" s="63">
        <f>Table1[[#This Row],[Retail]]*0.95</f>
        <v>236.54999999999998</v>
      </c>
      <c r="H128" s="63">
        <f>Table1[[#This Row],[Retail]]*0.85</f>
        <v>211.65</v>
      </c>
      <c r="I128" s="63">
        <f>Table1[[#This Row],[Retail]]*0.8</f>
        <v>199.20000000000002</v>
      </c>
    </row>
    <row r="129" spans="1:13" ht="15.75" customHeight="1">
      <c r="A129" s="61" t="s">
        <v>1321</v>
      </c>
      <c r="B129" s="62" t="s">
        <v>1322</v>
      </c>
      <c r="C129" s="62" t="s">
        <v>1066</v>
      </c>
      <c r="D129" s="62" t="s">
        <v>1071</v>
      </c>
      <c r="E129" s="63">
        <v>229</v>
      </c>
      <c r="F129" s="59">
        <f>((Table1[[#This Row],[Retail]]*0.4)*$M$1)+$M$2</f>
        <v>119.61000000000001</v>
      </c>
      <c r="G129" s="63">
        <f>Table1[[#This Row],[Retail]]*0.95</f>
        <v>217.54999999999998</v>
      </c>
      <c r="H129" s="63">
        <f>Table1[[#This Row],[Retail]]*0.85</f>
        <v>194.65</v>
      </c>
      <c r="I129" s="63">
        <f>Table1[[#This Row],[Retail]]*0.8</f>
        <v>183.20000000000002</v>
      </c>
    </row>
    <row r="130" spans="1:13" ht="15.75" customHeight="1">
      <c r="A130" s="61" t="s">
        <v>1323</v>
      </c>
      <c r="B130" s="62" t="s">
        <v>1324</v>
      </c>
      <c r="C130" s="62" t="s">
        <v>432</v>
      </c>
      <c r="D130" s="62" t="s">
        <v>1176</v>
      </c>
      <c r="E130" s="63">
        <v>16</v>
      </c>
      <c r="F130" s="59">
        <f>((Table1[[#This Row],[Retail]]*0.4)*$M$1)+$M$2</f>
        <v>8.85</v>
      </c>
      <c r="G130" s="63">
        <f>Table1[[#This Row],[Retail]]*0.95</f>
        <v>15.2</v>
      </c>
      <c r="H130" s="63">
        <f>Table1[[#This Row],[Retail]]*0.85</f>
        <v>13.6</v>
      </c>
      <c r="I130" s="63">
        <f>Table1[[#This Row],[Retail]]*0.8</f>
        <v>12.8</v>
      </c>
    </row>
    <row r="131" spans="1:13" ht="15.75" customHeight="1">
      <c r="A131" s="61" t="s">
        <v>1325</v>
      </c>
      <c r="B131" s="62" t="s">
        <v>1326</v>
      </c>
      <c r="C131" s="62" t="s">
        <v>432</v>
      </c>
      <c r="D131" s="62" t="s">
        <v>1176</v>
      </c>
      <c r="E131" s="63">
        <v>22</v>
      </c>
      <c r="F131" s="59">
        <f>((Table1[[#This Row],[Retail]]*0.4)*$M$1)+$M$2</f>
        <v>11.97</v>
      </c>
      <c r="G131" s="63">
        <f>Table1[[#This Row],[Retail]]*0.95</f>
        <v>20.9</v>
      </c>
      <c r="H131" s="63">
        <f>Table1[[#This Row],[Retail]]*0.85</f>
        <v>18.7</v>
      </c>
      <c r="I131" s="63">
        <f>Table1[[#This Row],[Retail]]*0.8</f>
        <v>17.600000000000001</v>
      </c>
    </row>
    <row r="132" spans="1:13" ht="15.75" customHeight="1">
      <c r="A132" s="61" t="s">
        <v>1327</v>
      </c>
      <c r="B132" s="62" t="s">
        <v>1328</v>
      </c>
      <c r="C132" s="62" t="s">
        <v>432</v>
      </c>
      <c r="D132" s="62" t="s">
        <v>1173</v>
      </c>
      <c r="E132" s="63">
        <v>24</v>
      </c>
      <c r="F132" s="59">
        <f>((Table1[[#This Row],[Retail]]*0.4)*$M$1)+$M$2</f>
        <v>13.010000000000002</v>
      </c>
      <c r="G132" s="63">
        <f>Table1[[#This Row],[Retail]]*0.95</f>
        <v>22.799999999999997</v>
      </c>
      <c r="H132" s="63">
        <f>Table1[[#This Row],[Retail]]*0.85</f>
        <v>20.399999999999999</v>
      </c>
      <c r="I132" s="63">
        <f>Table1[[#This Row],[Retail]]*0.8</f>
        <v>19.200000000000003</v>
      </c>
    </row>
    <row r="133" spans="1:13" ht="15.75" customHeight="1">
      <c r="A133" s="61" t="s">
        <v>1329</v>
      </c>
      <c r="B133" s="62" t="s">
        <v>1330</v>
      </c>
      <c r="C133" s="62" t="s">
        <v>432</v>
      </c>
      <c r="D133" s="62" t="s">
        <v>1173</v>
      </c>
      <c r="E133" s="63">
        <v>38</v>
      </c>
      <c r="F133" s="59">
        <f>((Table1[[#This Row],[Retail]]*0.4)*$M$1)+$M$2</f>
        <v>20.290000000000003</v>
      </c>
      <c r="G133" s="63">
        <f>Table1[[#This Row],[Retail]]*0.95</f>
        <v>36.1</v>
      </c>
      <c r="H133" s="63">
        <f>Table1[[#This Row],[Retail]]*0.85</f>
        <v>32.299999999999997</v>
      </c>
      <c r="I133" s="63">
        <f>Table1[[#This Row],[Retail]]*0.8</f>
        <v>30.400000000000002</v>
      </c>
    </row>
    <row r="134" spans="1:13" ht="15.75" customHeight="1">
      <c r="A134" s="61" t="s">
        <v>1331</v>
      </c>
      <c r="B134" s="62" t="s">
        <v>1332</v>
      </c>
      <c r="C134" s="62" t="s">
        <v>432</v>
      </c>
      <c r="D134" s="62" t="s">
        <v>1173</v>
      </c>
      <c r="E134" s="63">
        <v>8</v>
      </c>
      <c r="F134" s="59">
        <f>((Table1[[#This Row],[Retail]]*0.4)*$M$1)+$M$2</f>
        <v>4.6900000000000004</v>
      </c>
      <c r="G134" s="63">
        <f>Table1[[#This Row],[Retail]]*0.95</f>
        <v>7.6</v>
      </c>
      <c r="H134" s="63">
        <f>Table1[[#This Row],[Retail]]*0.85</f>
        <v>6.8</v>
      </c>
      <c r="I134" s="63">
        <f>Table1[[#This Row],[Retail]]*0.8</f>
        <v>6.4</v>
      </c>
    </row>
    <row r="135" spans="1:13" ht="15.75" customHeight="1">
      <c r="A135" s="61" t="s">
        <v>1333</v>
      </c>
      <c r="B135" s="62" t="s">
        <v>1334</v>
      </c>
      <c r="C135" s="62" t="s">
        <v>1070</v>
      </c>
      <c r="D135" s="62" t="s">
        <v>1176</v>
      </c>
      <c r="E135" s="63">
        <v>28</v>
      </c>
      <c r="F135" s="59">
        <f>((Table1[[#This Row],[Retail]]*0.4)*$M$1)+$M$2</f>
        <v>15.090000000000002</v>
      </c>
      <c r="G135" s="63">
        <f>Table1[[#This Row],[Retail]]*0.95</f>
        <v>26.599999999999998</v>
      </c>
      <c r="H135" s="63">
        <f>Table1[[#This Row],[Retail]]*0.85</f>
        <v>23.8</v>
      </c>
      <c r="I135" s="63">
        <f>Table1[[#This Row],[Retail]]*0.8</f>
        <v>22.400000000000002</v>
      </c>
    </row>
    <row r="136" spans="1:13" ht="15.75" customHeight="1">
      <c r="A136" s="61" t="s">
        <v>1335</v>
      </c>
      <c r="B136" s="62" t="s">
        <v>1334</v>
      </c>
      <c r="C136" s="62" t="s">
        <v>1070</v>
      </c>
      <c r="D136" s="62" t="s">
        <v>1173</v>
      </c>
      <c r="E136" s="63">
        <v>38</v>
      </c>
      <c r="F136" s="59">
        <f>((Table1[[#This Row],[Retail]]*0.4)*$M$1)+$M$2</f>
        <v>20.290000000000003</v>
      </c>
      <c r="G136" s="63">
        <f>Table1[[#This Row],[Retail]]*0.95</f>
        <v>36.1</v>
      </c>
      <c r="H136" s="63">
        <f>Table1[[#This Row],[Retail]]*0.85</f>
        <v>32.299999999999997</v>
      </c>
      <c r="I136" s="63">
        <f>Table1[[#This Row],[Retail]]*0.8</f>
        <v>30.400000000000002</v>
      </c>
    </row>
    <row r="137" spans="1:13" ht="15.75" customHeight="1">
      <c r="A137" s="61" t="s">
        <v>1336</v>
      </c>
      <c r="B137" s="62" t="s">
        <v>1337</v>
      </c>
      <c r="C137" s="62" t="s">
        <v>1070</v>
      </c>
      <c r="D137" s="62" t="s">
        <v>1176</v>
      </c>
      <c r="E137" s="63">
        <v>29</v>
      </c>
      <c r="F137" s="59">
        <f>((Table1[[#This Row],[Retail]]*0.4)*$M$1)+$M$2</f>
        <v>15.610000000000001</v>
      </c>
      <c r="G137" s="63">
        <f>Table1[[#This Row],[Retail]]*0.95</f>
        <v>27.549999999999997</v>
      </c>
      <c r="H137" s="63">
        <f>Table1[[#This Row],[Retail]]*0.85</f>
        <v>24.65</v>
      </c>
      <c r="I137" s="63">
        <f>Table1[[#This Row],[Retail]]*0.8</f>
        <v>23.200000000000003</v>
      </c>
    </row>
    <row r="138" spans="1:13" ht="15.75" customHeight="1">
      <c r="A138" s="61" t="s">
        <v>1338</v>
      </c>
      <c r="B138" s="62" t="s">
        <v>1337</v>
      </c>
      <c r="C138" s="62" t="s">
        <v>1070</v>
      </c>
      <c r="D138" s="62" t="s">
        <v>1173</v>
      </c>
      <c r="E138" s="63">
        <v>40</v>
      </c>
      <c r="F138" s="59">
        <f>((Table1[[#This Row],[Retail]]*0.4)*$M$1)+$M$2</f>
        <v>21.330000000000002</v>
      </c>
      <c r="G138" s="63">
        <f>Table1[[#This Row],[Retail]]*0.95</f>
        <v>38</v>
      </c>
      <c r="H138" s="63">
        <f>Table1[[#This Row],[Retail]]*0.85</f>
        <v>34</v>
      </c>
      <c r="I138" s="63">
        <f>Table1[[#This Row],[Retail]]*0.8</f>
        <v>32</v>
      </c>
    </row>
    <row r="139" spans="1:13" ht="15.75" customHeight="1">
      <c r="A139" s="61" t="s">
        <v>1339</v>
      </c>
      <c r="B139" s="62" t="s">
        <v>1340</v>
      </c>
      <c r="C139" s="62" t="s">
        <v>1070</v>
      </c>
      <c r="D139" s="62" t="s">
        <v>1252</v>
      </c>
      <c r="E139" s="63">
        <v>8</v>
      </c>
      <c r="F139" s="59">
        <f>((Table1[[#This Row],[Retail]]*0.4)*$M$1)+$M$2</f>
        <v>4.6900000000000004</v>
      </c>
      <c r="G139" s="63">
        <f>Table1[[#This Row],[Retail]]*0.95</f>
        <v>7.6</v>
      </c>
      <c r="H139" s="63">
        <f>Table1[[#This Row],[Retail]]*0.85</f>
        <v>6.8</v>
      </c>
      <c r="I139" s="63">
        <f>Table1[[#This Row],[Retail]]*0.8</f>
        <v>6.4</v>
      </c>
    </row>
    <row r="140" spans="1:13" ht="15.75" customHeight="1">
      <c r="A140" s="61" t="s">
        <v>1341</v>
      </c>
      <c r="B140" s="62" t="s">
        <v>1342</v>
      </c>
      <c r="C140" s="62" t="s">
        <v>1070</v>
      </c>
      <c r="D140" s="62" t="s">
        <v>1173</v>
      </c>
      <c r="E140" s="63">
        <v>34</v>
      </c>
      <c r="F140" s="59">
        <f>((Table1[[#This Row],[Retail]]*0.4)*$M$1)+$M$2</f>
        <v>18.210000000000004</v>
      </c>
      <c r="G140" s="63">
        <f>Table1[[#This Row],[Retail]]*0.95</f>
        <v>32.299999999999997</v>
      </c>
      <c r="H140" s="63">
        <f>Table1[[#This Row],[Retail]]*0.85</f>
        <v>28.9</v>
      </c>
      <c r="I140" s="63">
        <f>Table1[[#This Row],[Retail]]*0.8</f>
        <v>27.200000000000003</v>
      </c>
      <c r="M140" s="55">
        <f>17.6/13.6</f>
        <v>1.2941176470588236</v>
      </c>
    </row>
    <row r="141" spans="1:13" ht="15.75" customHeight="1">
      <c r="A141" s="61" t="s">
        <v>1343</v>
      </c>
      <c r="B141" s="62" t="s">
        <v>1344</v>
      </c>
      <c r="C141" s="62" t="s">
        <v>1070</v>
      </c>
      <c r="D141" s="62" t="s">
        <v>1176</v>
      </c>
      <c r="E141" s="63">
        <v>28</v>
      </c>
      <c r="F141" s="59">
        <f>((Table1[[#This Row],[Retail]]*0.4)*$M$1)+$M$2</f>
        <v>15.090000000000002</v>
      </c>
      <c r="G141" s="63">
        <f>Table1[[#This Row],[Retail]]*0.95</f>
        <v>26.599999999999998</v>
      </c>
      <c r="H141" s="63">
        <f>Table1[[#This Row],[Retail]]*0.85</f>
        <v>23.8</v>
      </c>
      <c r="I141" s="63">
        <f>Table1[[#This Row],[Retail]]*0.8</f>
        <v>22.400000000000002</v>
      </c>
    </row>
    <row r="142" spans="1:13" ht="15.75" customHeight="1">
      <c r="A142" s="61" t="s">
        <v>1345</v>
      </c>
      <c r="B142" s="62" t="s">
        <v>1346</v>
      </c>
      <c r="C142" s="62" t="s">
        <v>432</v>
      </c>
      <c r="D142" s="62" t="s">
        <v>1173</v>
      </c>
      <c r="E142" s="63">
        <v>22</v>
      </c>
      <c r="F142" s="59">
        <f>((Table1[[#This Row],[Retail]]*0.4)*$M$1)+$M$2</f>
        <v>11.97</v>
      </c>
      <c r="G142" s="63">
        <f>Table1[[#This Row],[Retail]]*0.95</f>
        <v>20.9</v>
      </c>
      <c r="H142" s="63">
        <f>Table1[[#This Row],[Retail]]*0.85</f>
        <v>18.7</v>
      </c>
      <c r="I142" s="63">
        <f>Table1[[#This Row],[Retail]]*0.8</f>
        <v>17.600000000000001</v>
      </c>
    </row>
    <row r="143" spans="1:13" ht="15.75" customHeight="1">
      <c r="A143" s="61" t="s">
        <v>1347</v>
      </c>
      <c r="B143" s="62" t="s">
        <v>1348</v>
      </c>
      <c r="C143" s="62" t="s">
        <v>432</v>
      </c>
      <c r="D143" s="62" t="s">
        <v>1173</v>
      </c>
      <c r="E143" s="63">
        <v>16</v>
      </c>
      <c r="F143" s="59">
        <f>((Table1[[#This Row],[Retail]]*0.4)*$M$1)+$M$2</f>
        <v>8.85</v>
      </c>
      <c r="G143" s="63">
        <f>Table1[[#This Row],[Retail]]*0.95</f>
        <v>15.2</v>
      </c>
      <c r="H143" s="63">
        <f>Table1[[#This Row],[Retail]]*0.85</f>
        <v>13.6</v>
      </c>
      <c r="I143" s="63">
        <f>Table1[[#This Row],[Retail]]*0.8</f>
        <v>12.8</v>
      </c>
    </row>
    <row r="144" spans="1:13" ht="15.75" customHeight="1">
      <c r="A144" s="61" t="s">
        <v>1349</v>
      </c>
      <c r="B144" s="62" t="s">
        <v>1350</v>
      </c>
      <c r="C144" s="62" t="s">
        <v>1070</v>
      </c>
      <c r="D144" s="62" t="s">
        <v>1071</v>
      </c>
      <c r="E144" s="63">
        <v>32</v>
      </c>
      <c r="F144" s="59">
        <f>((Table1[[#This Row],[Retail]]*0.4)*$M$1)+$M$2</f>
        <v>17.170000000000002</v>
      </c>
      <c r="G144" s="63">
        <f>Table1[[#This Row],[Retail]]*0.95</f>
        <v>30.4</v>
      </c>
      <c r="H144" s="63">
        <f>Table1[[#This Row],[Retail]]*0.85</f>
        <v>27.2</v>
      </c>
      <c r="I144" s="63">
        <f>Table1[[#This Row],[Retail]]*0.8</f>
        <v>25.6</v>
      </c>
    </row>
    <row r="145" spans="1:13" ht="15.75" customHeight="1">
      <c r="A145" s="61" t="s">
        <v>1351</v>
      </c>
      <c r="B145" s="62" t="s">
        <v>1352</v>
      </c>
      <c r="C145" s="62" t="s">
        <v>1070</v>
      </c>
      <c r="D145" s="62" t="s">
        <v>1071</v>
      </c>
      <c r="E145" s="63">
        <v>32</v>
      </c>
      <c r="F145" s="59">
        <f>((Table1[[#This Row],[Retail]]*0.4)*$M$1)+$M$2</f>
        <v>17.170000000000002</v>
      </c>
      <c r="G145" s="63">
        <f>Table1[[#This Row],[Retail]]*0.95</f>
        <v>30.4</v>
      </c>
      <c r="H145" s="63">
        <f>Table1[[#This Row],[Retail]]*0.85</f>
        <v>27.2</v>
      </c>
      <c r="I145" s="63">
        <f>Table1[[#This Row],[Retail]]*0.8</f>
        <v>25.6</v>
      </c>
    </row>
    <row r="146" spans="1:13" ht="15.75" customHeight="1">
      <c r="A146" s="61" t="s">
        <v>1353</v>
      </c>
      <c r="B146" s="62" t="s">
        <v>1354</v>
      </c>
      <c r="C146" s="62" t="s">
        <v>1070</v>
      </c>
      <c r="D146" s="62" t="s">
        <v>1173</v>
      </c>
      <c r="E146" s="63">
        <v>34</v>
      </c>
      <c r="F146" s="59">
        <f>((Table1[[#This Row],[Retail]]*0.4)*$M$1)+$M$2</f>
        <v>18.210000000000004</v>
      </c>
      <c r="G146" s="63">
        <f>Table1[[#This Row],[Retail]]*0.95</f>
        <v>32.299999999999997</v>
      </c>
      <c r="H146" s="63">
        <f>Table1[[#This Row],[Retail]]*0.85</f>
        <v>28.9</v>
      </c>
      <c r="I146" s="63">
        <f>Table1[[#This Row],[Retail]]*0.8</f>
        <v>27.200000000000003</v>
      </c>
    </row>
    <row r="147" spans="1:13" ht="15.75" customHeight="1">
      <c r="A147" s="61" t="s">
        <v>1355</v>
      </c>
      <c r="B147" s="62" t="s">
        <v>1356</v>
      </c>
      <c r="C147" s="62" t="s">
        <v>1070</v>
      </c>
      <c r="D147" s="62" t="s">
        <v>1071</v>
      </c>
      <c r="E147" s="63">
        <v>34</v>
      </c>
      <c r="F147" s="59">
        <f>((Table1[[#This Row],[Retail]]*0.4)*$M$1)+$M$2</f>
        <v>18.210000000000004</v>
      </c>
      <c r="G147" s="63">
        <f>Table1[[#This Row],[Retail]]*0.95</f>
        <v>32.299999999999997</v>
      </c>
      <c r="H147" s="63">
        <f>Table1[[#This Row],[Retail]]*0.85</f>
        <v>28.9</v>
      </c>
      <c r="I147" s="63">
        <f>Table1[[#This Row],[Retail]]*0.8</f>
        <v>27.200000000000003</v>
      </c>
    </row>
    <row r="148" spans="1:13" ht="15.75" customHeight="1">
      <c r="A148" s="61" t="s">
        <v>1357</v>
      </c>
      <c r="B148" s="62" t="s">
        <v>1358</v>
      </c>
      <c r="C148" s="62" t="s">
        <v>1070</v>
      </c>
      <c r="D148" s="62" t="s">
        <v>1071</v>
      </c>
      <c r="E148" s="63">
        <v>34</v>
      </c>
      <c r="F148" s="59">
        <f>((Table1[[#This Row],[Retail]]*0.4)*$M$1)+$M$2</f>
        <v>18.210000000000004</v>
      </c>
      <c r="G148" s="63">
        <f>Table1[[#This Row],[Retail]]*0.95</f>
        <v>32.299999999999997</v>
      </c>
      <c r="H148" s="63">
        <f>Table1[[#This Row],[Retail]]*0.85</f>
        <v>28.9</v>
      </c>
      <c r="I148" s="63">
        <f>Table1[[#This Row],[Retail]]*0.8</f>
        <v>27.200000000000003</v>
      </c>
    </row>
    <row r="149" spans="1:13" ht="15.75" customHeight="1">
      <c r="A149" s="61" t="s">
        <v>1359</v>
      </c>
      <c r="B149" s="62" t="s">
        <v>1360</v>
      </c>
      <c r="C149" s="62" t="s">
        <v>1070</v>
      </c>
      <c r="D149" s="62" t="s">
        <v>1071</v>
      </c>
      <c r="E149" s="63">
        <v>28</v>
      </c>
      <c r="F149" s="59">
        <f>((Table1[[#This Row],[Retail]]*0.4)*$M$1)+$M$2</f>
        <v>15.090000000000002</v>
      </c>
      <c r="G149" s="63">
        <f>Table1[[#This Row],[Retail]]*0.95</f>
        <v>26.599999999999998</v>
      </c>
      <c r="H149" s="63">
        <f>Table1[[#This Row],[Retail]]*0.85</f>
        <v>23.8</v>
      </c>
      <c r="I149" s="63">
        <f>Table1[[#This Row],[Retail]]*0.8</f>
        <v>22.400000000000002</v>
      </c>
    </row>
    <row r="150" spans="1:13" ht="15.75" customHeight="1">
      <c r="A150" s="61" t="s">
        <v>1361</v>
      </c>
      <c r="B150" s="62" t="s">
        <v>1362</v>
      </c>
      <c r="C150" s="62" t="s">
        <v>1070</v>
      </c>
      <c r="D150" s="62" t="s">
        <v>1071</v>
      </c>
      <c r="E150" s="63">
        <v>29</v>
      </c>
      <c r="F150" s="59">
        <f>((Table1[[#This Row],[Retail]]*0.4)*$M$1)+$M$2</f>
        <v>15.610000000000001</v>
      </c>
      <c r="G150" s="63">
        <f>Table1[[#This Row],[Retail]]*0.95</f>
        <v>27.549999999999997</v>
      </c>
      <c r="H150" s="63">
        <f>Table1[[#This Row],[Retail]]*0.85</f>
        <v>24.65</v>
      </c>
      <c r="I150" s="63">
        <f>Table1[[#This Row],[Retail]]*0.8</f>
        <v>23.200000000000003</v>
      </c>
    </row>
    <row r="151" spans="1:13" ht="15.75" customHeight="1">
      <c r="A151" s="61" t="s">
        <v>1363</v>
      </c>
      <c r="B151" s="62" t="s">
        <v>1364</v>
      </c>
      <c r="C151" s="62" t="s">
        <v>1070</v>
      </c>
      <c r="D151" s="62" t="s">
        <v>1176</v>
      </c>
      <c r="E151" s="63">
        <v>29</v>
      </c>
      <c r="F151" s="59">
        <f>((Table1[[#This Row],[Retail]]*0.4)*$M$1)+$M$2</f>
        <v>15.610000000000001</v>
      </c>
      <c r="G151" s="63">
        <f>Table1[[#This Row],[Retail]]*0.95</f>
        <v>27.549999999999997</v>
      </c>
      <c r="H151" s="63">
        <f>Table1[[#This Row],[Retail]]*0.85</f>
        <v>24.65</v>
      </c>
      <c r="I151" s="63">
        <f>Table1[[#This Row],[Retail]]*0.8</f>
        <v>23.200000000000003</v>
      </c>
    </row>
    <row r="152" spans="1:13" ht="15.75" customHeight="1">
      <c r="A152" s="101" t="s">
        <v>1365</v>
      </c>
      <c r="B152" s="62" t="s">
        <v>1366</v>
      </c>
      <c r="C152" s="62" t="s">
        <v>1070</v>
      </c>
      <c r="D152" s="62" t="s">
        <v>1173</v>
      </c>
      <c r="E152" s="63">
        <v>34</v>
      </c>
      <c r="F152" s="59">
        <f>((Table1[[#This Row],[Retail]]*0.4)*$M$1)+$M$2</f>
        <v>18.210000000000004</v>
      </c>
      <c r="G152" s="63">
        <f>Table1[[#This Row],[Retail]]*0.95</f>
        <v>32.299999999999997</v>
      </c>
      <c r="H152" s="63">
        <f>Table1[[#This Row],[Retail]]*0.85</f>
        <v>28.9</v>
      </c>
      <c r="I152" s="63">
        <f>Table1[[#This Row],[Retail]]*0.8</f>
        <v>27.200000000000003</v>
      </c>
      <c r="M152" s="55">
        <f>18.4/13.6</f>
        <v>1.3529411764705881</v>
      </c>
    </row>
    <row r="153" spans="1:13" ht="15.75" customHeight="1">
      <c r="A153" s="61" t="s">
        <v>1367</v>
      </c>
      <c r="B153" s="62" t="s">
        <v>1368</v>
      </c>
      <c r="C153" s="62" t="s">
        <v>1070</v>
      </c>
      <c r="D153" s="62" t="s">
        <v>1071</v>
      </c>
      <c r="E153" s="63">
        <v>28</v>
      </c>
      <c r="F153" s="59">
        <f>((Table1[[#This Row],[Retail]]*0.4)*$M$1)+$M$2</f>
        <v>15.090000000000002</v>
      </c>
      <c r="G153" s="63">
        <f>Table1[[#This Row],[Retail]]*0.95</f>
        <v>26.599999999999998</v>
      </c>
      <c r="H153" s="63">
        <f>Table1[[#This Row],[Retail]]*0.85</f>
        <v>23.8</v>
      </c>
      <c r="I153" s="63">
        <f>Table1[[#This Row],[Retail]]*0.8</f>
        <v>22.400000000000002</v>
      </c>
    </row>
    <row r="154" spans="1:13" ht="15.75" customHeight="1">
      <c r="A154" s="61" t="s">
        <v>1369</v>
      </c>
      <c r="B154" s="62" t="s">
        <v>1370</v>
      </c>
      <c r="C154" s="62" t="s">
        <v>1070</v>
      </c>
      <c r="D154" s="62" t="s">
        <v>1071</v>
      </c>
      <c r="E154" s="63">
        <v>28</v>
      </c>
      <c r="F154" s="59">
        <f>((Table1[[#This Row],[Retail]]*0.4)*$M$1)+$M$2</f>
        <v>15.090000000000002</v>
      </c>
      <c r="G154" s="63">
        <f>Table1[[#This Row],[Retail]]*0.95</f>
        <v>26.599999999999998</v>
      </c>
      <c r="H154" s="63">
        <f>Table1[[#This Row],[Retail]]*0.85</f>
        <v>23.8</v>
      </c>
      <c r="I154" s="63">
        <f>Table1[[#This Row],[Retail]]*0.8</f>
        <v>22.400000000000002</v>
      </c>
    </row>
    <row r="155" spans="1:13" ht="15.75" customHeight="1">
      <c r="A155" s="61" t="s">
        <v>1371</v>
      </c>
      <c r="B155" s="62" t="s">
        <v>1372</v>
      </c>
      <c r="C155" s="62" t="s">
        <v>1070</v>
      </c>
      <c r="D155" s="62" t="s">
        <v>1173</v>
      </c>
      <c r="E155" s="63">
        <v>19</v>
      </c>
      <c r="F155" s="59">
        <f>((Table1[[#This Row],[Retail]]*0.4)*$M$1)+$M$2</f>
        <v>10.41</v>
      </c>
      <c r="G155" s="63">
        <f>Table1[[#This Row],[Retail]]*0.95</f>
        <v>18.05</v>
      </c>
      <c r="H155" s="63">
        <f>Table1[[#This Row],[Retail]]*0.85</f>
        <v>16.149999999999999</v>
      </c>
      <c r="I155" s="63">
        <f>Table1[[#This Row],[Retail]]*0.8</f>
        <v>15.200000000000001</v>
      </c>
    </row>
    <row r="156" spans="1:13" ht="15.75" customHeight="1">
      <c r="A156" s="61" t="s">
        <v>1373</v>
      </c>
      <c r="B156" s="62" t="s">
        <v>1374</v>
      </c>
      <c r="C156" s="62" t="s">
        <v>1066</v>
      </c>
      <c r="D156" s="62" t="s">
        <v>1176</v>
      </c>
      <c r="E156" s="63">
        <v>116</v>
      </c>
      <c r="F156" s="59">
        <f>((Table1[[#This Row],[Retail]]*0.4)*$M$1)+$M$2</f>
        <v>60.850000000000009</v>
      </c>
      <c r="G156" s="63">
        <f>Table1[[#This Row],[Retail]]*0.95</f>
        <v>110.19999999999999</v>
      </c>
      <c r="H156" s="63">
        <f>Table1[[#This Row],[Retail]]*0.85</f>
        <v>98.6</v>
      </c>
      <c r="I156" s="63">
        <f>Table1[[#This Row],[Retail]]*0.8</f>
        <v>92.800000000000011</v>
      </c>
    </row>
    <row r="157" spans="1:13" ht="15.75" customHeight="1">
      <c r="A157" s="61" t="s">
        <v>1375</v>
      </c>
      <c r="B157" s="62" t="s">
        <v>1374</v>
      </c>
      <c r="C157" s="62" t="s">
        <v>1066</v>
      </c>
      <c r="D157" s="62" t="s">
        <v>1173</v>
      </c>
      <c r="E157" s="63">
        <v>158</v>
      </c>
      <c r="F157" s="59">
        <f>((Table1[[#This Row],[Retail]]*0.4)*$M$1)+$M$2</f>
        <v>82.690000000000012</v>
      </c>
      <c r="G157" s="63">
        <f>Table1[[#This Row],[Retail]]*0.95</f>
        <v>150.1</v>
      </c>
      <c r="H157" s="63">
        <f>Table1[[#This Row],[Retail]]*0.85</f>
        <v>134.29999999999998</v>
      </c>
      <c r="I157" s="63">
        <f>Table1[[#This Row],[Retail]]*0.8</f>
        <v>126.4</v>
      </c>
    </row>
    <row r="158" spans="1:13" ht="15.75" customHeight="1">
      <c r="A158" s="61" t="s">
        <v>1376</v>
      </c>
      <c r="B158" s="62" t="s">
        <v>1377</v>
      </c>
      <c r="C158" s="62" t="s">
        <v>1066</v>
      </c>
      <c r="D158" s="62" t="s">
        <v>1173</v>
      </c>
      <c r="E158" s="63">
        <v>200</v>
      </c>
      <c r="F158" s="59">
        <f>((Table1[[#This Row],[Retail]]*0.4)*$M$1)+$M$2</f>
        <v>104.53</v>
      </c>
      <c r="G158" s="63">
        <f>Table1[[#This Row],[Retail]]*0.95</f>
        <v>190</v>
      </c>
      <c r="H158" s="63">
        <f>Table1[[#This Row],[Retail]]*0.85</f>
        <v>170</v>
      </c>
      <c r="I158" s="63">
        <f>Table1[[#This Row],[Retail]]*0.8</f>
        <v>160</v>
      </c>
    </row>
    <row r="159" spans="1:13" ht="15.75" customHeight="1">
      <c r="A159" s="61" t="s">
        <v>1378</v>
      </c>
      <c r="B159" s="62" t="s">
        <v>1379</v>
      </c>
      <c r="C159" s="62" t="s">
        <v>1066</v>
      </c>
      <c r="D159" s="62" t="s">
        <v>1176</v>
      </c>
      <c r="E159" s="63">
        <v>92</v>
      </c>
      <c r="F159" s="59">
        <f>((Table1[[#This Row],[Retail]]*0.4)*$M$1)+$M$2</f>
        <v>48.370000000000012</v>
      </c>
      <c r="G159" s="63">
        <f>Table1[[#This Row],[Retail]]*0.95</f>
        <v>87.399999999999991</v>
      </c>
      <c r="H159" s="63">
        <f>Table1[[#This Row],[Retail]]*0.85</f>
        <v>78.2</v>
      </c>
      <c r="I159" s="63">
        <f>Table1[[#This Row],[Retail]]*0.8</f>
        <v>73.600000000000009</v>
      </c>
    </row>
    <row r="160" spans="1:13" ht="15.75" customHeight="1">
      <c r="A160" s="61" t="s">
        <v>1380</v>
      </c>
      <c r="B160" s="62" t="s">
        <v>1379</v>
      </c>
      <c r="C160" s="62" t="s">
        <v>1066</v>
      </c>
      <c r="D160" s="62" t="s">
        <v>1173</v>
      </c>
      <c r="E160" s="63">
        <v>120</v>
      </c>
      <c r="F160" s="59">
        <f>((Table1[[#This Row],[Retail]]*0.4)*$M$1)+$M$2</f>
        <v>62.930000000000007</v>
      </c>
      <c r="G160" s="63">
        <f>Table1[[#This Row],[Retail]]*0.95</f>
        <v>114</v>
      </c>
      <c r="H160" s="63">
        <f>Table1[[#This Row],[Retail]]*0.85</f>
        <v>102</v>
      </c>
      <c r="I160" s="63">
        <f>Table1[[#This Row],[Retail]]*0.8</f>
        <v>96</v>
      </c>
    </row>
    <row r="161" spans="1:9" ht="15.75" customHeight="1">
      <c r="A161" s="61" t="s">
        <v>1381</v>
      </c>
      <c r="B161" s="62" t="s">
        <v>1382</v>
      </c>
      <c r="C161" s="62" t="s">
        <v>1066</v>
      </c>
      <c r="D161" s="62" t="s">
        <v>1176</v>
      </c>
      <c r="E161" s="63">
        <v>48</v>
      </c>
      <c r="F161" s="59">
        <f>((Table1[[#This Row],[Retail]]*0.4)*$M$1)+$M$2</f>
        <v>25.490000000000006</v>
      </c>
      <c r="G161" s="63">
        <f>Table1[[#This Row],[Retail]]*0.95</f>
        <v>45.599999999999994</v>
      </c>
      <c r="H161" s="63">
        <f>Table1[[#This Row],[Retail]]*0.85</f>
        <v>40.799999999999997</v>
      </c>
      <c r="I161" s="63">
        <f>Table1[[#This Row],[Retail]]*0.8</f>
        <v>38.400000000000006</v>
      </c>
    </row>
    <row r="162" spans="1:9" ht="15.75" customHeight="1">
      <c r="A162" s="61" t="s">
        <v>1383</v>
      </c>
      <c r="B162" s="62" t="s">
        <v>1384</v>
      </c>
      <c r="C162" s="62" t="s">
        <v>1066</v>
      </c>
      <c r="D162" s="62" t="s">
        <v>1176</v>
      </c>
      <c r="E162" s="63">
        <v>92</v>
      </c>
      <c r="F162" s="59">
        <f>((Table1[[#This Row],[Retail]]*0.4)*$M$1)+$M$2</f>
        <v>48.370000000000012</v>
      </c>
      <c r="G162" s="63">
        <f>Table1[[#This Row],[Retail]]*0.95</f>
        <v>87.399999999999991</v>
      </c>
      <c r="H162" s="63">
        <f>Table1[[#This Row],[Retail]]*0.85</f>
        <v>78.2</v>
      </c>
      <c r="I162" s="63">
        <f>Table1[[#This Row],[Retail]]*0.8</f>
        <v>73.600000000000009</v>
      </c>
    </row>
    <row r="163" spans="1:9" ht="15.75" customHeight="1">
      <c r="A163" s="61" t="s">
        <v>1385</v>
      </c>
      <c r="B163" s="62" t="s">
        <v>1384</v>
      </c>
      <c r="C163" s="62" t="s">
        <v>1066</v>
      </c>
      <c r="D163" s="62" t="s">
        <v>1173</v>
      </c>
      <c r="E163" s="63">
        <v>122</v>
      </c>
      <c r="F163" s="59">
        <f>((Table1[[#This Row],[Retail]]*0.4)*$M$1)+$M$2</f>
        <v>63.970000000000006</v>
      </c>
      <c r="G163" s="63">
        <f>Table1[[#This Row],[Retail]]*0.95</f>
        <v>115.89999999999999</v>
      </c>
      <c r="H163" s="63">
        <f>Table1[[#This Row],[Retail]]*0.85</f>
        <v>103.7</v>
      </c>
      <c r="I163" s="63">
        <f>Table1[[#This Row],[Retail]]*0.8</f>
        <v>97.600000000000009</v>
      </c>
    </row>
    <row r="164" spans="1:9" ht="15.75" customHeight="1">
      <c r="A164" s="61" t="s">
        <v>1386</v>
      </c>
      <c r="B164" s="62" t="s">
        <v>1387</v>
      </c>
      <c r="C164" s="62" t="s">
        <v>1066</v>
      </c>
      <c r="D164" s="62" t="s">
        <v>1173</v>
      </c>
      <c r="E164" s="63">
        <v>162</v>
      </c>
      <c r="F164" s="59">
        <f>((Table1[[#This Row],[Retail]]*0.4)*$M$1)+$M$2</f>
        <v>84.77</v>
      </c>
      <c r="G164" s="63">
        <f>Table1[[#This Row],[Retail]]*0.95</f>
        <v>153.9</v>
      </c>
      <c r="H164" s="63">
        <f>Table1[[#This Row],[Retail]]*0.85</f>
        <v>137.69999999999999</v>
      </c>
      <c r="I164" s="63">
        <f>Table1[[#This Row],[Retail]]*0.8</f>
        <v>129.6</v>
      </c>
    </row>
    <row r="165" spans="1:9" ht="15.75" customHeight="1">
      <c r="A165" s="61" t="s">
        <v>1388</v>
      </c>
      <c r="B165" s="62" t="s">
        <v>1389</v>
      </c>
      <c r="C165" s="62" t="s">
        <v>1066</v>
      </c>
      <c r="D165" s="62" t="s">
        <v>1176</v>
      </c>
      <c r="E165" s="63">
        <v>50</v>
      </c>
      <c r="F165" s="59">
        <f>((Table1[[#This Row],[Retail]]*0.4)*$M$1)+$M$2</f>
        <v>26.53</v>
      </c>
      <c r="G165" s="63">
        <f>Table1[[#This Row],[Retail]]*0.95</f>
        <v>47.5</v>
      </c>
      <c r="H165" s="63">
        <f>Table1[[#This Row],[Retail]]*0.85</f>
        <v>42.5</v>
      </c>
      <c r="I165" s="63">
        <f>Table1[[#This Row],[Retail]]*0.8</f>
        <v>40</v>
      </c>
    </row>
    <row r="166" spans="1:9" ht="15.75" customHeight="1">
      <c r="A166" s="61" t="s">
        <v>1390</v>
      </c>
      <c r="B166" s="62" t="s">
        <v>1301</v>
      </c>
      <c r="C166" s="62" t="s">
        <v>1066</v>
      </c>
      <c r="D166" s="62" t="s">
        <v>1176</v>
      </c>
      <c r="E166" s="63">
        <v>136</v>
      </c>
      <c r="F166" s="59">
        <f>((Table1[[#This Row],[Retail]]*0.4)*$M$1)+$M$2</f>
        <v>71.250000000000014</v>
      </c>
      <c r="G166" s="63">
        <f>Table1[[#This Row],[Retail]]*0.95</f>
        <v>129.19999999999999</v>
      </c>
      <c r="H166" s="63">
        <f>Table1[[#This Row],[Retail]]*0.85</f>
        <v>115.6</v>
      </c>
      <c r="I166" s="63">
        <f>Table1[[#This Row],[Retail]]*0.8</f>
        <v>108.80000000000001</v>
      </c>
    </row>
    <row r="167" spans="1:9" ht="15.75" customHeight="1">
      <c r="A167" s="61" t="s">
        <v>1391</v>
      </c>
      <c r="B167" s="62" t="s">
        <v>1303</v>
      </c>
      <c r="C167" s="62" t="s">
        <v>1066</v>
      </c>
      <c r="D167" s="62" t="s">
        <v>1176</v>
      </c>
      <c r="E167" s="63">
        <v>152</v>
      </c>
      <c r="F167" s="59">
        <f>((Table1[[#This Row],[Retail]]*0.4)*$M$1)+$M$2</f>
        <v>79.570000000000007</v>
      </c>
      <c r="G167" s="63">
        <f>Table1[[#This Row],[Retail]]*0.95</f>
        <v>144.4</v>
      </c>
      <c r="H167" s="63">
        <f>Table1[[#This Row],[Retail]]*0.85</f>
        <v>129.19999999999999</v>
      </c>
      <c r="I167" s="63">
        <f>Table1[[#This Row],[Retail]]*0.8</f>
        <v>121.60000000000001</v>
      </c>
    </row>
    <row r="168" spans="1:9" ht="15.75" customHeight="1">
      <c r="A168" s="61" t="s">
        <v>1392</v>
      </c>
      <c r="B168" s="62" t="s">
        <v>1305</v>
      </c>
      <c r="C168" s="62" t="s">
        <v>1066</v>
      </c>
      <c r="D168" s="62" t="s">
        <v>1176</v>
      </c>
      <c r="E168" s="63">
        <v>176</v>
      </c>
      <c r="F168" s="59">
        <f>((Table1[[#This Row],[Retail]]*0.4)*$M$1)+$M$2</f>
        <v>92.050000000000011</v>
      </c>
      <c r="G168" s="63">
        <f>Table1[[#This Row],[Retail]]*0.95</f>
        <v>167.2</v>
      </c>
      <c r="H168" s="63">
        <f>Table1[[#This Row],[Retail]]*0.85</f>
        <v>149.6</v>
      </c>
      <c r="I168" s="63">
        <f>Table1[[#This Row],[Retail]]*0.8</f>
        <v>140.80000000000001</v>
      </c>
    </row>
    <row r="169" spans="1:9" ht="15.75" customHeight="1">
      <c r="A169" s="61" t="s">
        <v>1393</v>
      </c>
      <c r="B169" s="62" t="s">
        <v>1307</v>
      </c>
      <c r="C169" s="62" t="s">
        <v>1066</v>
      </c>
      <c r="D169" s="62" t="s">
        <v>1176</v>
      </c>
      <c r="E169" s="63">
        <v>192</v>
      </c>
      <c r="F169" s="59">
        <f>((Table1[[#This Row],[Retail]]*0.4)*$M$1)+$M$2</f>
        <v>100.37000000000002</v>
      </c>
      <c r="G169" s="63">
        <f>Table1[[#This Row],[Retail]]*0.95</f>
        <v>182.39999999999998</v>
      </c>
      <c r="H169" s="63">
        <f>Table1[[#This Row],[Retail]]*0.85</f>
        <v>163.19999999999999</v>
      </c>
      <c r="I169" s="63">
        <f>Table1[[#This Row],[Retail]]*0.8</f>
        <v>153.60000000000002</v>
      </c>
    </row>
    <row r="170" spans="1:9" ht="15.75" customHeight="1">
      <c r="A170" s="61" t="s">
        <v>1394</v>
      </c>
      <c r="B170" s="62" t="s">
        <v>1395</v>
      </c>
      <c r="C170" s="62" t="s">
        <v>1070</v>
      </c>
      <c r="D170" s="62" t="s">
        <v>1176</v>
      </c>
      <c r="E170" s="63">
        <v>24</v>
      </c>
      <c r="F170" s="59">
        <f>((Table1[[#This Row],[Retail]]*0.4)*$M$1)+$M$2</f>
        <v>13.010000000000002</v>
      </c>
      <c r="G170" s="68">
        <f>Table1[[#This Row],[Retail]]*0.95</f>
        <v>22.799999999999997</v>
      </c>
      <c r="H170" s="68">
        <f>Table1[[#This Row],[Retail]]*0.85</f>
        <v>20.399999999999999</v>
      </c>
      <c r="I170" s="68">
        <f>Table1[[#This Row],[Retail]]*0.8</f>
        <v>19.200000000000003</v>
      </c>
    </row>
    <row r="171" spans="1:9" ht="14.25" customHeight="1">
      <c r="A171" s="61" t="s">
        <v>252</v>
      </c>
      <c r="B171" s="136" t="s">
        <v>1396</v>
      </c>
      <c r="C171" s="138">
        <v>12</v>
      </c>
      <c r="D171" s="134" t="s">
        <v>1397</v>
      </c>
      <c r="E171" s="68">
        <f>Table1[[#This Row],[60% Discount]]*1.92223</f>
        <v>5.5100527343875205</v>
      </c>
      <c r="F171" s="68">
        <f>Table1[[#This Row],[Unit]]*Parts!M153</f>
        <v>2.8664898240000003</v>
      </c>
      <c r="G171" s="137">
        <f>Table1[[#This Row],[Retail]]*0.95</f>
        <v>5.2345500976681443</v>
      </c>
      <c r="H171" s="137">
        <f>Table1[[#This Row],[Retail]]*0.85</f>
        <v>4.6835448242293927</v>
      </c>
      <c r="I171" s="135">
        <f>Table1[[#This Row],[Retail]]*0.8</f>
        <v>4.4080421875100164</v>
      </c>
    </row>
    <row r="172" spans="1:9" ht="14.25" customHeight="1">
      <c r="A172" s="61"/>
      <c r="B172" s="69"/>
      <c r="C172" s="69"/>
      <c r="D172" s="69"/>
      <c r="E172" s="70"/>
      <c r="F172" s="70"/>
    </row>
    <row r="173" spans="1:9" ht="14.25" customHeight="1">
      <c r="A173" s="61"/>
      <c r="B173" s="69"/>
      <c r="C173" s="69"/>
      <c r="D173" s="69"/>
      <c r="E173" s="70"/>
      <c r="F173" s="70"/>
    </row>
    <row r="174" spans="1:9" ht="14.25" customHeight="1">
      <c r="A174" s="61"/>
      <c r="B174" s="69"/>
      <c r="C174" s="69"/>
      <c r="D174" s="69"/>
      <c r="E174" s="70"/>
      <c r="F174" s="70"/>
    </row>
    <row r="175" spans="1:9" ht="14.25" customHeight="1">
      <c r="A175" s="61"/>
      <c r="B175" s="69"/>
      <c r="C175" s="69"/>
      <c r="D175" s="69"/>
      <c r="E175" s="70"/>
      <c r="F175" s="70"/>
    </row>
    <row r="176" spans="1:9" ht="14.25" customHeight="1">
      <c r="A176" s="61"/>
      <c r="B176" s="69"/>
      <c r="C176" s="69"/>
      <c r="D176" s="69"/>
      <c r="E176" s="70"/>
      <c r="F176" s="70"/>
    </row>
    <row r="177" spans="1:6" ht="14.25" customHeight="1">
      <c r="A177" s="61"/>
      <c r="B177" s="69"/>
      <c r="C177" s="69"/>
      <c r="D177" s="69"/>
      <c r="E177" s="70"/>
      <c r="F177" s="70"/>
    </row>
    <row r="178" spans="1:6" ht="14.25" customHeight="1">
      <c r="A178" s="61"/>
      <c r="B178" s="69"/>
      <c r="C178" s="69"/>
      <c r="D178" s="69"/>
      <c r="E178" s="70"/>
      <c r="F178" s="70"/>
    </row>
    <row r="179" spans="1:6" ht="14.25" customHeight="1">
      <c r="A179" s="61"/>
      <c r="B179" s="69"/>
      <c r="C179" s="69"/>
      <c r="D179" s="69"/>
      <c r="E179" s="70"/>
      <c r="F179" s="70"/>
    </row>
    <row r="180" spans="1:6" ht="14.25" customHeight="1">
      <c r="A180" s="61"/>
      <c r="B180" s="69"/>
      <c r="C180" s="69"/>
      <c r="D180" s="69"/>
      <c r="E180" s="70"/>
      <c r="F180" s="70"/>
    </row>
    <row r="181" spans="1:6" ht="14.25" customHeight="1">
      <c r="A181" s="61"/>
      <c r="B181" s="69"/>
      <c r="C181" s="69"/>
      <c r="D181" s="69"/>
      <c r="E181" s="70"/>
      <c r="F181" s="70"/>
    </row>
    <row r="182" spans="1:6" ht="14.25" customHeight="1">
      <c r="A182" s="61"/>
      <c r="B182" s="69"/>
      <c r="C182" s="69"/>
      <c r="D182" s="69"/>
      <c r="E182" s="70"/>
      <c r="F182" s="70"/>
    </row>
    <row r="183" spans="1:6" ht="14.25" customHeight="1">
      <c r="A183" s="61"/>
      <c r="B183" s="69"/>
      <c r="C183" s="69"/>
      <c r="D183" s="69"/>
      <c r="E183" s="70"/>
      <c r="F183" s="70"/>
    </row>
    <row r="184" spans="1:6" ht="14.25" customHeight="1">
      <c r="A184" s="61"/>
      <c r="B184" s="69"/>
      <c r="C184" s="69"/>
      <c r="D184" s="69"/>
      <c r="E184" s="70"/>
      <c r="F184" s="70"/>
    </row>
    <row r="185" spans="1:6" ht="14.25" customHeight="1">
      <c r="A185" s="61"/>
      <c r="B185" s="69"/>
      <c r="C185" s="69"/>
      <c r="D185" s="69"/>
      <c r="E185" s="70"/>
      <c r="F185" s="70"/>
    </row>
    <row r="186" spans="1:6" ht="14.25" customHeight="1">
      <c r="A186" s="61"/>
      <c r="B186" s="69"/>
      <c r="C186" s="69"/>
      <c r="D186" s="69"/>
      <c r="E186" s="70"/>
      <c r="F186" s="70"/>
    </row>
    <row r="187" spans="1:6" ht="14.25" customHeight="1">
      <c r="A187" s="61"/>
      <c r="B187" s="69"/>
      <c r="C187" s="69"/>
      <c r="D187" s="69"/>
      <c r="E187" s="70"/>
      <c r="F187" s="70"/>
    </row>
  </sheetData>
  <sheetProtection algorithmName="SHA-512" hashValue="w5mZ6QlnKvvNUv+bmVCK8gPagwiGGcbalwz6RxqMbSZ2uLTOFg/m+4h511JRZLjwhY2wIjJG2RA5yPdOESOGiQ==" saltValue="ZxVdKQay7DsLZYtCTV2XZg==" spinCount="100000" sheet="1" objects="1" scenarios="1"/>
  <pageMargins left="0.7" right="0.7" top="0.75" bottom="0.75" header="0.3" footer="0.3"/>
  <pageSetup scale="58" fitToHeight="0" orientation="portrait" horizontalDpi="300" verticalDpi="300" r:id="rId1"/>
  <ignoredErrors>
    <ignoredError sqref="F171" calculatedColumn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Dana Briggs</dc:creator>
  <cp:keywords/>
  <dc:description/>
  <cp:lastModifiedBy/>
  <cp:revision/>
  <dcterms:created xsi:type="dcterms:W3CDTF">2021-12-09T17:47:31Z</dcterms:created>
  <dcterms:modified xsi:type="dcterms:W3CDTF">2024-02-22T13:23:54Z</dcterms:modified>
  <cp:category/>
  <cp:contentStatus/>
</cp:coreProperties>
</file>